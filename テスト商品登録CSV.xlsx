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13_ncr:9_{D77D73BD-B6B3-4DB8-B8BD-C0C1032E6972}" xr6:coauthVersionLast="47" xr6:coauthVersionMax="47" xr10:uidLastSave="{00000000-0000-0000-0000-000000000000}"/>
  <bookViews>
    <workbookView xWindow="-120" yWindow="-120" windowWidth="29040" windowHeight="15720" xr2:uid="{D57BC932-84A7-4063-A4E8-940699794318}"/>
  </bookViews>
  <sheets>
    <sheet name="テスト商品登録CSV" sheetId="1" r:id="rId1"/>
  </sheets>
  <calcPr calcId="0"/>
</workbook>
</file>

<file path=xl/calcChain.xml><?xml version="1.0" encoding="utf-8"?>
<calcChain xmlns="http://schemas.openxmlformats.org/spreadsheetml/2006/main">
  <c r="B76" i="1" l="1"/>
  <c r="B74" i="1"/>
  <c r="B7107" i="1"/>
  <c r="B6973" i="1"/>
  <c r="B6971" i="1"/>
  <c r="B6691" i="1"/>
  <c r="B6623" i="1"/>
  <c r="B6622" i="1"/>
  <c r="B6621" i="1"/>
  <c r="B6620" i="1"/>
  <c r="B6598" i="1"/>
  <c r="B6575" i="1"/>
  <c r="B6574" i="1"/>
  <c r="B6573" i="1"/>
  <c r="B6572" i="1"/>
  <c r="B6563" i="1"/>
  <c r="B6562" i="1"/>
  <c r="B6561" i="1"/>
  <c r="B6560" i="1"/>
  <c r="B6523" i="1"/>
  <c r="B6522" i="1"/>
  <c r="B6521" i="1"/>
  <c r="B6512" i="1"/>
  <c r="B6511" i="1"/>
  <c r="B6510" i="1"/>
  <c r="B6509" i="1"/>
  <c r="B6505" i="1"/>
  <c r="B6504" i="1"/>
  <c r="B6472" i="1"/>
  <c r="B6471" i="1"/>
  <c r="B6470" i="1"/>
  <c r="B6469" i="1"/>
  <c r="B6463" i="1"/>
  <c r="B6434" i="1"/>
  <c r="B6282" i="1"/>
  <c r="B6281" i="1"/>
  <c r="B6280" i="1"/>
  <c r="B6213" i="1"/>
  <c r="B6176" i="1"/>
  <c r="B6172" i="1"/>
  <c r="B6170" i="1"/>
  <c r="B6167" i="1"/>
  <c r="B6038" i="1"/>
  <c r="B6037" i="1"/>
  <c r="B6036" i="1"/>
  <c r="B6035" i="1"/>
  <c r="B6005" i="1"/>
  <c r="B6004" i="1"/>
  <c r="B6003" i="1"/>
  <c r="B6002" i="1"/>
  <c r="B5869" i="1"/>
  <c r="B5837" i="1"/>
  <c r="B5597" i="1"/>
  <c r="B5445" i="1"/>
  <c r="B5332" i="1"/>
  <c r="B4941" i="1"/>
  <c r="B4940" i="1"/>
  <c r="B4939" i="1"/>
  <c r="B4938" i="1"/>
  <c r="B4937" i="1"/>
  <c r="B4936" i="1"/>
  <c r="B4935" i="1"/>
  <c r="B4934" i="1"/>
  <c r="B4933" i="1"/>
  <c r="B4932" i="1"/>
  <c r="B4930" i="1"/>
  <c r="B4821" i="1"/>
  <c r="B4820" i="1"/>
  <c r="B4819" i="1"/>
  <c r="B4818" i="1"/>
  <c r="B4817" i="1"/>
  <c r="B4816" i="1"/>
  <c r="B4815" i="1"/>
  <c r="B4814" i="1"/>
  <c r="B4813" i="1"/>
  <c r="B4776" i="1"/>
  <c r="B4607" i="1"/>
  <c r="B4399" i="1"/>
  <c r="B4184" i="1"/>
  <c r="B4182" i="1"/>
  <c r="B4177" i="1"/>
  <c r="B4175" i="1"/>
  <c r="B4172" i="1"/>
  <c r="B4170" i="1"/>
  <c r="B4167" i="1"/>
  <c r="B4165" i="1"/>
  <c r="B4162" i="1"/>
  <c r="B4160" i="1"/>
  <c r="B4157" i="1"/>
  <c r="B4155" i="1"/>
  <c r="B4151" i="1"/>
  <c r="B4149" i="1"/>
  <c r="B4147" i="1"/>
  <c r="B4145" i="1"/>
  <c r="B4142" i="1"/>
  <c r="B4140" i="1"/>
  <c r="B4137" i="1"/>
  <c r="B4135" i="1"/>
  <c r="B4132" i="1"/>
  <c r="B4130" i="1"/>
  <c r="B4127" i="1"/>
  <c r="B4125" i="1"/>
  <c r="B3909" i="1"/>
  <c r="C3891" i="1"/>
  <c r="B3495" i="1"/>
  <c r="B3480" i="1"/>
  <c r="B3479" i="1"/>
  <c r="B3478" i="1"/>
  <c r="B3477" i="1"/>
  <c r="B3476" i="1"/>
  <c r="B3475" i="1"/>
  <c r="B3474" i="1"/>
  <c r="B3473" i="1"/>
  <c r="B3472" i="1"/>
  <c r="B3267" i="1"/>
  <c r="B3266" i="1"/>
  <c r="B3265" i="1"/>
  <c r="B3264" i="1"/>
  <c r="B3260" i="1"/>
  <c r="B3255" i="1"/>
  <c r="B3254" i="1"/>
  <c r="B3253" i="1"/>
  <c r="B3252" i="1"/>
  <c r="B3251" i="1"/>
  <c r="B3250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1" i="1"/>
  <c r="B3210" i="1"/>
  <c r="B3209" i="1"/>
  <c r="B3186" i="1"/>
  <c r="B3086" i="1"/>
  <c r="B3085" i="1"/>
  <c r="B3084" i="1"/>
  <c r="B3083" i="1"/>
  <c r="B3080" i="1"/>
  <c r="B3079" i="1"/>
  <c r="B3078" i="1"/>
  <c r="B3074" i="1"/>
  <c r="B3073" i="1"/>
  <c r="B3070" i="1"/>
  <c r="B3069" i="1"/>
  <c r="B3068" i="1"/>
  <c r="B3065" i="1"/>
  <c r="B3064" i="1"/>
  <c r="B3063" i="1"/>
  <c r="B3060" i="1"/>
  <c r="B3059" i="1"/>
  <c r="B3058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07" i="1"/>
  <c r="B3006" i="1"/>
  <c r="B3005" i="1"/>
  <c r="B3004" i="1"/>
  <c r="B3001" i="1"/>
  <c r="B2982" i="1"/>
  <c r="B2981" i="1"/>
  <c r="B2978" i="1"/>
  <c r="B2977" i="1"/>
  <c r="B2976" i="1"/>
  <c r="B2975" i="1"/>
  <c r="B2968" i="1"/>
  <c r="B2937" i="1"/>
  <c r="B2936" i="1"/>
  <c r="B2935" i="1"/>
  <c r="B2934" i="1"/>
  <c r="B2931" i="1"/>
  <c r="B2929" i="1"/>
  <c r="B2924" i="1"/>
  <c r="B2923" i="1"/>
  <c r="B2921" i="1"/>
  <c r="B2705" i="1"/>
  <c r="B2704" i="1"/>
  <c r="B2703" i="1"/>
  <c r="B2702" i="1"/>
  <c r="B2701" i="1"/>
  <c r="B2500" i="1"/>
  <c r="B2426" i="1"/>
  <c r="B2418" i="1"/>
  <c r="B2385" i="1"/>
  <c r="B2365" i="1"/>
  <c r="B2361" i="1"/>
  <c r="B2295" i="1"/>
  <c r="B2287" i="1"/>
  <c r="B2257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1929" i="1"/>
  <c r="B1928" i="1"/>
  <c r="B1922" i="1"/>
  <c r="B1920" i="1"/>
  <c r="B1872" i="1"/>
  <c r="B1839" i="1"/>
  <c r="B1832" i="1"/>
  <c r="B1823" i="1"/>
  <c r="B1754" i="1"/>
  <c r="B1744" i="1"/>
  <c r="B1743" i="1"/>
  <c r="B1742" i="1"/>
  <c r="B1741" i="1"/>
  <c r="B1737" i="1"/>
  <c r="B1736" i="1"/>
  <c r="B1731" i="1"/>
  <c r="B1730" i="1"/>
  <c r="B1729" i="1"/>
  <c r="B1728" i="1"/>
  <c r="B1720" i="1"/>
  <c r="B1716" i="1"/>
  <c r="B1715" i="1"/>
  <c r="B1714" i="1"/>
  <c r="B1713" i="1"/>
  <c r="B1550" i="1"/>
  <c r="B1549" i="1"/>
  <c r="B1548" i="1"/>
  <c r="B1547" i="1"/>
  <c r="B1520" i="1"/>
  <c r="B1517" i="1"/>
  <c r="B1516" i="1"/>
  <c r="B1513" i="1"/>
  <c r="B1512" i="1"/>
  <c r="B1511" i="1"/>
  <c r="B1510" i="1"/>
  <c r="B1509" i="1"/>
  <c r="B1508" i="1"/>
  <c r="B1507" i="1"/>
  <c r="B1506" i="1"/>
  <c r="B1505" i="1"/>
  <c r="B1486" i="1"/>
  <c r="B1485" i="1"/>
  <c r="B1484" i="1"/>
  <c r="B1483" i="1"/>
  <c r="B1482" i="1"/>
  <c r="B1481" i="1"/>
  <c r="B1480" i="1"/>
  <c r="B1479" i="1"/>
  <c r="B1473" i="1"/>
  <c r="B1459" i="1"/>
  <c r="B1458" i="1"/>
  <c r="B1457" i="1"/>
  <c r="B1456" i="1"/>
  <c r="B1455" i="1"/>
  <c r="B1454" i="1"/>
  <c r="B1453" i="1"/>
  <c r="B1452" i="1"/>
  <c r="B1449" i="1"/>
  <c r="B1448" i="1"/>
  <c r="B1447" i="1"/>
  <c r="B1446" i="1"/>
  <c r="B1445" i="1"/>
  <c r="B1444" i="1"/>
  <c r="B1443" i="1"/>
  <c r="B1433" i="1"/>
  <c r="B1432" i="1"/>
  <c r="B1431" i="1"/>
  <c r="B1430" i="1"/>
  <c r="B1429" i="1"/>
  <c r="B1426" i="1"/>
  <c r="B1425" i="1"/>
  <c r="B1424" i="1"/>
  <c r="B1423" i="1"/>
  <c r="B1422" i="1"/>
  <c r="B1421" i="1"/>
  <c r="B1420" i="1"/>
  <c r="B1419" i="1"/>
  <c r="B1397" i="1"/>
  <c r="B1377" i="1"/>
  <c r="B1376" i="1"/>
  <c r="B1375" i="1"/>
  <c r="B1374" i="1"/>
  <c r="B1307" i="1"/>
  <c r="B1306" i="1"/>
  <c r="B1305" i="1"/>
  <c r="B1304" i="1"/>
  <c r="B1260" i="1"/>
  <c r="B1253" i="1"/>
  <c r="B1252" i="1"/>
  <c r="B1251" i="1"/>
  <c r="B1250" i="1"/>
  <c r="B1249" i="1"/>
  <c r="B1248" i="1"/>
  <c r="B1240" i="1"/>
  <c r="B1239" i="1"/>
  <c r="B1238" i="1"/>
  <c r="B1237" i="1"/>
  <c r="B1221" i="1"/>
  <c r="B1220" i="1"/>
  <c r="B1219" i="1"/>
  <c r="B825" i="1"/>
  <c r="B809" i="1"/>
  <c r="B808" i="1"/>
  <c r="B807" i="1"/>
  <c r="B803" i="1"/>
  <c r="B802" i="1"/>
  <c r="B801" i="1"/>
  <c r="B800" i="1"/>
  <c r="B799" i="1"/>
  <c r="B798" i="1"/>
  <c r="B797" i="1"/>
  <c r="B597" i="1"/>
  <c r="B312" i="1"/>
  <c r="B311" i="1"/>
  <c r="B309" i="1"/>
  <c r="B287" i="1"/>
  <c r="B78" i="1"/>
  <c r="B77" i="1"/>
</calcChain>
</file>

<file path=xl/sharedStrings.xml><?xml version="1.0" encoding="utf-8"?>
<sst xmlns="http://schemas.openxmlformats.org/spreadsheetml/2006/main" count="21105" uniqueCount="14131">
  <si>
    <t>商品名</t>
  </si>
  <si>
    <t>商品コード</t>
  </si>
  <si>
    <t>仕様</t>
    <phoneticPr fontId="18"/>
  </si>
  <si>
    <t>定価</t>
    <rPh sb="0" eb="2">
      <t>テイカ</t>
    </rPh>
    <phoneticPr fontId="18"/>
  </si>
  <si>
    <t>フリー</t>
  </si>
  <si>
    <t>純正</t>
  </si>
  <si>
    <t>EPSON A3モノクロページプリンター LP-S3250</t>
  </si>
  <si>
    <t>アクリルパーテーション 60X60 窓付き　4枚ｾｯﾄ</t>
  </si>
  <si>
    <t>EPSON A4ｶﾗｰｲﾝｸｼﾞｪｯﾄ PX-S740</t>
  </si>
  <si>
    <t>RICOH  PPCｽﾃｰﾌﾟﾗｰ針 ﾀｲﾌﾟN 5000針×2個/箱  315253</t>
  </si>
  <si>
    <t>RICOH  PPCｽﾃｰﾌﾟﾗｰ ｶｰﾄﾘｯｼﾞ ﾀｲﾌﾟV 5000 319167 3251638</t>
  </si>
  <si>
    <t>3410SD</t>
  </si>
  <si>
    <t>富士ﾌｲﾙﾑ ﾚｰｻﾞｰﾌﾟﾘﾝﾀｰ ApeosPort Print 3410SD (NL300086)</t>
  </si>
  <si>
    <t>3ED28A</t>
  </si>
  <si>
    <t>HP712B ｲﾝｸｶｰﾄﾘｯｼﾞ 3ED28A ﾌﾞﾗｯｸ 38ml</t>
  </si>
  <si>
    <t>3ED67A</t>
  </si>
  <si>
    <t>HP712 ｲﾝｸｶｰﾄﾘｯｼﾞ 3ED67A ｼｱﾝ 29ml</t>
  </si>
  <si>
    <t>3ED68A</t>
  </si>
  <si>
    <t>HP712 ｲﾝｸｶｰﾄﾘｯｼﾞ 3ED68A ﾏｾﾞﾝﾀ 29ml</t>
  </si>
  <si>
    <t>3ED69A</t>
  </si>
  <si>
    <t>HP712 ｲﾝｸｶｰﾄﾘｯｼﾞ 3ED69A ｲｴﾛｰ 29ml</t>
  </si>
  <si>
    <t>4020SD</t>
  </si>
  <si>
    <t>富士ﾌｲﾙﾑ ﾚｰｻﾞｰﾌﾟﾘﾝﾀｰ ApeosPort Print 4020SD  (NL300085)</t>
  </si>
  <si>
    <t>51645AA</t>
  </si>
  <si>
    <t>HP45 ﾌﾟﾘﾝﾄｶｰﾄﾘｯｼﾞ 黒  51645AA#003</t>
  </si>
  <si>
    <t>527F9A</t>
  </si>
  <si>
    <t>HP LaserJet ﾄﾅｰｺﾚｸｼｮﾝﾕﾆｯﾄ 527F9A</t>
  </si>
  <si>
    <t>527G0A</t>
  </si>
  <si>
    <t>HP LJ ﾌｭｰｻﾞｰｷｯﾄ 527G0A</t>
  </si>
  <si>
    <t>527G2A</t>
  </si>
  <si>
    <t>HP LaserJet ｴﾝﾊﾝｽﾌｭｰｻﾞｰｷｯﾄ 527G2A</t>
  </si>
  <si>
    <t>527G6A</t>
  </si>
  <si>
    <t>HP LJ ｴﾝﾊﾝｽﾌｭｰｻﾞｰｷｯﾄ 527G6A</t>
  </si>
  <si>
    <t>527G9A</t>
  </si>
  <si>
    <t>HP LJ ｲﾒｰｼﾞﾄﾗﾝｽﾌｧｰﾍﾞﾙﾄｷｯﾄ 527G9A</t>
  </si>
  <si>
    <t>527H2A</t>
  </si>
  <si>
    <t>HP LJ ﾄﾚｲﾛｰﾗｰｷｯﾄ(ﾄﾚｲ2用) 527H2A</t>
  </si>
  <si>
    <t>527H3A</t>
  </si>
  <si>
    <t>HP LJ ﾄﾚｲﾛｰﾗｰｷｯﾄ(ﾄﾚｲ1用) 527H3A</t>
  </si>
  <si>
    <t>6H122A</t>
  </si>
  <si>
    <t>HP LaserJet ADFﾒﾝﾃﾅﾝｽｷｯﾄ 6H122A</t>
  </si>
  <si>
    <t>B432dnw</t>
  </si>
  <si>
    <t>OKI ﾚｰｻﾞｰﾌﾟﾘﾝﾀｰ B432dnw</t>
  </si>
  <si>
    <t>B6Y01A</t>
  </si>
  <si>
    <t>HP  HP771B ｲﾝｸｶｰﾄﾘｯｼﾞ ﾏｾﾞﾝﾀ B6Y01A</t>
  </si>
  <si>
    <t>B6Y03A</t>
  </si>
  <si>
    <t>HP  HP771B ｲﾝｸｶｰﾄﾘｯｼﾞ ﾗｲﾄﾏｾﾞﾝﾀ B6Y03A</t>
  </si>
  <si>
    <t>B6Y04A</t>
  </si>
  <si>
    <t>HP  HP771B ｲﾝｸｶｰﾄﾘｯｼﾞ ﾗｲﾄｼｱﾝ B6Y04A</t>
  </si>
  <si>
    <t>B822dn</t>
  </si>
  <si>
    <t>OKI ﾚｰｻﾞｰﾌﾟﾘﾝﾀｰ B822dn</t>
  </si>
  <si>
    <t>B842dn</t>
  </si>
  <si>
    <t>OKI ﾚｰｻﾞｰﾌﾟﾘﾝﾀｰ B842dn</t>
  </si>
  <si>
    <t>B842dnt</t>
  </si>
  <si>
    <t>OKI ﾚｰｻﾞｰﾌﾟﾘﾝﾀｰ B842dnt</t>
  </si>
  <si>
    <t>BPTL700</t>
  </si>
  <si>
    <t>SHARP BPTL700　一次転写ｸﾘｰﾅｰﾌﾞﾚｰﾄﾞ</t>
  </si>
  <si>
    <t>C1P70A</t>
  </si>
  <si>
    <t>ADF ﾛｰﾗｰｷｯﾄ C1P70A</t>
  </si>
  <si>
    <t>C2410SD</t>
  </si>
  <si>
    <t>富士ﾌｲﾙﾑ ﾚｰｻﾞｰﾌﾟﾘﾝﾀｰ ApeosPort Print C2410SD (NC100608)</t>
  </si>
  <si>
    <t>C4570</t>
  </si>
  <si>
    <t>富士ﾌｲﾙﾑ ﾚｰｻﾞｰﾌﾟﾘﾝﾀｰ ApeosPrint C4570 (NC100646)</t>
  </si>
  <si>
    <t>C650dnw</t>
  </si>
  <si>
    <t>OKI ﾚｰｻﾞｰﾌﾟﾘﾝﾀｰ C650dnw</t>
  </si>
  <si>
    <t>C6656AA</t>
  </si>
  <si>
    <t>-終息- HP56ﾌﾟﾘﾝﾄｶｰﾄﾘｯｼﾞ 黒 C6656AA#003</t>
  </si>
  <si>
    <t>C7977A</t>
  </si>
  <si>
    <t>HP　LTO7 Ultrium 15TB RW ﾃﾞｰﾀｶｰﾄﾘｯｼﾞ C7977A</t>
  </si>
  <si>
    <t>C811dn</t>
  </si>
  <si>
    <t>OKI COREFIDO C811dn</t>
  </si>
  <si>
    <t>C824dn</t>
  </si>
  <si>
    <t>OKI ﾚｰｻﾞｰﾌﾟﾘﾝﾀｰ C824dn</t>
  </si>
  <si>
    <t>C835dnw</t>
  </si>
  <si>
    <t>OKI ﾚｰｻﾞｰｶﾗｰﾌﾟﾘﾝﾀｰ C835dnw</t>
  </si>
  <si>
    <t>C844dnw</t>
  </si>
  <si>
    <t>OKI ﾚｰｻﾞｰｶﾗｰﾌﾟﾘﾝﾀｰ C844dnw</t>
  </si>
  <si>
    <t>C8766HJ</t>
  </si>
  <si>
    <t>HP135 ﾌﾟﾘﾝﾄｶｰﾄﾘｯｼﾞ  ｶﾗｰ C8766HJ</t>
  </si>
  <si>
    <t>C911dn</t>
  </si>
  <si>
    <t>OKI ﾚｰｻﾞｰﾌﾟﾘﾝﾀｰ C911dn</t>
  </si>
  <si>
    <t>C931dn</t>
  </si>
  <si>
    <t>OKI ﾚｰｻﾞｰﾌﾟﾘﾝﾀｰ C931dn</t>
  </si>
  <si>
    <t>C9364HJ</t>
  </si>
  <si>
    <t>-終息-HP　HP129  ﾌﾟﾘﾝﾄｶｰﾄﾘｯｼﾞ  黒　C9364HJ</t>
  </si>
  <si>
    <t>C941dn</t>
  </si>
  <si>
    <t>OKI ﾚｰｻﾞｰﾌﾟﾘﾝﾀｰ C941dn</t>
  </si>
  <si>
    <t>C9730A</t>
  </si>
  <si>
    <t>HP　ﾌﾟﾘﾝﾄｶｰﾄﾘｯｼﾞ　C9730A 黒</t>
  </si>
  <si>
    <t>C9731A</t>
  </si>
  <si>
    <t>HP　ﾌﾟﾘﾝﾄｶｰﾄﾘｯｼﾞ　C9731A　 ｼｱﾝ</t>
  </si>
  <si>
    <t>C9732A</t>
  </si>
  <si>
    <t>HP　ﾌﾟﾘﾝﾄｶｰﾄﾘｯｼﾞ　C9732A　 ｲｴﾛｰ</t>
  </si>
  <si>
    <t>C9733A</t>
  </si>
  <si>
    <t>HP　ﾌﾟﾘﾝﾄｶｰﾄﾘｯｼﾞ　C9733A　 ﾏｾﾞﾝﾀ</t>
  </si>
  <si>
    <t>CAN</t>
  </si>
  <si>
    <t>※CANON直送のため納期確認中</t>
  </si>
  <si>
    <t>CB316HJ</t>
  </si>
  <si>
    <t>HP178 ｲﾝｸｶｰﾄﾘｯｼﾞ 黒 CB316HJ</t>
  </si>
  <si>
    <t>CB318HJ</t>
  </si>
  <si>
    <t>HP178 ｲﾝｸｶｰﾄﾘｯｼﾞ ｼｱﾝ CB318HJ</t>
  </si>
  <si>
    <t>CB319HJ</t>
  </si>
  <si>
    <t>HP178 ｲﾝｸｶｰﾄﾘｯｼﾞ ﾏｾﾞﾝﾀ CB319HJ</t>
  </si>
  <si>
    <t>CB320HJ</t>
  </si>
  <si>
    <t>HP178 ｲﾝｸｶｰﾄﾘｯｼﾞ ｲｴﾛｰ CB320HJ</t>
  </si>
  <si>
    <t>CC640HJ</t>
  </si>
  <si>
    <t>HP HP121 ﾌﾟﾘﾝﾄｶｰﾄﾘｯｼﾞ 黒 CC640HJ</t>
  </si>
  <si>
    <t>CC643HJ</t>
  </si>
  <si>
    <t>HP HP121 ﾌﾟﾘﾝﾄｶｰﾄﾘｯｼﾞ 3色ｶﾗｰ CC643HJ</t>
  </si>
  <si>
    <t>CE248A</t>
  </si>
  <si>
    <t>ADFﾒﾝﾃﾅﾝｽｷｯﾄ (CM4540) CE248A</t>
  </si>
  <si>
    <t>CE270A</t>
  </si>
  <si>
    <t>HP ﾌﾟﾘﾝﾄｶｰﾄﾘｯｼﾞ 黒 (CP5525) CE270A</t>
  </si>
  <si>
    <t>CE271A</t>
  </si>
  <si>
    <t>HP ﾌﾟﾘﾝﾄｶｰﾄﾘｯｼﾞ CE271A ｼｱﾝ (CP5525)</t>
  </si>
  <si>
    <t>CE272A</t>
  </si>
  <si>
    <t>HP ﾌﾟﾘﾝﾄｶｰﾄﾘｯｼﾞ CE272A ｲｴﾛｰ (CP5525)</t>
  </si>
  <si>
    <t>CE273A</t>
  </si>
  <si>
    <t>HP ﾌﾟﾘﾝﾄｶｰﾄﾘｯｼﾞ CE273A ﾏｾﾞﾝﾀ (CP5525)</t>
  </si>
  <si>
    <t>CE340A</t>
  </si>
  <si>
    <t>HP 651A 黒 ﾄﾅｰｶｰﾄﾘｯｼﾞ CE340A</t>
  </si>
  <si>
    <t>CE341A</t>
  </si>
  <si>
    <t>HP 651A ｼｱﾝ ﾄﾅｰｶｰﾄﾘｯｼﾞ CE341A</t>
  </si>
  <si>
    <t>CE342A</t>
  </si>
  <si>
    <t>HP 651A ｲｴﾛｰ ﾄﾅｰｶｰﾄﾘｯｼﾞ CE342A</t>
  </si>
  <si>
    <t>CE343A</t>
  </si>
  <si>
    <t>HP 651A ﾏｾﾞﾝﾀ ﾄﾅｰｶｰﾄﾘｯｼﾞ CE343A</t>
  </si>
  <si>
    <t>CE390X</t>
  </si>
  <si>
    <t>HP　HP　90X ﾄﾅｰｶｰﾄﾘｯｼﾞ 黒 大容量　CE390X</t>
  </si>
  <si>
    <t>CF214A</t>
  </si>
  <si>
    <t>HP 14A ﾄﾅｰｶｰﾄﾘｯｼﾞ 黒 CF214A</t>
  </si>
  <si>
    <t>CF214X</t>
  </si>
  <si>
    <t>HP 14X ﾄﾅｰｶｰﾄﾘｯｼﾞ 黒 大容量 CF214X</t>
  </si>
  <si>
    <t>CF237Y</t>
  </si>
  <si>
    <t>HP37 Y 黒(大容量) CF237Y トナー</t>
  </si>
  <si>
    <t>CF287X</t>
  </si>
  <si>
    <t>HP　HP 87X ﾄﾅｰｶｰﾄﾘｯｼﾞ 黒(大容量)　CF287X</t>
  </si>
  <si>
    <t>CH562WA</t>
  </si>
  <si>
    <t>HP61 ｲﾝｸｶｰﾄﾘｯｼﾞ　CH562WA ｶﾗｰ</t>
  </si>
  <si>
    <t>CH563WA</t>
  </si>
  <si>
    <t>HP HP61XL CH563WA ｲﾝｸｶｰﾄﾘｯｼﾞ 黒(増量)</t>
  </si>
  <si>
    <t>CH564WA</t>
  </si>
  <si>
    <t>HP HP61XL CH564WA ｲﾝｸｶｰﾄﾘｯｼﾞ ｶﾗｰ(増量)</t>
  </si>
  <si>
    <t>CIB07CB</t>
  </si>
  <si>
    <t>互換</t>
  </si>
  <si>
    <t>CIB07CL4B</t>
  </si>
  <si>
    <t>-使用不可-互換 ｲﾝｸｶｰﾄﾘｯｼﾞ IB07CL4B 4色ｾｯﾄ</t>
  </si>
  <si>
    <t>CIB07KB</t>
  </si>
  <si>
    <t>CIB07MB</t>
  </si>
  <si>
    <t>CIB07YB</t>
  </si>
  <si>
    <t>CN045AA</t>
  </si>
  <si>
    <t>HP 950XL ｲﾝｸｶｰﾄﾘｯｼﾞ　CN045AA 　黒 (増量)</t>
  </si>
  <si>
    <t>CN046AA</t>
  </si>
  <si>
    <t>HP 951XL ｲﾝｸｶｰﾄﾘｯｼﾞ　CN046AA ｼｱﾝ</t>
  </si>
  <si>
    <t>CN047AA</t>
  </si>
  <si>
    <t>HP 951XL ｲﾝｸｶｰﾄﾘｯｼﾞ　CN047AA ﾏｾﾞﾝﾀ</t>
  </si>
  <si>
    <t>CN048AA</t>
  </si>
  <si>
    <t>HP 951XL ｲﾝｸｶｰﾄﾘｯｼﾞ　CN048AA ｲｴﾛｰ</t>
  </si>
  <si>
    <t>CN057AA</t>
  </si>
  <si>
    <t>HP932 ｲﾝｸｶｰﾄﾘｯｼﾞ 黒 CN057AA</t>
  </si>
  <si>
    <t>CN684HJ</t>
  </si>
  <si>
    <t>HP178XL ｲﾝｸｶｰﾄﾘｯｼﾞ 黒 ｽﾘﾑ増量 CN684HJ</t>
  </si>
  <si>
    <t>CR281AA</t>
  </si>
  <si>
    <t>HP178 ｲﾝｸｶｰﾄﾘｯｼﾞ 4色ﾏﾙﾁﾊﾟｯｸ CR281AA</t>
  </si>
  <si>
    <t>D</t>
  </si>
  <si>
    <t>※現在、出荷元の倉庫が逼迫しているため、回答納期より遅れが生じる可能性がございます。予めご容赦ください。</t>
  </si>
  <si>
    <t>DR225W2</t>
  </si>
  <si>
    <t>CANON  ﾄﾞｷｭﾒﾝﾄｽｷｬﾅｰ DR-C225WⅡ　3259C001</t>
  </si>
  <si>
    <t>DR290CL</t>
  </si>
  <si>
    <t>brother ﾄﾞﾗﾑﾕﾆｯﾄ DR-290CL</t>
  </si>
  <si>
    <t>DR290CLBK</t>
  </si>
  <si>
    <t>brother ﾄﾞﾗﾑﾕﾆｯﾄ DR-290CL-BK</t>
  </si>
  <si>
    <t>DR290CLCMY</t>
  </si>
  <si>
    <t>brother ﾄﾞﾗﾑﾕﾆｯﾄ DR-290CL-CMY</t>
  </si>
  <si>
    <t>EMPTY</t>
  </si>
  <si>
    <t>使用済みカートリッジ買取</t>
  </si>
  <si>
    <t>END</t>
  </si>
  <si>
    <t>※送り状に「様分」と記載をお願いします。</t>
  </si>
  <si>
    <t>EW-M530F</t>
  </si>
  <si>
    <t>EPSON ｲﾝｸｼﾞｪｯﾄ 複合機 EW-M530F</t>
  </si>
  <si>
    <t>EW-M5610FT</t>
  </si>
  <si>
    <t>EPSON ｲﾝｸｼﾞｪｯﾄ 多機能ﾓﾃﾞﾙ EW-M5610FT</t>
  </si>
  <si>
    <t>EW-M674FT</t>
  </si>
  <si>
    <t>EPSON ｲﾝｸｼﾞｪｯﾄ 複合機 EW-M674FT</t>
  </si>
  <si>
    <t>F6U61AA</t>
  </si>
  <si>
    <t>HP63 ｲﾝｸｶｰﾄﾘｯｼﾞ F6U61AA ｶﾗー</t>
  </si>
  <si>
    <t>F6U63AA</t>
  </si>
  <si>
    <t>HP63XL ｲﾝｸｶｰﾄﾘｯｼﾞ ｶﾗｰ(増量) F6U63AA</t>
  </si>
  <si>
    <t>F6U64AA</t>
  </si>
  <si>
    <t>HP63XL ｲﾝｸｶｰﾄﾘｯｼﾞ 黒(増量) F6U64AA</t>
  </si>
  <si>
    <t>F9J81A</t>
  </si>
  <si>
    <t>HP HP729 F9J81A ﾌﾟﾘﾝﾄﾍｯﾄﾞ</t>
  </si>
  <si>
    <t>G1330</t>
  </si>
  <si>
    <t>CANON ｲﾝｸｼﾞｪｯﾄﾌﾟﾘﾝﾀｰ G1330</t>
  </si>
  <si>
    <t>G3370</t>
  </si>
  <si>
    <t>CANON ｲﾝｸｼﾞｪｯﾄ 複合機 G3370</t>
  </si>
  <si>
    <t>G5030</t>
  </si>
  <si>
    <t>CANON ｲﾝｸｼﾞｪｯﾄﾌﾟﾘﾝﾀｰ G5030</t>
  </si>
  <si>
    <t>G6030</t>
  </si>
  <si>
    <t>CANON ｲﾝｸｼﾞｪｯﾄ 複合機 G6030</t>
  </si>
  <si>
    <t>G7030</t>
  </si>
  <si>
    <t>CANON ｲﾝｸｼﾞｪｯﾄ 複合機 G7030</t>
  </si>
  <si>
    <t>GM2030</t>
  </si>
  <si>
    <t>CANON ｲﾝｸｼﾞｪｯﾄﾌﾟﾘﾝﾀｰ GM2030</t>
  </si>
  <si>
    <t>GM4030</t>
  </si>
  <si>
    <t>CANON ｲﾝｸｼﾞｪｯﾄ 複合機 GM4030</t>
  </si>
  <si>
    <t>GX4030</t>
  </si>
  <si>
    <t>CANON ｲﾝｸｼﾞｪｯﾄ 複合機 GX4030</t>
  </si>
  <si>
    <t>GX5030</t>
  </si>
  <si>
    <t>CANON ｲﾝｸｼﾞｪｯﾄﾌﾟﾘﾝﾀｰ GX5030</t>
  </si>
  <si>
    <t>GX6030</t>
  </si>
  <si>
    <t>CANON ｲﾝｸｼﾞｪｯﾄ 複合機 GX6030</t>
  </si>
  <si>
    <t>GX7030</t>
  </si>
  <si>
    <t>CANON ｲﾝｸｼﾞｪｯﾄ 複合機 GX7030</t>
  </si>
  <si>
    <t>HAISO</t>
  </si>
  <si>
    <t>送料</t>
  </si>
  <si>
    <t>HAMO</t>
  </si>
  <si>
    <t>※入荷商品に送り状が直貼りされている場合は、剥がさずにそのまま梱包して出荷をお願いします</t>
  </si>
  <si>
    <t>IB09KB</t>
  </si>
  <si>
    <t>EPSON ｲﾝｸｶｰﾄﾘｯｼﾞ IB09KB</t>
  </si>
  <si>
    <t>iB4130</t>
  </si>
  <si>
    <t>CANON ｲﾝｸｼﾞｪｯﾄﾌﾟﾘﾝﾀｰ MAXIFY iB4130</t>
  </si>
  <si>
    <t>ICC86</t>
  </si>
  <si>
    <t>EPSON ｲﾝｸｶｰﾄﾘｯｼﾞ ICC86</t>
  </si>
  <si>
    <t>ICLGY97</t>
  </si>
  <si>
    <t>EPSON ｲﾝｸｶｰﾄﾘｯｼﾞ ﾗｲﾄｸﾞﾚｰ ICLGY97</t>
  </si>
  <si>
    <t>ICM86</t>
  </si>
  <si>
    <t>EPSON ｲﾝｸｶｰﾄﾘｯｼﾞ ICM86</t>
  </si>
  <si>
    <t>ICY86</t>
  </si>
  <si>
    <t>EPSON ｲﾝｸｶｰﾄﾘｯｼﾞ ICY86</t>
  </si>
  <si>
    <t>IJLF6436J</t>
  </si>
  <si>
    <t>TANOSEE 普通紙36ｲﾝﾁﾛｰﾙ IJLF6436J 914mm×50m 2本/箱</t>
  </si>
  <si>
    <t>※第15489-31687号</t>
  </si>
  <si>
    <t>IJLF64A1J</t>
  </si>
  <si>
    <t>普通紙ﾛｰﾙ A1ﾛｰﾙ 594mmx50m 1箱(2本) IJLF64A1J</t>
  </si>
  <si>
    <t>厚み:85μm白色:約92％坪量:64g/m2　※第15489-31522号</t>
  </si>
  <si>
    <t>IJRJEF594A</t>
  </si>
  <si>
    <t>ｲﾝｸｼﾞｪｯﾄ用普通紙 A1ﾛｰﾙ 594x50m 1箱(2本) IJRJEF594A</t>
  </si>
  <si>
    <t>厚み:92μm白色:約87％坪量:64g/m2　※第15489-31522号</t>
  </si>
  <si>
    <t>IP6530</t>
  </si>
  <si>
    <t>RICOH ﾚｰｻﾞｰﾌﾟﾘﾝﾀｰ IP 6530</t>
  </si>
  <si>
    <t>IPC6020</t>
  </si>
  <si>
    <t>RICOH ﾚｰｻﾞｰﾌﾟﾘﾝﾀｰ IP C6020　【514471】</t>
  </si>
  <si>
    <t>iX6830</t>
  </si>
  <si>
    <t>CANON ｲﾝｸｼﾞｪｯﾄﾌﾟﾘﾝﾀｰ iX6830</t>
  </si>
  <si>
    <t>J</t>
  </si>
  <si>
    <t>※住所変更のため送り先注意願います</t>
  </si>
  <si>
    <t>J01098</t>
  </si>
  <si>
    <t>ｱﾌﾟﾃｨ 01098 M643/653用ｶｾｯﾄﾘﾎﾞﾝ 1個+詰替えﾘﾎﾞﾝ4個ｾｯﾄ 1箱</t>
  </si>
  <si>
    <t>J0160360</t>
  </si>
  <si>
    <t>富士通 0160360 LTO Ultrium7 ﾃﾞｰﾀｶｰﾄﾘｯｼﾞ 6.0TB(非圧縮時)/15TB(圧縮時)</t>
  </si>
  <si>
    <t>J036</t>
  </si>
  <si>
    <t>CANON ﾄﾅｰｶｰﾄﾘｯｼﾞ 036</t>
  </si>
  <si>
    <t>J038BK</t>
  </si>
  <si>
    <t>CANON ﾄﾅｰｶｰﾄﾘｯｼﾞ038 BK</t>
  </si>
  <si>
    <t>J038C</t>
  </si>
  <si>
    <t>CANON ﾄﾅｰｶｰﾄﾘｯｼﾞ038 C</t>
  </si>
  <si>
    <t>J038M</t>
  </si>
  <si>
    <t>CANON ﾄﾅｰｶｰﾄﾘｯｼﾞ038 M</t>
  </si>
  <si>
    <t>J038Y</t>
  </si>
  <si>
    <t>CANON ﾄﾅｰｶｰﾄﾘｯｼﾞ038 Y</t>
  </si>
  <si>
    <t>J039</t>
  </si>
  <si>
    <t>CANON ﾄﾅｰｶｰﾄﾘｯｼﾞ 039　 0287C001</t>
  </si>
  <si>
    <t>J039H</t>
  </si>
  <si>
    <t>CANON ﾄﾅｰｶｰﾄﾘｯｼﾞ 039H    0288C001</t>
  </si>
  <si>
    <t>J040BK</t>
  </si>
  <si>
    <t>CANON ﾄﾅｰｶｰﾄﾘｯｼﾞ040 BK　0460C001</t>
  </si>
  <si>
    <t>J040C</t>
  </si>
  <si>
    <t>CANON ﾄﾅｰｶｰﾄﾘｯｼﾞ040 C　0458C001</t>
  </si>
  <si>
    <t>J040HC</t>
  </si>
  <si>
    <t>CANON ﾄﾅｰｶｰﾄﾘｯｼﾞ040H C　0459C001</t>
  </si>
  <si>
    <t>J040HK</t>
  </si>
  <si>
    <t>CANON ﾄﾅｰｶｰﾄﾘｯｼﾞ040H BK　0461C001</t>
  </si>
  <si>
    <t>J040HM</t>
  </si>
  <si>
    <t>CANON ﾄﾅｰｶｰﾄﾘｯｼﾞ040H M　0457C001</t>
  </si>
  <si>
    <t>J040HY</t>
  </si>
  <si>
    <t>CANON ﾄﾅｰｶｰﾄﾘｯｼﾞ040H Y　0455C001</t>
  </si>
  <si>
    <t>J040M</t>
  </si>
  <si>
    <t>CANON ﾄﾅｰｶｰﾄﾘｯｼﾞ040 M　0456C001</t>
  </si>
  <si>
    <t>J040Y</t>
  </si>
  <si>
    <t>CANON ﾄﾅｰｶｰﾄﾘｯｼﾞ040 Y　0454C001</t>
  </si>
  <si>
    <t>J041</t>
  </si>
  <si>
    <t>CANON ﾄﾅｰｶｰﾄﾘｯｼﾞ 041  0452C003</t>
  </si>
  <si>
    <t>J041H</t>
  </si>
  <si>
    <t>CANON ﾄﾅｰｶｰﾄﾘｯｼﾞ 041H</t>
  </si>
  <si>
    <t>J042</t>
  </si>
  <si>
    <t>CANON ﾄﾅｰｶｰﾄﾘｯｼﾞ 042　0466C001</t>
  </si>
  <si>
    <t>J042H</t>
  </si>
  <si>
    <t>CANON ﾄﾅｰｶｰﾄﾘｯｼﾞ 042H</t>
  </si>
  <si>
    <t>J042HECO</t>
  </si>
  <si>
    <t>CANON ﾄﾅｰｶｰﾄﾘｯｼﾞ 042H ｴｺﾃｯｸⅡ(16.8K)</t>
  </si>
  <si>
    <t>J042VP</t>
  </si>
  <si>
    <t>CANON ﾄﾅｰｶｰﾄﾘｯｼﾞ 042VP　0466C004</t>
  </si>
  <si>
    <t>J045BK</t>
  </si>
  <si>
    <t>CANON ﾄﾅｰｶｰﾄﾘｯｼﾞ045 BK 【1242C003】</t>
  </si>
  <si>
    <t>J045C</t>
  </si>
  <si>
    <t>CANON ﾄﾅｰｶｰﾄﾘｯｼﾞ045 C 【1241C003】</t>
  </si>
  <si>
    <t>J045HBK</t>
  </si>
  <si>
    <t>CANON ﾄﾅｰｶｰﾄﾘｯｼﾞ045H BK　1246C003</t>
  </si>
  <si>
    <t>J045HC</t>
  </si>
  <si>
    <t>CANON ﾄﾅｰｶｰﾄﾘｯｼﾞ045H C　1245C003</t>
  </si>
  <si>
    <t>J045HM</t>
  </si>
  <si>
    <t>CANON ﾄﾅｰｶｰﾄﾘｯｼﾞ045H M　1244C003</t>
  </si>
  <si>
    <t>J045HY</t>
  </si>
  <si>
    <t>CANON ﾄﾅｰｶｰﾄﾘｯｼﾞ045H Y　1243C003</t>
  </si>
  <si>
    <t>J045M</t>
  </si>
  <si>
    <t>CANON ﾄﾅｰｶｰﾄﾘｯｼﾞ045 Ｍ 【1240C003】</t>
  </si>
  <si>
    <t>J045Y</t>
  </si>
  <si>
    <t>CANON ﾄﾅｰｶｰﾄﾘｯｼﾞ045 Y 【1239C003】</t>
  </si>
  <si>
    <t>J046BK</t>
  </si>
  <si>
    <t>CANON ﾄﾅｰｶｰﾄﾘｯｼﾞ046 BK　1250C003</t>
  </si>
  <si>
    <t>J046C</t>
  </si>
  <si>
    <t>CANON ﾄﾅｰｶｰﾄﾘｯｼﾞ046 C　1249C003</t>
  </si>
  <si>
    <t>J046HBK</t>
  </si>
  <si>
    <t>CANON ﾄﾅｰｶｰﾄﾘｯｼﾞ046H BK　1254C003</t>
  </si>
  <si>
    <t>J046HC</t>
  </si>
  <si>
    <t>CANON ﾄﾅｰｶｰﾄﾘｯｼﾞ046H C　1253C003</t>
  </si>
  <si>
    <t>J046HM</t>
  </si>
  <si>
    <t>CANON ﾄﾅｰｶｰﾄﾘｯｼﾞ046H M　1252C003</t>
  </si>
  <si>
    <t>J046HY</t>
  </si>
  <si>
    <t>CANON ﾄﾅｰｶｰﾄﾘｯｼﾞ046H Y　1251C003</t>
  </si>
  <si>
    <t>J046M</t>
  </si>
  <si>
    <t>CANON ﾄﾅｰｶｰﾄﾘｯｼﾞ046 M　1248C003</t>
  </si>
  <si>
    <t>J046Y</t>
  </si>
  <si>
    <t>CANON ﾄﾅｰｶｰﾄﾘｯｼﾞ046 Y　1247C003</t>
  </si>
  <si>
    <t>J051</t>
  </si>
  <si>
    <t>CANON ﾄﾅｰｶｰﾄﾘｯｼﾞ 051 【2168C003】</t>
  </si>
  <si>
    <t>J051H</t>
  </si>
  <si>
    <t>CANON ﾄﾅｰｶｰﾄﾘｯｼﾞ 051H　2169C003</t>
  </si>
  <si>
    <t>J053HBK</t>
  </si>
  <si>
    <t>CANON ﾄﾅｰｶｰﾄﾘｯｼﾞ053H BK</t>
  </si>
  <si>
    <t>J053HC</t>
  </si>
  <si>
    <t>CANON ﾄﾅｰｶｰﾄﾘｯｼﾞ053H C　2195C001</t>
  </si>
  <si>
    <t>J053HM</t>
  </si>
  <si>
    <t>CANON ﾄﾅｰｶｰﾄﾘｯｼﾞ053H M</t>
  </si>
  <si>
    <t>J053HY</t>
  </si>
  <si>
    <t>CANON ﾄﾅｰｶｰﾄﾘｯｼﾞ053H Y</t>
  </si>
  <si>
    <t>J054BK</t>
  </si>
  <si>
    <t>CANON ﾄﾅｰｶｰﾄﾘｯｼﾞ054 BK 【3024C003】</t>
  </si>
  <si>
    <t>J054C</t>
  </si>
  <si>
    <t>CANON ﾄﾅｰｶｰﾄﾘｯｼﾞ054 C【3023C003】</t>
  </si>
  <si>
    <t>J054HBK</t>
  </si>
  <si>
    <t>CANON ﾄﾅｰｶｰﾄﾘｯｼﾞ054H BK　3028C003</t>
  </si>
  <si>
    <t>J054HC</t>
  </si>
  <si>
    <t>CANON ﾄﾅｰｶｰﾄﾘｯｼﾞ054H C　3027C003</t>
  </si>
  <si>
    <t>J054HM</t>
  </si>
  <si>
    <t>CANON ﾄﾅｰｶｰﾄﾘｯｼﾞ054H M　3026C003</t>
  </si>
  <si>
    <t>J054HY</t>
  </si>
  <si>
    <t>CANON ﾄﾅｰｶｰﾄﾘｯｼﾞ054H Y　3025C003</t>
  </si>
  <si>
    <t>J054M</t>
  </si>
  <si>
    <t>CANON ﾄﾅｰｶｰﾄﾘｯｼﾞ054 M【3022C003】</t>
  </si>
  <si>
    <t>J054Y</t>
  </si>
  <si>
    <t>CANON ﾄﾅｰｶｰﾄﾘｯｼﾞ054 Y【3021C003】</t>
  </si>
  <si>
    <t>J055BK</t>
  </si>
  <si>
    <t>CANON ﾄﾅｰｶｰﾄﾘｯｼﾞ055 BK　3016C003</t>
  </si>
  <si>
    <t>J055C</t>
  </si>
  <si>
    <t>CANON ﾄﾅｰｶｰﾄﾘｯｼﾞ055 C　3015C003</t>
  </si>
  <si>
    <t>J055HBK</t>
  </si>
  <si>
    <t>CANON ﾄﾅｰｶｰﾄﾘｯｼﾞ055H BK　3020C003</t>
  </si>
  <si>
    <t>J055HC</t>
  </si>
  <si>
    <t>CANON ﾄﾅｰｶｰﾄﾘｯｼﾞ055H C　3019C003</t>
  </si>
  <si>
    <t>J055HM</t>
  </si>
  <si>
    <t>CANON ﾄﾅｰｶｰﾄﾘｯｼﾞ055H M　3018C003</t>
  </si>
  <si>
    <t>J055HY</t>
  </si>
  <si>
    <t>CANON ﾄﾅｰｶｰﾄﾘｯｼﾞ055H Y　3017C003</t>
  </si>
  <si>
    <t>J055M</t>
  </si>
  <si>
    <t>CANON ﾄﾅｰｶｰﾄﾘｯｼﾞ055 M　3014C003</t>
  </si>
  <si>
    <t>J055Y</t>
  </si>
  <si>
    <t>CANON ﾄﾅｰｶｰﾄﾘｯｼﾞ055 Y　3013C003</t>
  </si>
  <si>
    <t>J056</t>
  </si>
  <si>
    <t>CANON ﾄﾅｰｶｰﾄﾘｯｼﾞ 056　3007C003</t>
  </si>
  <si>
    <t>J056H</t>
  </si>
  <si>
    <t>CANON ﾄﾅｰｶｰﾄﾘｯｼﾞ 056H (21K)</t>
  </si>
  <si>
    <t>J056L</t>
  </si>
  <si>
    <t>CANON ﾄﾅｰｶｰﾄﾘｯｼﾞ 056L　3006C003</t>
  </si>
  <si>
    <t>J057</t>
  </si>
  <si>
    <t>CANON ﾄﾅｰｶｰﾄﾘｯｼﾞ 057　3009C003</t>
  </si>
  <si>
    <t>J057H</t>
  </si>
  <si>
    <t>CANON ﾄﾅｰｶｰﾄﾘｯｼﾞ 057H</t>
  </si>
  <si>
    <t>J059BK</t>
  </si>
  <si>
    <t>CANON ﾄﾅｰｶｰﾄﾘｯｼﾞ059 BK　3623C001</t>
  </si>
  <si>
    <t>J059C</t>
  </si>
  <si>
    <t>CANON ﾄﾅｰｶｰﾄﾘｯｼﾞ059 C　3622C001</t>
  </si>
  <si>
    <t>J059HBK</t>
  </si>
  <si>
    <t>CANON ﾄﾅｰｶｰﾄﾘｯｼﾞ059H BK</t>
  </si>
  <si>
    <t>J059HC</t>
  </si>
  <si>
    <t>CANON ﾄﾅｰｶｰﾄﾘｯｼﾞ059H C</t>
  </si>
  <si>
    <t>J059HM</t>
  </si>
  <si>
    <t>CANON ﾄﾅｰｶｰﾄﾘｯｼﾞ059H M</t>
  </si>
  <si>
    <t>J059HY</t>
  </si>
  <si>
    <t>CANON ﾄﾅｰｶｰﾄﾘｯｼﾞ059H Y</t>
  </si>
  <si>
    <t>J059M</t>
  </si>
  <si>
    <t>CANON ﾄﾅｰｶｰﾄﾘｯｼﾞ059 M　3621C001</t>
  </si>
  <si>
    <t>J059Y</t>
  </si>
  <si>
    <t>CANON ﾄﾅｰｶｰﾄﾘｯｼﾞ059 Y　3620C001</t>
  </si>
  <si>
    <t>J061</t>
  </si>
  <si>
    <t>CANON ﾄﾅｰｶｰﾄﾘｯｼﾞ061　3760C004</t>
  </si>
  <si>
    <t>J062</t>
  </si>
  <si>
    <t>CANON ﾄﾅｰｶｰﾄﾘｯｼﾞ062　4807C001</t>
  </si>
  <si>
    <t>J062H</t>
  </si>
  <si>
    <t>CANON ﾄﾅｰｶｰﾄﾘｯｼﾞ062H</t>
  </si>
  <si>
    <t>J062HECO</t>
  </si>
  <si>
    <t>CANON ﾄﾅｰｶｰﾄﾘｯｼﾞ062H ｴｺﾃｯｸ</t>
  </si>
  <si>
    <t>J062VP</t>
  </si>
  <si>
    <t>CANON ﾄﾅｰｶｰﾄﾘｯｼﾞ062VP　4807C002</t>
  </si>
  <si>
    <t>J063BK</t>
  </si>
  <si>
    <t>CANON ﾄﾅｰｶｰﾄﾘｯｼﾞ063 BK</t>
  </si>
  <si>
    <t>J063C</t>
  </si>
  <si>
    <t>CANON ﾄﾅｰｶｰﾄﾘｯｼﾞ063 C</t>
  </si>
  <si>
    <t>J063D</t>
  </si>
  <si>
    <t>CANON ﾄﾞﾗﾑﾕﾆｯﾄ 063</t>
  </si>
  <si>
    <t>J063LC</t>
  </si>
  <si>
    <t>CANON ﾄﾅｰｶｰﾄﾘｯｼﾞ063L C</t>
  </si>
  <si>
    <t>J063LM</t>
  </si>
  <si>
    <t>CANON ﾄﾅｰｶｰﾄﾘｯｼﾞ063L M</t>
  </si>
  <si>
    <t>J063LY</t>
  </si>
  <si>
    <t>CANON ﾄﾅｰｶｰﾄﾘｯｼﾞ063L Y</t>
  </si>
  <si>
    <t>J063M</t>
  </si>
  <si>
    <t>CANON ﾄﾅｰｶｰﾄﾘｯｼﾞ063 M</t>
  </si>
  <si>
    <t>J063Y</t>
  </si>
  <si>
    <t>CANON ﾄﾅｰｶｰﾄﾘｯｼﾞ063 Y</t>
  </si>
  <si>
    <t>J064BK</t>
  </si>
  <si>
    <t>CANON ﾄﾅｰｶｰﾄﾘｯｼﾞ064 BK　4937C001</t>
  </si>
  <si>
    <t>J064C</t>
  </si>
  <si>
    <t>CANON ﾄﾅｰｶｰﾄﾘｯｼﾞ064 C　4935C001</t>
  </si>
  <si>
    <t>J064HBK</t>
  </si>
  <si>
    <t>CANON ﾄﾅｰｶｰﾄﾘｯｼﾞ064H BK　4938C001</t>
  </si>
  <si>
    <t>J064HC</t>
  </si>
  <si>
    <t>CANON ﾄﾅｰｶｰﾄﾘｯｼﾞ064H C　4936C001</t>
  </si>
  <si>
    <t>J064HM</t>
  </si>
  <si>
    <t>CANON ﾄﾅｰｶｰﾄﾘｯｼﾞ064H M　4934C001</t>
  </si>
  <si>
    <t>J064HY</t>
  </si>
  <si>
    <t>CANON ﾄﾅｰｶｰﾄﾘｯｼﾞ064H Y　4932C001</t>
  </si>
  <si>
    <t>J064M</t>
  </si>
  <si>
    <t>CANON ﾄﾅｰｶｰﾄﾘｯｼﾞ064 M　4933C001</t>
  </si>
  <si>
    <t>J064Y</t>
  </si>
  <si>
    <t>CANON ﾄﾅｰｶｰﾄﾘｯｼﾞ064 Y　4931C001</t>
  </si>
  <si>
    <t>J067BK</t>
  </si>
  <si>
    <t>CANON ﾄﾅｰｶｰﾄﾘｯｼﾞ067 BK 5102C003</t>
  </si>
  <si>
    <t>J067C</t>
  </si>
  <si>
    <t>CANON ﾄﾅｰｶｰﾄﾘｯｼﾞ067 C　5101C003</t>
  </si>
  <si>
    <t>J067HBK</t>
  </si>
  <si>
    <t>CANON ﾄﾅｰｶｰﾄﾘｯｼﾞ067H BK　5106C003</t>
  </si>
  <si>
    <t>J067HC</t>
  </si>
  <si>
    <t>CANON ﾄﾅｰｶｰﾄﾘｯｼﾞ067H C　5105C003</t>
  </si>
  <si>
    <t>J067HM</t>
  </si>
  <si>
    <t>CANON ﾄﾅｰｶｰﾄﾘｯｼﾞ067H M　5104C003</t>
  </si>
  <si>
    <t>J067HY</t>
  </si>
  <si>
    <t>CANON ﾄﾅｰｶｰﾄﾘｯｼﾞ067H Y　5103C003</t>
  </si>
  <si>
    <t>J067M</t>
  </si>
  <si>
    <t>CANON ﾄﾅｰｶｰﾄﾘｯｼﾞ067 M　5100C003</t>
  </si>
  <si>
    <t>J067Y</t>
  </si>
  <si>
    <t>CANON ﾄﾅｰｶｰﾄﾘｯｼﾞ067 Y　5099C003</t>
  </si>
  <si>
    <t>J068</t>
  </si>
  <si>
    <t>CANON ﾄﾅｰ 068 5142C004</t>
  </si>
  <si>
    <t>J069BK</t>
  </si>
  <si>
    <t>CANON ﾄﾅｰｶｰﾄﾘｯｼﾞ069 BK 5094C003</t>
  </si>
  <si>
    <t>J069C</t>
  </si>
  <si>
    <t>CANON ﾄﾅｰｶｰﾄﾘｯｼﾞ069 C 5093C003</t>
  </si>
  <si>
    <t>J069HBK</t>
  </si>
  <si>
    <t>CANON ﾄﾅｰｶｰﾄﾘｯｼﾞ069H BK 5098C003</t>
  </si>
  <si>
    <t>J069HC</t>
  </si>
  <si>
    <t>CANON ﾄﾅｰｶｰﾄﾘｯｼﾞ069H C 5097C003</t>
  </si>
  <si>
    <t>J069HM</t>
  </si>
  <si>
    <t>CANON ﾄﾅｰｶｰﾄﾘｯｼﾞ069H M 5096C003</t>
  </si>
  <si>
    <t>J069HY</t>
  </si>
  <si>
    <t>CANON ﾄﾅｰｶｰﾄﾘｯｼﾞ069H Y 5095C003</t>
  </si>
  <si>
    <t>J069M</t>
  </si>
  <si>
    <t>CANON ﾄﾅｰｶｰﾄﾘｯｼﾞ069 M 5092C003</t>
  </si>
  <si>
    <t>J069Y</t>
  </si>
  <si>
    <t>CANON ﾄﾅｰｶｰﾄﾘｯｼﾞ069 Y 5091C003</t>
  </si>
  <si>
    <t>J070</t>
  </si>
  <si>
    <t>CANON ﾄﾅｰｶｰﾄﾘｯｼﾞ070　5639C003</t>
  </si>
  <si>
    <t>J070H</t>
  </si>
  <si>
    <t>CANON ﾄﾅｰｶｰﾄﾘｯｼﾞ070H　5640C003</t>
  </si>
  <si>
    <t>J071</t>
  </si>
  <si>
    <t>CANON ﾄﾅｰｶｰﾄﾘｯｼﾞ071　5645C003</t>
  </si>
  <si>
    <t>J071H</t>
  </si>
  <si>
    <t>CANON ﾄﾅｰｶｰﾄﾘｯｼﾞ071H　5646C003</t>
  </si>
  <si>
    <t>J072</t>
  </si>
  <si>
    <t>CANON ﾄﾅｰｶｰﾄﾘｯｼﾞ 072 5647C003</t>
  </si>
  <si>
    <t>J072H</t>
  </si>
  <si>
    <t>CANON ﾄﾅｰｶｰﾄﾘｯｼﾞ 072H 5648C003</t>
  </si>
  <si>
    <t>J073</t>
  </si>
  <si>
    <t>CANON ﾄﾅｰｶｰﾄﾘｯｼﾞ 073 5724C001</t>
  </si>
  <si>
    <t>J0732A033</t>
  </si>
  <si>
    <t>CANON　1段増設カセットAH1　0732A033</t>
  </si>
  <si>
    <t>J073L</t>
  </si>
  <si>
    <t>CANON ﾄﾅｰｶｰﾄﾘｯｼﾞ 073L 5723C001</t>
  </si>
  <si>
    <t>J074</t>
  </si>
  <si>
    <t>CANON ﾄﾅｰｶｰﾄﾘｯｼﾞ 074 5752C002</t>
  </si>
  <si>
    <t>J075BK</t>
  </si>
  <si>
    <t>CANON ﾄﾅｰｶｰﾄﾘｯｼﾞ 075 BK 6365C003</t>
  </si>
  <si>
    <t>J075C</t>
  </si>
  <si>
    <t>CANON ﾄﾅｰｶｰﾄﾘｯｼﾞ 075 C 6364C003</t>
  </si>
  <si>
    <t>J075HBK</t>
  </si>
  <si>
    <t>CANON ﾄﾅｰｶｰﾄﾘｯｼﾞ 075H BK 6369C003</t>
  </si>
  <si>
    <t>J075HC</t>
  </si>
  <si>
    <t>CANON ﾄﾅｰｶｰﾄﾘｯｼﾞ 075H C 6368C003</t>
  </si>
  <si>
    <t>J075HM</t>
  </si>
  <si>
    <t>CANON ﾄﾅｰｶｰﾄﾘｯｼﾞ 075H M 6367C003</t>
  </si>
  <si>
    <t>J075HY</t>
  </si>
  <si>
    <t>CANON ﾄﾅｰｶｰﾄﾘｯｼﾞ 075H Y 6366C003</t>
  </si>
  <si>
    <t>J075M</t>
  </si>
  <si>
    <t>CANON ﾄﾅｰｶｰﾄﾘｯｼﾞ 075 M 6363C003</t>
  </si>
  <si>
    <t>J075Y</t>
  </si>
  <si>
    <t>CANON ﾄﾅｰｶｰﾄﾘｯｼﾞ 075 Y 6362C003</t>
  </si>
  <si>
    <t>J076BK</t>
  </si>
  <si>
    <t>CANON ﾄﾅｰｶｰﾄﾘｯｼﾞ076 BK　6570C001</t>
  </si>
  <si>
    <t>J076C</t>
  </si>
  <si>
    <t>CANON ﾄﾅｰｶｰﾄﾘｯｼﾞ076 C　6568C001</t>
  </si>
  <si>
    <t>J076LBK</t>
  </si>
  <si>
    <t>CANON ﾄﾅｰｶｰﾄﾘｯｼﾞ076L BK　6569C001</t>
  </si>
  <si>
    <t>J076LC</t>
  </si>
  <si>
    <t>CANON ﾄﾅｰｶｰﾄﾘｯｼﾞ076L C　6567C001</t>
  </si>
  <si>
    <t>J076LM</t>
  </si>
  <si>
    <t>CANON ﾄﾅｰｶｰﾄﾘｯｼﾞ076L M　6565C001</t>
  </si>
  <si>
    <t>J076LY</t>
  </si>
  <si>
    <t>CANON ﾄﾅｰｶｰﾄﾘｯｼﾞ076L Y　6563C001</t>
  </si>
  <si>
    <t>J076M</t>
  </si>
  <si>
    <t>CANON ﾄﾅｰｶｰﾄﾘｯｼﾞ076 M　6566C001</t>
  </si>
  <si>
    <t>J076Y</t>
  </si>
  <si>
    <t>CANON ﾄﾅｰｶｰﾄﾘｯｼﾞ076 Y　6564C001</t>
  </si>
  <si>
    <t>J077</t>
  </si>
  <si>
    <t>CANON ﾄﾅｰｶｰﾄﾘｯｼﾞ077　6561C001</t>
  </si>
  <si>
    <t>J077L</t>
  </si>
  <si>
    <t>CANON ﾄﾅｰｶｰﾄﾘｯｼﾞ077L　6560C001</t>
  </si>
  <si>
    <t>J0811110</t>
  </si>
  <si>
    <t>富士通 PS5600A/PS5600B用ﾄﾅｰ 2本/箱</t>
  </si>
  <si>
    <t>J0875110</t>
  </si>
  <si>
    <t>富士通F6761E/Wﾄﾅｰ 4本入 0875110</t>
  </si>
  <si>
    <t>J0875210</t>
  </si>
  <si>
    <t>富士通 F6761E/W現像剤 0875210</t>
  </si>
  <si>
    <t>J0891110</t>
  </si>
  <si>
    <t>富士通 PS5110ｼﾘｰｽﾞﾄﾅｰ 0891110（4本/箱）</t>
  </si>
  <si>
    <t>J0891120</t>
  </si>
  <si>
    <t>富士通 PS5110用現像剤 0891120</t>
  </si>
  <si>
    <t>J0895110</t>
  </si>
  <si>
    <t>富士通 VSP4730ﾄﾅｰ 0895110</t>
  </si>
  <si>
    <t>J0895710</t>
  </si>
  <si>
    <t>富士通 VSP4730ｷｯﾄB 転写・定着ﾕﾆｯﾄ 0895710</t>
  </si>
  <si>
    <t>J14021901</t>
  </si>
  <si>
    <t>[終息]東芝 T-4590J 14021901 大容量</t>
  </si>
  <si>
    <t>J14021902</t>
  </si>
  <si>
    <t>[終息]東芝 T-4590J 14021902 小容量</t>
  </si>
  <si>
    <t>J150011</t>
  </si>
  <si>
    <t>[終息]NEC PR-L1500-11 ﾄﾅｰｶｰﾄﾘｯｼﾞ</t>
  </si>
  <si>
    <t>J150031</t>
  </si>
  <si>
    <t>[在庫限り終息]NEC PR-L1500-31 ﾄﾞﾗﾑｶｰﾄﾘｯｼﾞ</t>
  </si>
  <si>
    <t>J1829C002</t>
  </si>
  <si>
    <t>CANON PPCCS用紙 CS-064 A4 2,500枚 1829C002</t>
  </si>
  <si>
    <t>坪量 64g/m2　厚さ 89μm　白色度 91％</t>
  </si>
  <si>
    <t>J18303K</t>
  </si>
  <si>
    <t>ｺﾆｶﾐﾉﾙﾀ bizhub-1830　3K仕様</t>
  </si>
  <si>
    <t>J18306K</t>
  </si>
  <si>
    <t>ｺﾆｶﾐﾉﾙﾀ bizhub-1830　6K仕様</t>
  </si>
  <si>
    <t>J1842433K</t>
  </si>
  <si>
    <t>ｺﾆｶﾐﾉﾙﾀ bizhub-1842/1843 ﾄﾅｰ 3K仕様</t>
  </si>
  <si>
    <t>J1842436K</t>
  </si>
  <si>
    <t>ｺﾆｶﾐﾉﾙﾀ bizhub-1842/1843 ﾄﾅｰ 6K仕様</t>
  </si>
  <si>
    <t>J1857B001</t>
  </si>
  <si>
    <t>CANON ﾄﾅｰｽﾀﾝﾌﾟｲﾝｸｶｰﾄﾘｯｼﾞ･C1 1857B001</t>
  </si>
  <si>
    <t>J19W</t>
  </si>
  <si>
    <t>RICOH ｲﾏｼﾞｵ ﾄﾅｰ ﾀｲﾌﾟ19W</t>
  </si>
  <si>
    <t>J230055</t>
  </si>
  <si>
    <t>NEC PR-L2300-55 ﾄﾅｰｶｰﾄﾘｯｼﾞ</t>
  </si>
  <si>
    <t>J27</t>
  </si>
  <si>
    <t>RICOH ｲﾏｼﾞｵ ﾄﾅｰ ﾀｲﾌﾟ27</t>
  </si>
  <si>
    <t>J2733V707</t>
  </si>
  <si>
    <t>CANON ｶｰﾄﾞﾌﾟﾘﾝﾀｰ用ｸﾘｰﾆﾝｸﾞｼｰﾄ 1ﾊﾟｯｸ(10枚) 2733V707</t>
  </si>
  <si>
    <t>J28</t>
  </si>
  <si>
    <t>J280055</t>
  </si>
  <si>
    <t>NEC PR-L2800-55 ﾄﾅｰｶｰﾄﾘｯｼﾞ</t>
  </si>
  <si>
    <t>J2900C11</t>
  </si>
  <si>
    <t>-在庫限り終息-NEC PR-L2900C-11 ｲｴﾛｰ ﾄﾅｰｶｰﾄﾘｯｼﾞ</t>
  </si>
  <si>
    <t>J2900C12</t>
  </si>
  <si>
    <t>-在庫限り終息-NEC PR-L2900C-12 ﾏｾﾞﾝﾀﾞ ﾄﾅｰｶｰﾄﾘｯｼﾞ</t>
  </si>
  <si>
    <t>J2900C13</t>
  </si>
  <si>
    <t>-在庫限り終息-NEC PR-L2900C-13 ｼｱﾝ ﾄﾅｰｶｰﾄﾘｯｼﾞ</t>
  </si>
  <si>
    <t>J2900C14</t>
  </si>
  <si>
    <t>-在庫限り終息-NEC PR-L2900C-14 ﾌﾞﾗｯｸ ﾄﾅｰｶｰﾄﾘｯｼﾞ</t>
  </si>
  <si>
    <t>J2900C16</t>
  </si>
  <si>
    <t>-在庫限り終息-NEC PR-L2900C-16 ｲｴﾛｰ(大容量) ﾄﾅｰｶｰﾄﾘｯｼﾞ</t>
  </si>
  <si>
    <t>J2900C17</t>
  </si>
  <si>
    <t>-在庫限り終息-NEC PR-L2900C-17 ﾏｾﾞﾝﾀﾞ(大容量) ﾄﾅｰｶｰﾄﾘｯｼﾞ</t>
  </si>
  <si>
    <t>J2900C18</t>
  </si>
  <si>
    <t>-在庫限り終息-NEC PR-L2900C-18 ｼｱﾝ(大容量) ﾄﾅｰｶｰﾄﾘｯｼﾞ</t>
  </si>
  <si>
    <t>J2900C19</t>
  </si>
  <si>
    <t>-在庫限り終息-NEC PR-L2900C-19 ﾌﾞﾗｯｸ(大容量) ﾄﾅｰｶｰﾄﾘｯｼﾞ</t>
  </si>
  <si>
    <t>J2900C19W</t>
  </si>
  <si>
    <t>-在庫限り終息-NEC PR-L2900C-19W 大容量ﾌﾞﾗｯｸ(2P) ﾄﾅｰｶｰﾄﾘｯｼﾞ</t>
  </si>
  <si>
    <t>J2900C31</t>
  </si>
  <si>
    <t>-在庫限り終息-NEC PR-L2900C-31 ﾄﾞﾗﾑｶｰﾄﾘｯｼﾞ</t>
  </si>
  <si>
    <t>J29W</t>
  </si>
  <si>
    <t>RICOH ｲﾏｼﾞｵ ﾄﾅｰｷｯﾄﾀｲﾌﾟ29W ﾌﾞﾗｯｸ</t>
  </si>
  <si>
    <t>J2PV63A</t>
  </si>
  <si>
    <t>HP HP730 P2V63A ｲﾝｸｶｰﾄﾘｯｼﾞ ﾏｾﾞﾝﾀ 130ml</t>
  </si>
  <si>
    <t>J301BK</t>
  </si>
  <si>
    <t>CANON ﾄﾅｰｶｰﾄﾘｯｼﾞ301 BK</t>
  </si>
  <si>
    <t>J301C</t>
  </si>
  <si>
    <t>CANON ﾄﾅｰｶｰﾄﾘｯｼﾞ301 C</t>
  </si>
  <si>
    <t>J301M</t>
  </si>
  <si>
    <t>CANON ﾄﾅｰｶｰﾄﾘｯｼﾞ301 M</t>
  </si>
  <si>
    <t>J301Y</t>
  </si>
  <si>
    <t>CANON ﾄﾅｰｶｰﾄﾘｯｼﾞ301 Ｙ</t>
  </si>
  <si>
    <t>J303</t>
  </si>
  <si>
    <t>CANON ﾄﾅｰｶｰﾄﾘｯｼﾞ 303　7616A004</t>
  </si>
  <si>
    <t>J304</t>
  </si>
  <si>
    <t>CANON ﾄﾅｰｶｰﾄﾘｯｼﾞ304　0263B005</t>
  </si>
  <si>
    <t>J306</t>
  </si>
  <si>
    <t>CANON ﾄﾅｰｶｰﾄﾘｯｼﾞ306【在庫限り終息】</t>
  </si>
  <si>
    <t>J307A</t>
  </si>
  <si>
    <t>HP 307A 黒 ﾄﾅｰｶｰﾄﾘｯｼﾞ CE740A</t>
  </si>
  <si>
    <t>J307BK</t>
  </si>
  <si>
    <t>J307C</t>
  </si>
  <si>
    <t>-終息-CANON ﾄﾅｰｶｰﾄﾘｯｼﾞ307 C</t>
  </si>
  <si>
    <t>J307M</t>
  </si>
  <si>
    <t>J307Y</t>
  </si>
  <si>
    <t>J3100</t>
  </si>
  <si>
    <t>RICOH SPﾄﾅｰ 3100【515244】</t>
  </si>
  <si>
    <t>J3100DR</t>
  </si>
  <si>
    <t>RICOH SPﾄﾞﾗﾑﾕﾆｯﾄ 3100【515243】</t>
  </si>
  <si>
    <t>J311BK</t>
  </si>
  <si>
    <t>CANON ﾄﾅｰｶｰﾄﾘｯｼﾞ311 BK</t>
  </si>
  <si>
    <t>J311C</t>
  </si>
  <si>
    <t>CANON ﾄﾅｰｶｰﾄﾘｯｼﾞ311 C</t>
  </si>
  <si>
    <t>J311M</t>
  </si>
  <si>
    <t>CANON ﾄﾅｰｶｰﾄﾘｯｼﾞ311 M</t>
  </si>
  <si>
    <t>J311Y</t>
  </si>
  <si>
    <t>CANON ﾄﾅｰｶｰﾄﾘｯｼﾞ311 Y</t>
  </si>
  <si>
    <t>J312</t>
  </si>
  <si>
    <t>CANON ﾄﾅｰｶｰﾄﾘｯｼﾞ 312 【1870B003】</t>
  </si>
  <si>
    <t>J316BK</t>
  </si>
  <si>
    <t>CANON ﾄﾅｰｶｰﾄﾘｯｼﾞ316 BK　1980B003</t>
  </si>
  <si>
    <t>J316C</t>
  </si>
  <si>
    <t>CANON ﾄﾅｰｶｰﾄﾘｯｼﾞ316 C　1979B003</t>
  </si>
  <si>
    <t>J316M</t>
  </si>
  <si>
    <t>CANON ﾄﾅｰｶｰﾄﾘｯｼﾞ316 M　1978B003</t>
  </si>
  <si>
    <t>J316Y</t>
  </si>
  <si>
    <t>CANON ﾄﾅｰｶｰﾄﾘｯｼﾞ316 Y　1977B003</t>
  </si>
  <si>
    <t>J317BK</t>
  </si>
  <si>
    <t>-在庫限り-CANON ﾄﾅｰｶｰﾄﾘｯｼﾞ317 BK(2023.3終息)</t>
  </si>
  <si>
    <t>J317C</t>
  </si>
  <si>
    <t>-在庫限り-CANON ﾄﾅｰｶｰﾄﾘｯｼﾞ317 C(2023.3終息)</t>
  </si>
  <si>
    <t>J317M</t>
  </si>
  <si>
    <t>-在庫限り-CANON ﾄﾅｰｶｰﾄﾘｯｼﾞ317 M(2023.3終息)</t>
  </si>
  <si>
    <t>J317Y</t>
  </si>
  <si>
    <t>-在庫限り-CANON ﾄﾅｰｶｰﾄﾘｯｼﾞ317 Y(2023.3終息)</t>
  </si>
  <si>
    <t>J318BK</t>
  </si>
  <si>
    <t>CANON ﾄﾅｰｶｰﾄﾘｯｼﾞ318 BK　2662B003</t>
  </si>
  <si>
    <t>J318C</t>
  </si>
  <si>
    <t>CANON ﾄﾅｰｶｰﾄﾘｯｼﾞ318 C　2661B003</t>
  </si>
  <si>
    <t>J318M</t>
  </si>
  <si>
    <t>CANON ﾄﾅｰｶｰﾄﾘｯｼﾞ318 M　2660B003</t>
  </si>
  <si>
    <t>J318VP</t>
  </si>
  <si>
    <t>CANON ﾄﾅｰｶｰﾄﾘｯｼﾞ318 BK VP　2662B006</t>
  </si>
  <si>
    <t>J318Y</t>
  </si>
  <si>
    <t>CANON ﾄﾅｰｶｰﾄﾘｯｼﾞ318 Y　2659B003</t>
  </si>
  <si>
    <t>J320</t>
  </si>
  <si>
    <t>CANON ﾄﾅｰｶｰﾄﾘｯｼﾞ320　2617B003</t>
  </si>
  <si>
    <t>J3200D</t>
  </si>
  <si>
    <t>XEROX ﾚｰｻﾞｰﾌﾟﾘﾝﾀｰ DocuPrint 3200 d   N3300050</t>
  </si>
  <si>
    <t>J3200DFUS</t>
  </si>
  <si>
    <t>XEROX DP3200d FUSING ASSY 100 L 126K39026</t>
  </si>
  <si>
    <t>J3222C</t>
  </si>
  <si>
    <t>CANON ｶｰﾄﾘｯｼﾞ322Ⅱ ｼｱﾝ</t>
  </si>
  <si>
    <t>J3222K</t>
  </si>
  <si>
    <t>CANON ｶｰﾄﾘｯｼﾞ322Ⅱ ﾌﾞﾗｯｸ</t>
  </si>
  <si>
    <t>J3222M</t>
  </si>
  <si>
    <t>CANON ｶｰﾄﾘｯｼﾞ322Ⅱ ﾏｾﾞﾝﾀﾞ</t>
  </si>
  <si>
    <t>J3222Y</t>
  </si>
  <si>
    <t>CANON ｶｰﾄﾘｯｼﾞ322Ⅱ ｲｴﾛｰ</t>
  </si>
  <si>
    <t>J322BK</t>
  </si>
  <si>
    <t>-終息-CANON ｶｰﾄﾘｯｼﾞ322 ﾌﾞﾗｯｸ　2652B001-2025.3終息-</t>
  </si>
  <si>
    <t>J322C</t>
  </si>
  <si>
    <t>-終息-CANON ｶｰﾄﾘｯｼﾞ322 ｼｱﾝ　2650B001-2025.3終息-</t>
  </si>
  <si>
    <t>J322M</t>
  </si>
  <si>
    <t>-終息-CANON ｶｰﾄﾘｯｼﾞ322 ﾏｾﾞﾝﾀ　2648B001-2025.3終息-</t>
  </si>
  <si>
    <t>J322Y</t>
  </si>
  <si>
    <t>-終息-CANON ｶｰﾄﾘｯｼﾞ322 ｲｴﾛｰ　2646B001-2025.3終息-</t>
  </si>
  <si>
    <t>J3232</t>
  </si>
  <si>
    <t>CANON ﾄﾅｰｶｰﾄﾘｯｼﾞ323Ⅱ BK　2645B003(2022.3終息)</t>
  </si>
  <si>
    <t>J323BK</t>
  </si>
  <si>
    <t>CANON ﾄﾅｰｶｰﾄﾘｯｼﾞ323 BK(2022.3終息)</t>
  </si>
  <si>
    <t>J323C</t>
  </si>
  <si>
    <t>CANON ﾄﾅｰｶｰﾄﾘｯｼﾞ323 C(2022.3終息)</t>
  </si>
  <si>
    <t>J323M</t>
  </si>
  <si>
    <t>CANON ﾄﾅｰｶｰﾄﾘｯｼﾞ323 M(2022.3終息)</t>
  </si>
  <si>
    <t>J323Y</t>
  </si>
  <si>
    <t>CANON ﾄﾅｰｶｰﾄﾘｯｼﾞ323 Y(2022.3終息)</t>
  </si>
  <si>
    <t>J325</t>
  </si>
  <si>
    <t>CANON ﾄﾅｰｶｰﾄﾘｯｼﾞ 325　3484B003</t>
  </si>
  <si>
    <t>J3253265MP</t>
  </si>
  <si>
    <t>CANON ｲﾝｸﾀﾝｸ BCI-326(BK/C/M/Y)+325 5MP</t>
  </si>
  <si>
    <t>J3253266MP</t>
  </si>
  <si>
    <t>CANON ｲﾝｸﾀﾝｸ BCI-326(BK/C/M/Y/GY)+325 6MP</t>
  </si>
  <si>
    <t>J325PGBK</t>
  </si>
  <si>
    <t>CANON ｲﾝｸﾀﾝｸ BCI-325PGBK ﾌﾞﾗｯｸ</t>
  </si>
  <si>
    <t>J325PGBK2P</t>
  </si>
  <si>
    <t>CANON ｲﾝｸﾀﾝｸ BCI-325PGBK2P ﾌﾞﾗｯｸ 2個ﾊﾟｯｸ</t>
  </si>
  <si>
    <t>J326</t>
  </si>
  <si>
    <t>CANON ﾄﾅｰｶｰﾄﾘｯｼﾞ 326　3483B003</t>
  </si>
  <si>
    <t>J326BK</t>
  </si>
  <si>
    <t>CANON ｲﾝｸﾀﾝｸ BCI-326BK ﾌﾞﾗｯｸ</t>
  </si>
  <si>
    <t>J326C</t>
  </si>
  <si>
    <t>CANON ｲﾝｸﾀﾝｸ BCI-326C ｼｱﾝ</t>
  </si>
  <si>
    <t>J326GY</t>
  </si>
  <si>
    <t>CANON ｲﾝｸﾀﾝｸ BCI-326GY ｸﾞﾚｰ</t>
  </si>
  <si>
    <t>J326M</t>
  </si>
  <si>
    <t>CANON ｲﾝｸﾀﾝｸ BCI-326M ﾏｾﾞﾝﾀ</t>
  </si>
  <si>
    <t>J326Y</t>
  </si>
  <si>
    <t>CANON ｲﾝｸﾀﾝｸ BCI-326Y ｲｴﾛｰ</t>
  </si>
  <si>
    <t>J328</t>
  </si>
  <si>
    <t>CANON ｶｰﾄﾘｯｼﾞ328 【3500B003】</t>
  </si>
  <si>
    <t>J328VP</t>
  </si>
  <si>
    <t>CANON ｶｰﾄﾘｯｼﾞ328VP　3500B004</t>
  </si>
  <si>
    <t>J329BK</t>
  </si>
  <si>
    <t>CANON ﾄﾅｰｶｰﾄﾘｯｼﾞ329 BK　4370B003</t>
  </si>
  <si>
    <t>J329C</t>
  </si>
  <si>
    <t>CANON ﾄﾅｰｶｰﾄﾘｯｼﾞ329 C　4369B003</t>
  </si>
  <si>
    <t>J329M</t>
  </si>
  <si>
    <t>CANON ﾄﾅｰｶｰﾄﾘｯｼﾞ329 M　4368B003</t>
  </si>
  <si>
    <t>J329Y</t>
  </si>
  <si>
    <t>CANON ﾄﾅｰｶｰﾄﾘｯｼﾞ329 Y　4367B003</t>
  </si>
  <si>
    <t>J3312BK</t>
  </si>
  <si>
    <t>CANON ﾄﾅｰｶｰﾄﾘｯｼﾞ331Ⅱ BK 【6273B003】</t>
  </si>
  <si>
    <t>J331C</t>
  </si>
  <si>
    <t>CANON ﾄﾅｰｶｰﾄﾘｯｼﾞ331 C 【6271B003】</t>
  </si>
  <si>
    <t>J331M</t>
  </si>
  <si>
    <t>CANON ﾄﾅｰｶｰﾄﾘｯｼﾞ331 M 【6270B003】</t>
  </si>
  <si>
    <t>J331Y</t>
  </si>
  <si>
    <t>CANON ﾄﾅｰｶｰﾄﾘｯｼﾞ331 Y 【6269B003】</t>
  </si>
  <si>
    <t>J334301</t>
  </si>
  <si>
    <t>弥生 売上伝票 ｶｯﾄ紙500枚 334301</t>
  </si>
  <si>
    <t>J335C</t>
  </si>
  <si>
    <t>CANON ﾄﾅｰｶｰﾄﾘｯｼﾞ335 C</t>
  </si>
  <si>
    <t>J335EBK</t>
  </si>
  <si>
    <t>CANON ﾄﾅｰｶｰﾄﾘｯｼﾞ335e BK　0465C001</t>
  </si>
  <si>
    <t>J335EC</t>
  </si>
  <si>
    <t>CANON ﾄﾅｰｶｰﾄﾘｯｼﾞ335e C　0464C001</t>
  </si>
  <si>
    <t>J335EM</t>
  </si>
  <si>
    <t>CANON ﾄﾅｰｶｰﾄﾘｯｼﾞ335e M　0463C001</t>
  </si>
  <si>
    <t>J335EY</t>
  </si>
  <si>
    <t>CANON ﾄﾅｰｶｰﾄﾘｯｼﾞ335e Y　0462C001</t>
  </si>
  <si>
    <t>J335K</t>
  </si>
  <si>
    <t>CANON ﾄﾅｰｶｰﾄﾘｯｼﾞ335 BK</t>
  </si>
  <si>
    <t>J335M</t>
  </si>
  <si>
    <t>CANON ﾄﾅｰｶｰﾄﾘｯｼﾞ335 M</t>
  </si>
  <si>
    <t>J335Y</t>
  </si>
  <si>
    <t>CANON ﾄﾅｰｶｰﾄﾘｯｼﾞ335 Y</t>
  </si>
  <si>
    <t>J3360S</t>
  </si>
  <si>
    <t>富士ﾌｲﾙﾑ ﾚｰｻﾞｰﾌﾟﾘﾝﾀｰ ApeosPrint 3360 S (N3300055)</t>
  </si>
  <si>
    <t>J337</t>
  </si>
  <si>
    <t>CANON ﾄﾅｰｶｰﾄﾘｯｼﾞ337　9435B003</t>
  </si>
  <si>
    <t>J337VP</t>
  </si>
  <si>
    <t>CANON ﾄﾅｰｶｰﾄﾘｯｼﾞ337VP 【9435B005】</t>
  </si>
  <si>
    <t>J3500D</t>
  </si>
  <si>
    <t>XEROX ﾚｰｻﾞｰﾌﾟﾘﾝﾀｰ DocuPrint 3500 d   N3300051</t>
  </si>
  <si>
    <t>J350PGBK</t>
  </si>
  <si>
    <t>CANON ｲﾝｸﾀﾝｸ BCI-350PGBK ﾌﾞﾗｯｸ</t>
  </si>
  <si>
    <t>J350XLPGBK</t>
  </si>
  <si>
    <t>CANON ｲﾝｸﾀﾝｸ BCI-350XLPGBK</t>
  </si>
  <si>
    <t>J350XLPGBK2P</t>
  </si>
  <si>
    <t>CANON ｲﾝｸﾀﾝｸ BCI-350XLPGBK2P</t>
  </si>
  <si>
    <t>J3513505MP</t>
  </si>
  <si>
    <t>CANON ｲﾝｸﾀﾝｸ BCI-351+350 5MP</t>
  </si>
  <si>
    <t>J3513506MP</t>
  </si>
  <si>
    <t>CANON ｲﾝｸﾀﾝｸ BCI-351+350 6MP</t>
  </si>
  <si>
    <t>J351BK</t>
  </si>
  <si>
    <t>CANON ｲﾝｸﾀﾝｸ BCI-351BK ﾌﾞﾗｯｸ</t>
  </si>
  <si>
    <t>J351C</t>
  </si>
  <si>
    <t>CANON ｲﾝｸﾀﾝｸ BCI-351C ｼｱﾝ</t>
  </si>
  <si>
    <t>J351GY</t>
  </si>
  <si>
    <t>CANON ｲﾝｸﾀﾝｸ BCI-351GY ｸﾞﾚｰ</t>
  </si>
  <si>
    <t>J351M</t>
  </si>
  <si>
    <t>CANON ｲﾝｸﾀﾝｸ BCI-351M ﾏｾﾞﾝﾀ</t>
  </si>
  <si>
    <t>J351XL350XL5MP</t>
  </si>
  <si>
    <t>CANON ｲﾝｸﾀﾝｸ BCI-351XL+350XL 5MP</t>
  </si>
  <si>
    <t>J351XL350XL6MP</t>
  </si>
  <si>
    <t>CANON ｲﾝｸﾀﾝｸ BCI-351XL+350XL 6MP</t>
  </si>
  <si>
    <t>J351XLBK</t>
  </si>
  <si>
    <t>CANON ｲﾝｸﾀﾝｸ BCI-351XLBK</t>
  </si>
  <si>
    <t>J351XLC</t>
  </si>
  <si>
    <t>CANON ｲﾝｸﾀﾝｸ BCI-351XLC</t>
  </si>
  <si>
    <t>J351XLGY</t>
  </si>
  <si>
    <t>CANON ｲﾝｸﾀﾝｸ BCI-351XLGY</t>
  </si>
  <si>
    <t>J351XLM</t>
  </si>
  <si>
    <t>CANON ｲﾝｸﾀﾝｸ BCI-351XLM</t>
  </si>
  <si>
    <t>J351XLY</t>
  </si>
  <si>
    <t>CANON ｲﾝｸﾀﾝｸ BCI-351XLY</t>
  </si>
  <si>
    <t>J351Y</t>
  </si>
  <si>
    <t>CANON ｲﾝｸﾀﾝｸ BCI-351Y ｲｴﾛｰ</t>
  </si>
  <si>
    <t>J3554</t>
  </si>
  <si>
    <t>RICOH  imgio MPﾄﾅｰ 3554</t>
  </si>
  <si>
    <t>J3554SP</t>
  </si>
  <si>
    <t>RICOH  imgio MPｽﾎﾟｯﾄﾄﾅｰ 3554　600306</t>
  </si>
  <si>
    <t>J355XXLPGBK</t>
  </si>
  <si>
    <t>CANON ｲﾝｸﾀﾝｸ BCI-355XXLPGBK</t>
  </si>
  <si>
    <t>J370PGBK</t>
  </si>
  <si>
    <t>CANON ｲﾝｸﾀﾝｸ BCI-370PGBK</t>
  </si>
  <si>
    <t>J370XLPGBK</t>
  </si>
  <si>
    <t>CANON ｲﾝｸﾀﾝｸ BCI-370XLPGBK</t>
  </si>
  <si>
    <t>J370XLPGBK2P</t>
  </si>
  <si>
    <t>CANON ｲﾝｸﾀﾝｸ BCI-370XLPGBK2P 2個ﾊﾟｯｸ</t>
  </si>
  <si>
    <t>J37137105MP</t>
  </si>
  <si>
    <t>CANON ｲﾝｸﾀﾝｸ BCI-371+370 5MP</t>
  </si>
  <si>
    <t>J37137106MP</t>
  </si>
  <si>
    <t>CANON ｲﾝｸﾀﾝｸ BCI-371+370 6MP</t>
  </si>
  <si>
    <t>J371BK</t>
  </si>
  <si>
    <t>CANON ｲﾝｸﾀﾝｸ BCI-371BK</t>
  </si>
  <si>
    <t>J371C</t>
  </si>
  <si>
    <t>CANON ｲﾝｸﾀﾝｸ BCI-371C</t>
  </si>
  <si>
    <t>J371GY</t>
  </si>
  <si>
    <t>CANON ｲﾝｸﾀﾝｸ BCI-371GY</t>
  </si>
  <si>
    <t>J371M</t>
  </si>
  <si>
    <t>CANON ｲﾝｸﾀﾝｸ BCI-371M</t>
  </si>
  <si>
    <t>J371XL371XL5MPV</t>
  </si>
  <si>
    <t>CANON ｲﾝｸﾀﾝｸ BCI-371XL+370XL 5MPV 写真用紙L判30枚付</t>
  </si>
  <si>
    <t>J371XL371XL6MPV</t>
  </si>
  <si>
    <t>CANON ｲﾝｸﾀﾝｸ BCI-371XL+370XL 6MPV 写真用紙L判30枚付</t>
  </si>
  <si>
    <t>J371XLBK</t>
  </si>
  <si>
    <t>CANON ｲﾝｸﾀﾝｸ BCI-371XLBK</t>
  </si>
  <si>
    <t>J371XLC</t>
  </si>
  <si>
    <t>CANON ｲﾝｸﾀﾝｸ BCI-371XLC</t>
  </si>
  <si>
    <t>J371XLGY</t>
  </si>
  <si>
    <t>CANON ｲﾝｸﾀﾝｸ BCI-371XLGY</t>
  </si>
  <si>
    <t>J371XLM</t>
  </si>
  <si>
    <t>CANON ｲﾝｸﾀﾝｸ BCI-371XLM</t>
  </si>
  <si>
    <t>J371XLY</t>
  </si>
  <si>
    <t>CANON ｲﾝｸﾀﾝｸ BCI-371XLY</t>
  </si>
  <si>
    <t>J371Y</t>
  </si>
  <si>
    <t>CANON ｲﾝｸﾀﾝｸ BCI-371Y</t>
  </si>
  <si>
    <t>J380PGBK</t>
  </si>
  <si>
    <t>CANON ｲﾝｸﾀﾝｸ BCI-380PGBK</t>
  </si>
  <si>
    <t>J380SPGBK</t>
  </si>
  <si>
    <t>CANON ｲﾝｸﾀﾝｸ BCI-380sPGBK 小容量</t>
  </si>
  <si>
    <t>J380XLPGBK</t>
  </si>
  <si>
    <t>CANON ｲﾝｸﾀﾝｸ BCI-380XLPGBK</t>
  </si>
  <si>
    <t>J3813805MP</t>
  </si>
  <si>
    <t>CANON ｲﾝｸﾀﾝｸ BCI-381+380/5MP</t>
  </si>
  <si>
    <t>J3813806MP</t>
  </si>
  <si>
    <t>CANON ｲﾝｸﾀﾝｸ BCI-381+380/6MP</t>
  </si>
  <si>
    <t>J381BK</t>
  </si>
  <si>
    <t>CANON ｲﾝｸﾀﾝｸ BCI-381BK</t>
  </si>
  <si>
    <t>J381C</t>
  </si>
  <si>
    <t>CANON ｲﾝｸﾀﾝｸ BCI-381C</t>
  </si>
  <si>
    <t>J381GY</t>
  </si>
  <si>
    <t>CANON ｲﾝｸﾀﾝｸ BCI-381GY</t>
  </si>
  <si>
    <t>J381M</t>
  </si>
  <si>
    <t>CANON ｲﾝｸﾀﾝｸ BCI-381M</t>
  </si>
  <si>
    <t>J381S380S5MP</t>
  </si>
  <si>
    <t>CANON ｲﾝｸﾀﾝｸ BCI-381s+380s/5MP</t>
  </si>
  <si>
    <t>J381S380S6MP</t>
  </si>
  <si>
    <t>CANON ｲﾝｸﾀﾝｸ BCI-381s+380s/6MP</t>
  </si>
  <si>
    <t>J381XLBK</t>
  </si>
  <si>
    <t>CANON ｲﾝｸﾀﾝｸ BCI-381XLBK</t>
  </si>
  <si>
    <t>J381XLC</t>
  </si>
  <si>
    <t>CANON ｲﾝｸﾀﾝｸ BCI-381XLC</t>
  </si>
  <si>
    <t>J381XLGY</t>
  </si>
  <si>
    <t>CANON ｲﾝｸﾀﾝｸ BCI-381XLGY</t>
  </si>
  <si>
    <t>J381XLM</t>
  </si>
  <si>
    <t>CANON ｲﾝｸﾀﾝｸ BCI-381XLM</t>
  </si>
  <si>
    <t>J381XLY</t>
  </si>
  <si>
    <t>CANON ｲﾝｸﾀﾝｸ BCI-381XLY</t>
  </si>
  <si>
    <t>J381Y</t>
  </si>
  <si>
    <t>CANON ｲﾝｸﾀﾝｸ BCI-381Y</t>
  </si>
  <si>
    <t>J3960S</t>
  </si>
  <si>
    <t>富士ﾌｲﾙﾑ ﾚｰｻﾞｰﾌﾟﾘﾝﾀｰ ApeosPrint 3960 S (N3300054)</t>
  </si>
  <si>
    <t>J3C73111</t>
  </si>
  <si>
    <t>NEC PR-L3C731-11 Y ﾄﾅｰｶｰﾄﾘｯｼﾞ</t>
  </si>
  <si>
    <t>J3C73112</t>
  </si>
  <si>
    <t>NEC PR-L3C731-12 M ﾄﾅｰｶｰﾄﾘｯｼﾞ</t>
  </si>
  <si>
    <t>J3C73113</t>
  </si>
  <si>
    <t>NEC PR-L3C731-13 C ﾄﾅｰｶｰﾄﾘｯｼﾞ</t>
  </si>
  <si>
    <t>J3C73114</t>
  </si>
  <si>
    <t>NEC PR-L3C731-14 BK ﾄﾅｰｶｰﾄﾘｯｼﾞ</t>
  </si>
  <si>
    <t>J3C75111</t>
  </si>
  <si>
    <t>NEC PR-L3C751-11 Y ﾄﾅｰｶｰﾄﾘｯｼﾞ</t>
  </si>
  <si>
    <t>J3C75112</t>
  </si>
  <si>
    <t>NEC PR-L3C751-12 M ﾄﾅｰｶｰﾄﾘｯｼﾞ</t>
  </si>
  <si>
    <t>J3C75113</t>
  </si>
  <si>
    <t>NEC PR-L3C751-13 C ﾄﾅｰｶｰﾄﾘｯｼﾞ</t>
  </si>
  <si>
    <t>J3C75114</t>
  </si>
  <si>
    <t>NEC PR-L3C751-14 BK ﾄﾅｰｶｰﾄﾘｯｼﾞ</t>
  </si>
  <si>
    <t>J3C75131</t>
  </si>
  <si>
    <t>NEC PR-L3C751-31 ﾄﾞﾗﾑ</t>
  </si>
  <si>
    <t>J3C75133</t>
  </si>
  <si>
    <t>NEC PR-L3C751-33 回収ﾎﾞﾄﾙ</t>
  </si>
  <si>
    <t>J3ED29A</t>
  </si>
  <si>
    <t>HP712B ｲﾝｸｶｰﾄﾘｯｼﾞ 3ED29A ﾌﾞﾗｯｸ 80ml</t>
  </si>
  <si>
    <t>J3ED43A</t>
  </si>
  <si>
    <t>HP HP730B 3ED43A ｲﾝｸｶｰﾄﾘｯｼﾞ ﾌｫﾄﾌﾞﾗｯｸ 130ml</t>
  </si>
  <si>
    <t>J3ED44A</t>
  </si>
  <si>
    <t>HP HP730B 3ED44A ｲﾝｸｶｰﾄﾘｯｼﾞ ｸﾞﾚｲ 130ml</t>
  </si>
  <si>
    <t>J3ED45A</t>
  </si>
  <si>
    <t>HP HP730B 3ED45A ｲﾝｸｶｰﾄﾘｯｼﾞ ﾏｯﾄﾌﾞﾗｯｸ 130ml</t>
  </si>
  <si>
    <t>J3ED49A</t>
  </si>
  <si>
    <t>HP HP730B 3ED49A ﾌｫﾄﾌﾞﾗｯｸ 300ml</t>
  </si>
  <si>
    <t>J3ED50A</t>
  </si>
  <si>
    <t>HP HP730B 3ED50A ｲﾝｸｶｰﾄﾘｯｼﾞｸﾞﾚｲ 300ml</t>
  </si>
  <si>
    <t>J3ED55A</t>
  </si>
  <si>
    <t>HP HP766B 3ED55A ｲﾝｸｶｰﾄﾘｯｼﾞﾌｫﾄﾌﾞﾗｯｸ 300ml</t>
  </si>
  <si>
    <t>J3ED56A</t>
  </si>
  <si>
    <t>HP HP766B 3ED56A ｲﾝｸｶｰﾄﾘｯｼﾞｸﾞﾚｰ 300ml</t>
  </si>
  <si>
    <t>J3ED57A</t>
  </si>
  <si>
    <t>HP HP766B 3ED57A ｲﾝｸｶｰﾄﾘｯｼﾞﾏｯﾄﾌﾞﾗｯｸ 300ml</t>
  </si>
  <si>
    <t>J3ED58A</t>
  </si>
  <si>
    <t>HP HP713 ﾌﾟﾘﾝﾄﾍｯﾄﾞ交換ｷｯﾄ 3ED58A</t>
  </si>
  <si>
    <t>J3ED77A</t>
  </si>
  <si>
    <t>HP HP712 ｲﾝｸ 3ED77A ｼｱﾝ 29ml×3</t>
  </si>
  <si>
    <t>J3ED78A</t>
  </si>
  <si>
    <t>HP HP712 ｲﾝｸ 3ED78A ﾏｾﾞﾝﾀ 29ml×3</t>
  </si>
  <si>
    <t>J3ED79A</t>
  </si>
  <si>
    <t>HP HP712 ｲﾝｸ 3ED79A ｲｴﾛｰ 29ml×3</t>
  </si>
  <si>
    <t>J3JA81AA</t>
  </si>
  <si>
    <t>HP 965XL ｲﾝｸｶｰﾄﾘｯｼﾞ 3JA81AA ｼｱﾝ</t>
  </si>
  <si>
    <t>J3JA82AA</t>
  </si>
  <si>
    <t>HP 965XL ｲﾝｸｶｰﾄﾘｯｼﾞ 3JA82AA ﾏｾﾞﾝﾀ</t>
  </si>
  <si>
    <t>J3JA83AA</t>
  </si>
  <si>
    <t>HP 965XL ｲﾝｸｶｰﾄﾘｯｼﾞ 3JA83AA ｲｴﾛｰ</t>
  </si>
  <si>
    <t>J3JA84AA</t>
  </si>
  <si>
    <t>HP 965XL ｲﾝｸｶｰﾄﾘｯｼﾞ 3JA84AA 黒</t>
  </si>
  <si>
    <t>J3M53012</t>
  </si>
  <si>
    <t>NEC PR-L3M530-12 ﾄﾅｰｶｰﾄﾘｯｼﾞ</t>
  </si>
  <si>
    <t>J3M53031</t>
  </si>
  <si>
    <t>NEC PR-L3M530-31 ﾄﾞﾗﾑｶｰﾄﾘｯｼﾞ</t>
  </si>
  <si>
    <t>J3M55011</t>
  </si>
  <si>
    <t>NEC PR-L3M550-11 ﾄﾅｰｶｰﾄﾘｯｼﾞ</t>
  </si>
  <si>
    <t>J3M55012</t>
  </si>
  <si>
    <t>NEC PR-L3M550-12 ﾄﾅｰｶｰﾄﾘｯｼﾞ</t>
  </si>
  <si>
    <t>J3M55031</t>
  </si>
  <si>
    <t>NEC PR-L3M550-31 ﾄﾞﾗﾑｶｰﾄﾘｯｼﾞ</t>
  </si>
  <si>
    <t>J3R</t>
  </si>
  <si>
    <t>RICOH ｲﾏｼﾞｵﾄﾅｰ ﾀｲﾌﾟ3 ﾚｯﾄﾞ</t>
  </si>
  <si>
    <t>J3WT87A</t>
  </si>
  <si>
    <t>HP ﾌｭｰｻﾞｰｷｯﾄ 3WT87A</t>
  </si>
  <si>
    <t>J3WT89A</t>
  </si>
  <si>
    <t>HP ﾄﾗﾝｽﾌｧｰｷｯﾄ 3WT89A</t>
  </si>
  <si>
    <t>J3WT90A</t>
  </si>
  <si>
    <t>HP ﾄﾅｰｺﾚｸｼｮﾝﾕﾆｯﾄ 3WT90A</t>
  </si>
  <si>
    <t>J3WX00A</t>
  </si>
  <si>
    <t>HP HP711B 3WX00A ﾌﾞﾗｯｸ 38ml</t>
  </si>
  <si>
    <t>J3WX01A</t>
  </si>
  <si>
    <t>HP HP711B 3WX01A ﾌﾞﾗｯｸ 80ml</t>
  </si>
  <si>
    <t>J3WX06A</t>
  </si>
  <si>
    <t>HP HP72B 3WX06A ﾏｯﾄﾌﾞﾗｯｸ 130ml</t>
  </si>
  <si>
    <t>J3WX07A</t>
  </si>
  <si>
    <t>HP HP72B 3WX07A ﾌｫﾄﾌﾞﾗｯｸ 130ml</t>
  </si>
  <si>
    <t>J3WX08A</t>
  </si>
  <si>
    <t>HP HP72B 3WX08A ｸﾞﾚｰ 130ml</t>
  </si>
  <si>
    <t>J3WX13A</t>
  </si>
  <si>
    <t>HP HP727B 3WX13A ﾏｯﾄﾌﾞﾗｯｸ 130ml</t>
  </si>
  <si>
    <t>J3WX14A</t>
  </si>
  <si>
    <t>HP HP727B 3WX14A ﾌｫﾄﾌﾞﾗｯｸ 130ml</t>
  </si>
  <si>
    <t>J3WX15A</t>
  </si>
  <si>
    <t>HP HP727B 3WX15A ｸﾞﾚｰ 130ml</t>
  </si>
  <si>
    <t>J3WX19A</t>
  </si>
  <si>
    <t>HP HP727B 3WX19A ﾏｯﾄﾌﾞﾗｯｸ 300ml</t>
  </si>
  <si>
    <t>J3WX20A</t>
  </si>
  <si>
    <t>HP HP727B 3WX20A ﾌｫﾄﾌﾞﾗｯｸ 300ml</t>
  </si>
  <si>
    <t>J3WX21A</t>
  </si>
  <si>
    <t>HP HP727B 3WX21A ｸﾞﾚｰ 300ml</t>
  </si>
  <si>
    <t>J3WX26A</t>
  </si>
  <si>
    <t>HP HP728B 3WX26A ﾌﾞﾗｯｸ 130ml</t>
  </si>
  <si>
    <t>J3WX30A</t>
  </si>
  <si>
    <t>HP HP728B 3WX30A ﾌﾞﾗｯｸ 300ml</t>
  </si>
  <si>
    <t>J3WX35A</t>
  </si>
  <si>
    <t>HP HP746B 3WX35A ｲﾝｸｶｰﾄﾘｯｼﾞ ﾌｫﾄﾌﾞﾗｯｸ 300ml</t>
  </si>
  <si>
    <t>J3WX36A</t>
  </si>
  <si>
    <t>HP HP746B 3WX36A ｲﾝｸｶｰﾄﾘｯｼﾞ ｼｱﾝ 300ml</t>
  </si>
  <si>
    <t>J3WX37A</t>
  </si>
  <si>
    <t>HP HP746B 3WX37A ｲﾝｸｶｰﾄﾘｯｼﾞ ﾏｾﾞﾝﾀ 300ml</t>
  </si>
  <si>
    <t>J3WX38A</t>
  </si>
  <si>
    <t>HP HP746B 3WX38A ｲﾝｸｶｰﾄﾘｯｼﾞ ｲｴﾛｰ 300ml</t>
  </si>
  <si>
    <t>J3WX40A</t>
  </si>
  <si>
    <t>HP HP764B 3WX40A ﾏｯﾄﾌﾞﾗｯｸ 300ml</t>
  </si>
  <si>
    <t>J3WX41A</t>
  </si>
  <si>
    <t>HP HP764B 3WX41A ﾌｫﾄﾌﾞﾗｯｸ 300ml</t>
  </si>
  <si>
    <t>J3WX42A</t>
  </si>
  <si>
    <t>HP HP764B 3WX42A ｸﾞﾚｰ 300ml</t>
  </si>
  <si>
    <t>J3YM19AA</t>
  </si>
  <si>
    <t>HP 915XL ｲﾝｸｶｰﾄﾘｯｼﾞ 3YM19AA ｼｱﾝ</t>
  </si>
  <si>
    <t>J3YM20AA</t>
  </si>
  <si>
    <t>HP 915XL ｲﾝｸｶｰﾄﾘｯｼﾞ 3YM20AA ﾏｾﾞﾝﾀ</t>
  </si>
  <si>
    <t>J3YM21AA</t>
  </si>
  <si>
    <t>HP 915XL ｲﾝｸｶｰﾄﾘｯｼﾞ 3YM21AA ｲｴﾛｰ</t>
  </si>
  <si>
    <t>J3YM22AA</t>
  </si>
  <si>
    <t>HP 915XL ｲﾝｸｶｰﾄﾘｯｼﾞ 3YM22AA 黒</t>
  </si>
  <si>
    <t>J3YM57AA</t>
  </si>
  <si>
    <t>HP67XL ｲﾝｸｶｰﾄﾘｯｼﾞ 黒 3YM57AA</t>
  </si>
  <si>
    <t>J3YM58AA</t>
  </si>
  <si>
    <t>HP67XL ｲﾝｸｶｰﾄﾘｯｼﾞ ｶﾗｰ 3YM58AA</t>
  </si>
  <si>
    <t>J400ABK</t>
  </si>
  <si>
    <t>RICOH ﾀｲﾌﾟ400A ﾌﾞﾗｯｸ 【636596】 純正品</t>
  </si>
  <si>
    <t>J400AC</t>
  </si>
  <si>
    <t>RICOH  ﾀｲﾌﾟ400A ｼｱﾝ 【636599】 純正品</t>
  </si>
  <si>
    <t>J400AM</t>
  </si>
  <si>
    <t>RICOH  ﾀｲﾌﾟ400A ﾏｾﾞﾝﾀ 【636598】 純正品</t>
  </si>
  <si>
    <t>J400AY</t>
  </si>
  <si>
    <t>RICOH  ﾀｲﾌﾟ400A ｲｴﾛｰ 【636597】 純正品</t>
  </si>
  <si>
    <t>J400BBK</t>
  </si>
  <si>
    <t>RICOH  ﾀｲﾌﾟ400B ﾌﾞﾗｯｸ 【636667】 純正品</t>
  </si>
  <si>
    <t>J400BC</t>
  </si>
  <si>
    <t>RICOH  ﾀｲﾌﾟ400B ｼｱﾝ 【636670】 純正品</t>
  </si>
  <si>
    <t>J400BM</t>
  </si>
  <si>
    <t>RICOH  ﾀｲﾌﾟ400B ﾏｾﾞﾝﾀ 【636669】 純正品</t>
  </si>
  <si>
    <t>J400BY</t>
  </si>
  <si>
    <t>RICOH  ﾀｲﾌﾟ400B ｲｴﾛｰ 【636668】 純正品</t>
  </si>
  <si>
    <t>J400DEBK</t>
  </si>
  <si>
    <t>RICOH 感光体ﾕﾆｯﾄ ﾀｲﾌﾟ400 ﾌﾞﾗｯｸ　509447</t>
  </si>
  <si>
    <t>J400DRCR</t>
  </si>
  <si>
    <t>RICOH 感光体ﾕﾆｯﾄ ﾀｲﾌﾟ400 ｶﾗｰ　509446</t>
  </si>
  <si>
    <t>J400G</t>
  </si>
  <si>
    <t>RICOH ｲﾝｷ ﾀｲﾌﾟ400G &lt;黒&gt; 613722</t>
  </si>
  <si>
    <t>J400HI</t>
  </si>
  <si>
    <t>RICOH 廃ﾄﾅｰﾎﾞﾄﾙ ﾀｲﾌﾟ400　純正品</t>
  </si>
  <si>
    <t>J4020SD</t>
  </si>
  <si>
    <t>富士ﾌｲﾙﾑ 複合機 ApeosPort 4020SD (NL200257)</t>
  </si>
  <si>
    <t>J406</t>
  </si>
  <si>
    <t>CANON ｶｰﾄﾘｯｼﾞ 406　0264B004(2023.3終息)</t>
  </si>
  <si>
    <t>J416BK</t>
  </si>
  <si>
    <t>CANON ﾄﾅｰｶｰﾄﾘｯｼﾞ416 BK    1980B004</t>
  </si>
  <si>
    <t>J416C</t>
  </si>
  <si>
    <t>CANON ﾄﾅｰｶｰﾄﾘｯｼﾞ416 C     1979B004</t>
  </si>
  <si>
    <t>J416M</t>
  </si>
  <si>
    <t>CANON ﾄﾅｰｶｰﾄﾘｯｼﾞ416 M    1978B004</t>
  </si>
  <si>
    <t>J416Y</t>
  </si>
  <si>
    <t>CANON ﾄﾅｰｶｰﾄﾘｯｼﾞ416 Y    1977B004</t>
  </si>
  <si>
    <t>J418BK</t>
  </si>
  <si>
    <t>CANON ﾄﾅｰｶｰﾄﾘｯｼﾞ418 BK　2662B007</t>
  </si>
  <si>
    <t>J418C</t>
  </si>
  <si>
    <t>CANON ﾄﾅｰｶｰﾄﾘｯｼﾞ418 C　2661B004</t>
  </si>
  <si>
    <t>J418M</t>
  </si>
  <si>
    <t>CANON ﾄﾅｰｶｰﾄﾘｯｼﾞ418 M　2660B004</t>
  </si>
  <si>
    <t>J418VP</t>
  </si>
  <si>
    <t>CANON ﾄﾅｰｶｰﾄﾘｯｼﾞ418 BK VP　2662B008</t>
  </si>
  <si>
    <t>J418Y</t>
  </si>
  <si>
    <t>CANON ﾄﾅｰｶｰﾄﾘｯｼﾞ418 Y　2659B004</t>
  </si>
  <si>
    <t>J420</t>
  </si>
  <si>
    <t>CANON ｶｰﾄﾘｯｼﾞ 420　　2617B005</t>
  </si>
  <si>
    <t>J4200HRE</t>
  </si>
  <si>
    <t>RICOH SPﾄﾅｰ　4200HRE</t>
  </si>
  <si>
    <t>J4200S</t>
  </si>
  <si>
    <t>RICOH SPﾄﾅｰ　4200S</t>
  </si>
  <si>
    <t>J43BK</t>
  </si>
  <si>
    <t>CANON ｲﾝｸﾀﾝｸ BCI-43BK</t>
  </si>
  <si>
    <t>J43C</t>
  </si>
  <si>
    <t>CANON ｲﾝｸﾀﾝｸ BCI-43C</t>
  </si>
  <si>
    <t>J43GY</t>
  </si>
  <si>
    <t>CANON ｲﾝｸﾀﾝｸ BCI-43GY</t>
  </si>
  <si>
    <t>J43LGY</t>
  </si>
  <si>
    <t>CANON ｲﾝｸﾀﾝｸ BCI-43LGY</t>
  </si>
  <si>
    <t>J43M</t>
  </si>
  <si>
    <t>CANON ｲﾝｸﾀﾝｸ BCI-43M</t>
  </si>
  <si>
    <t>J43PC</t>
  </si>
  <si>
    <t>CANON ｲﾝｸﾀﾝｸ BCI-43PC</t>
  </si>
  <si>
    <t>J43PM</t>
  </si>
  <si>
    <t>CANON ｲﾝｸﾀﾝｸ BCI-43PM</t>
  </si>
  <si>
    <t>J43Y</t>
  </si>
  <si>
    <t>CANON ｲﾝｸﾀﾝｸ BCI-43Y</t>
  </si>
  <si>
    <t>J4400D</t>
  </si>
  <si>
    <t>XEROX ﾚｰｻﾞｰﾌﾟﾘﾝﾀｰ DocuPrint 4400 d   N3300052</t>
  </si>
  <si>
    <t>J4500</t>
  </si>
  <si>
    <t>RICOH SPﾄﾅｰ　4500　【600545】</t>
  </si>
  <si>
    <t>J4500H</t>
  </si>
  <si>
    <t>RICOH SPﾄﾅｰ 4500H 600544</t>
  </si>
  <si>
    <t>J4500S</t>
  </si>
  <si>
    <t>RICOH SPトナー4500S（２本入り）</t>
  </si>
  <si>
    <t>J4560S</t>
  </si>
  <si>
    <t>富士ﾌｲﾙﾑ ﾚｰｻﾞｰﾌﾟﾘﾝﾀｰ ApeosPrint 4560 S (N3300053)</t>
  </si>
  <si>
    <t>J460012</t>
  </si>
  <si>
    <t>NEC PR-L4600-12 ﾄﾅｰｶｰﾄﾘｯｼﾞ</t>
  </si>
  <si>
    <t>J460031</t>
  </si>
  <si>
    <t>NEC PR-L4600-31 ﾄﾞﾗﾑｶｰﾄﾘｯｼﾞ</t>
  </si>
  <si>
    <t>J470012</t>
  </si>
  <si>
    <t>NEC PR-L4700-12 ﾄﾅｰｶｰﾄﾘｯｼﾞ</t>
  </si>
  <si>
    <t>J470031</t>
  </si>
  <si>
    <t>NEC PR-L4700-31 ﾄﾞﾗﾑｶｰﾄﾘｯｼﾞ</t>
  </si>
  <si>
    <t>J4830</t>
  </si>
  <si>
    <t>富士ﾌｲﾙﾑ ﾚｰｻﾞｰﾌﾟﾘﾝﾀｰ ApeosPrint 4830 (NL300092)</t>
  </si>
  <si>
    <t>J4830JM</t>
  </si>
  <si>
    <t>富士ﾌｲﾙﾑ ﾚｰｻﾞｰﾌﾟﾘﾝﾀｰ ApeosPrint 4830 JM (NL300093)</t>
  </si>
  <si>
    <t>J4C55011</t>
  </si>
  <si>
    <t>NEC PR-L4C550-11 ｲｴﾛｰ ﾄﾅｰｶｰﾄﾘｯｼﾞ</t>
  </si>
  <si>
    <t>J4C55012</t>
  </si>
  <si>
    <t>NEC PR-L4C550-12 ﾏｾﾞﾝﾀ ﾄﾅｰｶｰﾄﾘｯｼﾞ</t>
  </si>
  <si>
    <t>J4C55013</t>
  </si>
  <si>
    <t>NEC PR-L4C550-13 ｼｱﾝ ﾄﾅｰｶｰﾄﾘｯｼﾞ</t>
  </si>
  <si>
    <t>J4C55014</t>
  </si>
  <si>
    <t>NEC PR-L4C550-14 ﾌﾞﾗｯｸ ﾄﾅｰｶｰﾄﾘｯｼﾞ</t>
  </si>
  <si>
    <t>J4C55016</t>
  </si>
  <si>
    <t>NEC PR-L4C550-16 ｲｴﾛｰ(大容量) ﾄﾅｰｶｰﾄﾘｯｼﾞ</t>
  </si>
  <si>
    <t>J4C55017</t>
  </si>
  <si>
    <t>NEC PR-L4C550-17 ﾏｾﾞﾝﾀ(大容量) ﾄﾅｰｶｰﾄﾘｯｼﾞ</t>
  </si>
  <si>
    <t>J4C55018</t>
  </si>
  <si>
    <t>NEC PR-L4C550-18 ｼｱﾝ(大容量) ﾄﾅｰｶｰﾄﾘｯｼﾞ</t>
  </si>
  <si>
    <t>J4C55019</t>
  </si>
  <si>
    <t>NEC PR-L4C550-19 ﾌﾞﾗｯｸ(大容量) ﾄﾅｰｶｰﾄﾘｯｼﾞ</t>
  </si>
  <si>
    <t>J4M35011</t>
  </si>
  <si>
    <t>NEC PR-L4M350-11 ﾄﾅｰｶｰﾄﾘｯｼﾞ</t>
  </si>
  <si>
    <t>J4M35012</t>
  </si>
  <si>
    <t>NEC PR-L4M350-12 ﾄﾅｰｶｰﾄﾘｯｼﾞ</t>
  </si>
  <si>
    <t>J4M35031</t>
  </si>
  <si>
    <t>NEC PR-L4M350-31 ﾄﾞﾗﾑｶｰﾄﾘｯｼﾞ</t>
  </si>
  <si>
    <t>J4M37011</t>
  </si>
  <si>
    <t>NEC PR-L4M370-11 ﾄﾅｰｶｰﾄﾘｯｼﾞ</t>
  </si>
  <si>
    <t>J4M37012</t>
  </si>
  <si>
    <t>NEC PR-L4M370-12 ﾄﾅｰｶｰﾄﾘｯｼﾞ</t>
  </si>
  <si>
    <t>J4M55011</t>
  </si>
  <si>
    <t>NEC PR-L4M550-11 ﾄﾅｰｶｰﾄﾘｯｼﾞ</t>
  </si>
  <si>
    <t>J4M55012</t>
  </si>
  <si>
    <t>NEC PR-L4M550-12 ﾄﾅｰｶｰﾄﾘｯｼﾞ</t>
  </si>
  <si>
    <t>J4M55031</t>
  </si>
  <si>
    <t>NEC PR-L4M550-31 ﾄﾞﾗﾑｶｰﾄﾘｯｼﾞ</t>
  </si>
  <si>
    <t>J4S6W2NA</t>
  </si>
  <si>
    <t>HP HP937 ｲﾝｸｶｰﾄﾘｯｼﾞｼｱﾝ 4S6W2NA</t>
  </si>
  <si>
    <t>J4S6W3NA</t>
  </si>
  <si>
    <t>HP HP937 ｲﾝｸｶｰﾄﾘｯｼﾞﾏｾﾞﾝﾀ 4S6W3NA</t>
  </si>
  <si>
    <t>J4S6W4NA</t>
  </si>
  <si>
    <t>HP HP937 ｲﾝｸｶｰﾄﾘｯｼﾞｲｴﾛｰ 4S6W4NA</t>
  </si>
  <si>
    <t>J4S6W5NA</t>
  </si>
  <si>
    <t>HP HP937 ｲﾝｸｶｰﾄﾘｯｼﾞ黒 4S6W5NA</t>
  </si>
  <si>
    <t>J4YL16A</t>
  </si>
  <si>
    <t>HP ﾌｭｰｻﾞｰｷｯﾄ 4YL16A</t>
  </si>
  <si>
    <t>J50</t>
  </si>
  <si>
    <t>RICOH ｲﾏｼﾞｵ ﾄﾅｰｷｯﾄﾀｲﾌﾟ50</t>
  </si>
  <si>
    <t>J500011</t>
  </si>
  <si>
    <t>-終息-NEC PR-L5000-11 ﾄﾅｰｶｰﾄﾘｯｼﾞ</t>
  </si>
  <si>
    <t>J500031</t>
  </si>
  <si>
    <t>-終息-NEC PR-L5000-31 ﾄﾞﾗﾑｶｰﾄﾘｯｼﾞ</t>
  </si>
  <si>
    <t>J502BK</t>
  </si>
  <si>
    <t>CANON ﾄﾅｰｶｰﾄﾘｯｼﾞ502 BK　9645A001</t>
  </si>
  <si>
    <t>J502C</t>
  </si>
  <si>
    <t>CANON ﾄﾅｰｶｰﾄﾘｯｼﾞ502 C　9644A001</t>
  </si>
  <si>
    <t>J502C2P</t>
  </si>
  <si>
    <t>CANON ﾄﾅｰｶｰﾄﾘｯｼﾞ502 ｼｱﾝ 2P 9644A003</t>
  </si>
  <si>
    <t>J502K2P</t>
  </si>
  <si>
    <t>CANON ﾄﾅｰｶｰﾄﾘｯｼﾞ502 ﾌﾞﾗｯｸ 2P 9645A003</t>
  </si>
  <si>
    <t>J502M</t>
  </si>
  <si>
    <t>CANON ﾄﾅｰｶｰﾄﾘｯｼﾞ502 M　9643A001</t>
  </si>
  <si>
    <t>J502M2P</t>
  </si>
  <si>
    <t>CANON ﾄﾅｰｶｰﾄﾘｯｼﾞ502 ﾏｾﾞﾝﾀﾞ 2P 9643A003</t>
  </si>
  <si>
    <t>J502Y</t>
  </si>
  <si>
    <t>CANON ﾄﾅｰｶｰﾄﾘｯｼﾞ502 Y　9642A001</t>
  </si>
  <si>
    <t>J502Y2P</t>
  </si>
  <si>
    <t>CANON ﾄﾅｰｶｰﾄﾘｯｼﾞ502 ｲｴﾛｰ 2P 9642A003</t>
  </si>
  <si>
    <t>J505</t>
  </si>
  <si>
    <t>CANON ﾄﾅｰｶｰﾄﾘｯｼﾞ505　0265B004</t>
  </si>
  <si>
    <t>J508</t>
  </si>
  <si>
    <t>-終息-CANON ﾄﾅｰｶｰﾄﾘｯｼﾞ 508　0266B004</t>
  </si>
  <si>
    <t>J5082</t>
  </si>
  <si>
    <t>CANON ﾄﾅｰｶｰﾄﾘｯｼﾞ 508Ⅱ 0917B004(2022.3終息)</t>
  </si>
  <si>
    <t>J509</t>
  </si>
  <si>
    <t>-終息-CANON ﾄﾅｰｶｰﾄﾘｯｼﾞ 509　0045B004-2025.3終息-</t>
  </si>
  <si>
    <t>J509VP</t>
  </si>
  <si>
    <t>-在庫限り-CANON ﾄﾅｰｶｰﾄﾘｯｼﾞ 509VP 0045B005-2025.3終息-</t>
  </si>
  <si>
    <t>J510</t>
  </si>
  <si>
    <t>CANON ﾄﾅｰｶｰﾄﾘｯｼﾞ 510　0985B003</t>
  </si>
  <si>
    <t>J510011</t>
  </si>
  <si>
    <t>-在庫限り終息-NEC PR-L5100-11 ﾄﾅｰｶｰﾄﾘｯｼﾞ</t>
  </si>
  <si>
    <t>J510012</t>
  </si>
  <si>
    <t>-在庫限り終息-NEC PR-L5100-12 ﾄﾅｰｶｰﾄﾘｯｼﾞ</t>
  </si>
  <si>
    <t>J5100D</t>
  </si>
  <si>
    <t>XEROX ﾚｰｻﾞｰﾌﾟﾘﾝﾀｰ DocuPrint 5100 d  N3300047</t>
  </si>
  <si>
    <t>J5102</t>
  </si>
  <si>
    <t>-終息-CANON ﾄﾅｰｶｰﾄﾘｯｼﾞ 510Ⅱ</t>
  </si>
  <si>
    <t>J512883</t>
  </si>
  <si>
    <t>RICOH Pro 現像剤 F2110 1箱(2ﾎﾞﾄﾙ) 512883</t>
  </si>
  <si>
    <t>J512884</t>
  </si>
  <si>
    <t>RICOH Pro 定着ｸﾘｰﾅｰ F2110 512884</t>
  </si>
  <si>
    <t>J512885</t>
  </si>
  <si>
    <t>RICOH Pro 定着ｸﾘｰﾅｰ F2120 512885</t>
  </si>
  <si>
    <t>J514011</t>
  </si>
  <si>
    <t>NEC PR-L5140-11 ﾄﾅｰｶｰﾄﾘｯｼﾞ</t>
  </si>
  <si>
    <t>J514031</t>
  </si>
  <si>
    <t>NEC PR-L5140-31 ﾄﾞﾗﾑｶｰﾄﾘｯｼﾞ</t>
  </si>
  <si>
    <t>J515</t>
  </si>
  <si>
    <t>-終息-CANON ﾄﾅｰｶｰﾄﾘｯｼﾞ 515　1975B004</t>
  </si>
  <si>
    <t>J5152</t>
  </si>
  <si>
    <t>CANON ﾄﾅｰｶｰﾄﾘｯｼﾞ 515Ⅱ　1976B004(2023.3終息)</t>
  </si>
  <si>
    <t>J515878</t>
  </si>
  <si>
    <t>RICOH ｶﾞｰﾒﾝﾄ ｲﾝｸ K(ﾊｲｲｰﾙﾄﾞ) ﾀｲﾌﾟ1 515878</t>
  </si>
  <si>
    <t>J519</t>
  </si>
  <si>
    <t>CANON ﾄﾅｰｶｰﾄﾘｯｼﾞ 519　3479B004</t>
  </si>
  <si>
    <t>J5192</t>
  </si>
  <si>
    <t>CANON ﾄﾅｰｶｰﾄﾘｯｼﾞ 519Ⅱ　3480B004</t>
  </si>
  <si>
    <t>J522012</t>
  </si>
  <si>
    <t>J522031</t>
  </si>
  <si>
    <t>-終息-NEC PR-L5220-31 ﾄﾞﾗﾑｶｰﾄﾘｯｼﾞ</t>
  </si>
  <si>
    <t>J524</t>
  </si>
  <si>
    <t>CANON ﾄﾅｰｶｰﾄﾘｯｼﾞ 524　3481B004</t>
  </si>
  <si>
    <t>J5242</t>
  </si>
  <si>
    <t>CANON ﾄﾅｰｶｰﾄﾘｯｼﾞ 524Ⅱ　3482B004</t>
  </si>
  <si>
    <t>J527</t>
  </si>
  <si>
    <t>CANON ﾄﾅｰｶｰﾄﾘｯｼﾞ 527</t>
  </si>
  <si>
    <t>J527R</t>
  </si>
  <si>
    <t>CANON ﾄﾅｰｶｰﾄﾘｯｼﾞ 527R 純正ﾘｻｲｸﾙ</t>
  </si>
  <si>
    <t>J527VP</t>
  </si>
  <si>
    <t>CANON ﾄﾅｰｶｰﾄﾘｯｼﾞ 527VP</t>
  </si>
  <si>
    <t>J530</t>
  </si>
  <si>
    <t>CANON ﾄﾅｰｶｰﾄﾘｯｼﾞ 530(2021.3終息)</t>
  </si>
  <si>
    <t>J530011</t>
  </si>
  <si>
    <t>NEC PR-L5300-11 ﾄﾅｰｶｰﾄﾘｯｼﾞ</t>
  </si>
  <si>
    <t>J530012</t>
  </si>
  <si>
    <t>NEC PR-L5300-12 ﾄﾅｰｶｰﾄﾘｯｼﾞ</t>
  </si>
  <si>
    <t>J530031</t>
  </si>
  <si>
    <t>NEC PR-L5300-31 ﾄﾞﾗﾑｶｰﾄﾘｯｼﾞ</t>
  </si>
  <si>
    <t>J532000056</t>
  </si>
  <si>
    <t>日本ﾃﾞｰﾀｶｰﾄﾞ ﾘﾎﾞﾝｷｯﾄ ｸﾛHQ 1,500枚/巻 532000-056 4巻ｾｯﾄ</t>
  </si>
  <si>
    <t>純正　※第09393-21921号</t>
  </si>
  <si>
    <t>J533</t>
  </si>
  <si>
    <t>CANON ﾄﾅｰｶｰﾄﾘｯｼﾞ 533　8026B002</t>
  </si>
  <si>
    <t>J5335C001</t>
  </si>
  <si>
    <t>CANON ｲﾝｸﾀﾝｸ BCI-301+300 5MP</t>
  </si>
  <si>
    <t>J533H</t>
  </si>
  <si>
    <t>CANON ﾄﾅｰｶｰﾄﾘｯｼﾞ 533H 8027B002</t>
  </si>
  <si>
    <t>J533HR</t>
  </si>
  <si>
    <t>CANON ﾄﾅｰｶｰﾄﾘｯｼﾞ 533HR 純正ﾘｻｲｸﾙ</t>
  </si>
  <si>
    <t>J535011</t>
  </si>
  <si>
    <t>NEC PR-L5350-11 ﾄﾅｰｶｰﾄﾘｯｼﾞ</t>
  </si>
  <si>
    <t>J535012</t>
  </si>
  <si>
    <t>NEC PR-L5350-12 ﾄﾅｰｶｰﾄﾘｯｼﾞ</t>
  </si>
  <si>
    <t>J535031</t>
  </si>
  <si>
    <t>NEC PR-L5350-31 ﾄﾞﾗﾑｶｰﾄﾘｯｼﾞ</t>
  </si>
  <si>
    <t>J550011</t>
  </si>
  <si>
    <t>NEC PR-L5500-11 ﾄﾅｰｶｰﾄﾘｯｼﾞ</t>
  </si>
  <si>
    <t>J550012</t>
  </si>
  <si>
    <t>NEC PR-L5500-12 ﾄﾅｰｶｰﾄﾘｯｼﾞ</t>
  </si>
  <si>
    <t>J550031</t>
  </si>
  <si>
    <t>NEC PR-L5500-31 ﾄﾞﾗﾑｶｰﾄﾘｯｼﾞ</t>
  </si>
  <si>
    <t>J5520</t>
  </si>
  <si>
    <t>RICOH FAXﾄﾅｰ 5520 ﾌﾞﾗｯｸ 【339869】 純正品</t>
  </si>
  <si>
    <t>J5600C11</t>
  </si>
  <si>
    <t>-終息- NEC PR-L5600C-11 ｲｴﾛｰ ﾄﾅｰｶｰﾄﾘｯｼﾞ</t>
  </si>
  <si>
    <t>J5600C12</t>
  </si>
  <si>
    <t>-終息- NEC PR-L5600C-12 ﾏｾﾞﾝﾀ ﾄﾅｰｶｰﾄﾘｯｼﾞ</t>
  </si>
  <si>
    <t>J5600C13</t>
  </si>
  <si>
    <t>-終息- NEC PR-L5600C-13 ｼｱﾝ ﾄﾅｰｶｰﾄﾘｯｼﾞ</t>
  </si>
  <si>
    <t>J5600C14</t>
  </si>
  <si>
    <t>-終息- NEC PR-L5600C-14 ﾌﾞﾗｯｸ ﾄﾅｰｶｰﾄﾘｯｼﾞ</t>
  </si>
  <si>
    <t>J5600C16</t>
  </si>
  <si>
    <t>-終息- NEC PR-L5600C-16 ｲｴﾛｰ(大容量) ﾄﾅｰｶｰﾄﾘｯｼﾞ</t>
  </si>
  <si>
    <t>J5600C17</t>
  </si>
  <si>
    <t>-終息- NEC PR-L5600C-17 ﾏｾﾞﾝﾀ(大容量) ﾄﾅｰｶｰﾄﾘｯｼﾞ</t>
  </si>
  <si>
    <t>J5600C18</t>
  </si>
  <si>
    <t>-終息- NEC PR-L5600C-18 ｼｱﾝ(大容量) ﾄﾅｰｶｰﾄﾘｯｼﾞ</t>
  </si>
  <si>
    <t>J5600C19</t>
  </si>
  <si>
    <t>-終息- NEC PR-L5600C-19 ﾌﾞﾗｯｸ(大容量) ﾄﾅｰｶｰﾄﾘｯｼﾞ</t>
  </si>
  <si>
    <t>J5700C11</t>
  </si>
  <si>
    <t>-終息-NEC PR-L5700C-11 ｲｴﾛｰ ﾄﾅｰｶｰﾄﾘｯｼﾞ</t>
  </si>
  <si>
    <t>J5700C12</t>
  </si>
  <si>
    <t>-終息-NEC PR-L5700C-12 ﾏｾﾞﾝﾀ ﾄﾅｰｶｰﾄﾘｯｼﾞ</t>
  </si>
  <si>
    <t>J5700C13</t>
  </si>
  <si>
    <t>-終息-NEC PR-L5700C-13 ｼｱﾝ ﾄﾅｰｶｰﾄﾘｯｼﾞ</t>
  </si>
  <si>
    <t>J5700C14</t>
  </si>
  <si>
    <t>-終息-NEC PR-L5700C-14 ﾌﾞﾗｯｸ ﾄﾅｰｶｰﾄﾘｯｼﾞ</t>
  </si>
  <si>
    <t>J5700C16</t>
  </si>
  <si>
    <t>-終息-NEC PR-L5700C-16 ｲｴﾛｰ(大容量) ﾄﾅｰｶｰﾄﾘｯｼﾞ</t>
  </si>
  <si>
    <t>J5700C17</t>
  </si>
  <si>
    <t>-終息-NEC PR-L5700C-17 ﾏｾﾞﾝﾀﾞ(大容量) ﾄﾅｰｶｰﾄﾘｯｼﾞ</t>
  </si>
  <si>
    <t>J5700C18</t>
  </si>
  <si>
    <t>-終息-NEC PR-L5700C-18 ｼｱﾝ(大容量) ﾄﾅｰｶｰﾄﾘｯｼﾞ</t>
  </si>
  <si>
    <t>J5700C19</t>
  </si>
  <si>
    <t>-終息-NEC PR-L5700C-19 ﾌﾞﾗｯｸ(大容量) ﾄﾅｰｶｰﾄﾘｯｼﾞ</t>
  </si>
  <si>
    <t>J5700C24</t>
  </si>
  <si>
    <t>-終息-NEC PR-L5700C-24 ﾌﾞﾗｯｸ(大容量) ﾄﾅｰｶｰﾄﾘｯｼﾞ</t>
  </si>
  <si>
    <t>J5700C31</t>
  </si>
  <si>
    <t>-終息-NEC PR-L5700C-31 ﾄﾞﾗﾑｶｰﾄﾘｯｼﾞ</t>
  </si>
  <si>
    <t>J5750CFU</t>
  </si>
  <si>
    <t>NEC PR-L5750C-FU ﾌｭｰｻﾞｰﾕﾆｯﾄ</t>
  </si>
  <si>
    <t>J5750CR01</t>
  </si>
  <si>
    <t>NEC PR-L5750C-R01 ﾘﾀｰﾄﾞﾛｰﾙ</t>
  </si>
  <si>
    <t>J5800C11</t>
  </si>
  <si>
    <t>NEC PR-L5800C-11 ｲｴﾛｰ ﾄﾅｰｶｰﾄﾘｯｼﾞ</t>
  </si>
  <si>
    <t>J5800C12</t>
  </si>
  <si>
    <t>NEC PR-L5800C-12 ﾏｾﾞﾝﾀﾞ ﾄﾅｰｶｰﾄﾘｯｼﾞ</t>
  </si>
  <si>
    <t>J5800C13</t>
  </si>
  <si>
    <t>NEC PR-L5800C-13 ｼｱﾝ ﾄﾅｰｶｰﾄﾘｯｼﾞ</t>
  </si>
  <si>
    <t>J5800C14</t>
  </si>
  <si>
    <t>NEC PR-L5800C-14 ﾌﾞﾗｯｸ ﾄﾅｰｶｰﾄﾘｯｼﾞ</t>
  </si>
  <si>
    <t>J5800C31C</t>
  </si>
  <si>
    <t>NEC PR-L5800C-31 ｼｱﾝ ﾄﾞﾗﾑｶｰﾄﾘｯｼﾞ</t>
  </si>
  <si>
    <t>J5800C31K</t>
  </si>
  <si>
    <t>NEC PR-L5800C-31 ﾌﾞﾗｯｸ ﾄﾞﾗﾑｶｰﾄﾘｯｼﾞ</t>
  </si>
  <si>
    <t>J5800C31M</t>
  </si>
  <si>
    <t>NEC PR-L5800C-31 ﾏｾﾞﾝﾀﾞ ﾄﾞﾗﾑｶｰﾄﾘｯｼﾞ</t>
  </si>
  <si>
    <t>J5800C31Y</t>
  </si>
  <si>
    <t>NEC PR-L5800C-31 ｲｴﾛｰ ﾄﾞﾗﾑｶｰﾄﾘｯｼﾞ</t>
  </si>
  <si>
    <t>J5800C33</t>
  </si>
  <si>
    <t>NEC PR-L5800C-33 ﾄﾅｰ回収ﾎﾞﾄﾙ</t>
  </si>
  <si>
    <t>J5850C11</t>
  </si>
  <si>
    <t>NEC PR-L5850C-11 ｲｴﾛｰ ﾄﾅｰｶｰﾄﾘｯｼﾞ</t>
  </si>
  <si>
    <t>J5850C12</t>
  </si>
  <si>
    <t>NEC PR-L5850C-12 ﾏｾﾞﾝﾀﾞ ﾄﾅｰｶｰﾄﾘｯｼﾞ</t>
  </si>
  <si>
    <t>J5850C13</t>
  </si>
  <si>
    <t>NEC PR-L5850C-13 ｼｱﾝ ﾄﾅｰｶｰﾄﾘｯｼﾞ</t>
  </si>
  <si>
    <t>J5850C14</t>
  </si>
  <si>
    <t>NEC PR-L5850C-14 ﾌﾞﾗｯｸ ﾄﾅｰｶｰﾄﾘｯｼﾞ</t>
  </si>
  <si>
    <t>J5850C16</t>
  </si>
  <si>
    <t>NEC PR-L5850C-16 ｲｴﾛｰ ﾄﾅｰｶｰﾄﾘｯｼﾞ</t>
  </si>
  <si>
    <t>J5850C17</t>
  </si>
  <si>
    <t>NEC PR-L5850C-17 ﾏｾﾞﾝﾀﾞ ﾄﾅｰｶｰﾄﾘｯｼﾞ</t>
  </si>
  <si>
    <t>J5850C18</t>
  </si>
  <si>
    <t>NEC PR-L5850C-18 ｼｱﾝ ﾄﾅｰｶｰﾄﾘｯｼﾞ</t>
  </si>
  <si>
    <t>J5850C19</t>
  </si>
  <si>
    <t>NEC PR-L5850C-19 ﾌﾞﾗｯｸ ﾄﾅｰｶｰﾄﾘｯｼﾞ</t>
  </si>
  <si>
    <t>J5900C11</t>
  </si>
  <si>
    <t>NEC PR-L5900C-11 ｲｴﾛｰ ﾄﾅｰｶｰﾄﾘｯｼﾞ</t>
  </si>
  <si>
    <t>J5900C12</t>
  </si>
  <si>
    <t>NEC PR-L5900C-12 ﾏｾﾞﾝﾀﾞ ﾄﾅｰｶｰﾄﾘｯｼﾞ</t>
  </si>
  <si>
    <t>J5900C13</t>
  </si>
  <si>
    <t>NEC PR-L5900C-13 ｼｱﾝ ﾄﾅｰｶｰﾄﾘｯｼﾞ</t>
  </si>
  <si>
    <t>J5900C14</t>
  </si>
  <si>
    <t>NEC PR-L5900C-14 ﾌﾞﾗｯｸ ﾄﾅｰｶｰﾄﾘｯｼﾞ</t>
  </si>
  <si>
    <t>J5900C16</t>
  </si>
  <si>
    <t>NEC PR-L5900C-16 ｲｴﾛｰ(大容量) ﾄﾅｰｶｰﾄﾘｯｼﾞ</t>
  </si>
  <si>
    <t>J5900C17</t>
  </si>
  <si>
    <t>NEC PR-L5900C-17 ﾏｾﾞﾝﾀﾞ(大容量) ﾄﾅｰｶｰﾄﾘｯｼﾞ</t>
  </si>
  <si>
    <t>J5900C18</t>
  </si>
  <si>
    <t>NEC PR-L5900C-18 ｼｱﾝ(大容量) ﾄﾅｰｶｰﾄﾘｯｼﾞ</t>
  </si>
  <si>
    <t>J5900C19</t>
  </si>
  <si>
    <t>NEC PR-L5900C-19 ﾌﾞﾗｯｸ(大容量) ﾄﾅｰｶｰﾄﾘｯｼﾞ</t>
  </si>
  <si>
    <t>J5900C31</t>
  </si>
  <si>
    <t>NEC PR-L5900C-31 ﾄﾞﾗﾑｶｰﾄﾘｯｼﾞ</t>
  </si>
  <si>
    <t>J5900C33</t>
  </si>
  <si>
    <t>NEC PR-L5900C-33 ﾄﾅｰ回収ﾎﾞﾄﾙ</t>
  </si>
  <si>
    <t>J600616</t>
  </si>
  <si>
    <t>-終息-RICOH Pro ﾄﾅｰ 8110 600616</t>
  </si>
  <si>
    <t>J600618</t>
  </si>
  <si>
    <t>RICOH Pro トナー F2110　タイプA　６ボトル 600618</t>
  </si>
  <si>
    <t>J6054</t>
  </si>
  <si>
    <t>RICOH MPﾄﾅｰ 6054</t>
  </si>
  <si>
    <t>J6054P</t>
  </si>
  <si>
    <t>RICOH MP Pﾄﾅｰ 6054</t>
  </si>
  <si>
    <t>J6100H</t>
  </si>
  <si>
    <t>RICOH  SPﾄﾅｰｶｰﾄﾞﾘｯｼﾞ6100H【515317】</t>
  </si>
  <si>
    <t>J6100HRE</t>
  </si>
  <si>
    <t>RICOH SPﾄﾅｰ　6100HRE</t>
  </si>
  <si>
    <t>J6100S</t>
  </si>
  <si>
    <t>RICOH  SPﾄﾅｰｶｰﾄﾞﾘｯｼﾞ6100S</t>
  </si>
  <si>
    <t>J6100SRE</t>
  </si>
  <si>
    <t>RICOH  SPﾄﾅｰｶｰﾄﾞﾘｯｼﾞ6100S　RE　ﾒｰｶｰﾘｻｲｸﾙ</t>
  </si>
  <si>
    <t>J613703</t>
  </si>
  <si>
    <t>RICOH ｻﾃﾘｵｲﾝｷ ﾀｲﾌﾟ1 &lt;黒&gt; 613703</t>
  </si>
  <si>
    <t>J613704</t>
  </si>
  <si>
    <t>RICOH ｻﾃﾘｵﾏｽﾀｰ ﾀｲﾌﾟⅠ 2ﾛｰﾙ/箱 613704</t>
  </si>
  <si>
    <t>J613725</t>
  </si>
  <si>
    <t>RICOH ｻﾃﾘｵﾏｽﾀｰ ﾀｲﾌﾟⅠ&lt;B4&gt; 2ﾛｰﾙ/箱 613725</t>
  </si>
  <si>
    <t>J613726</t>
  </si>
  <si>
    <t>RICOH Satelio ﾏｽﾀｰ ﾀｲﾌﾟI G(110m巻200版)2ﾛｰﾙ/箱613726</t>
  </si>
  <si>
    <t>J613734</t>
  </si>
  <si>
    <t>RICOH DD A3 ﾏｽﾀｰ 500 2ﾛｰﾙ/箱 613734</t>
  </si>
  <si>
    <t>J613735</t>
  </si>
  <si>
    <t>RICOH DD B4 ﾏｽﾀｰ 500 2ﾛｰﾙ/箱 613735</t>
  </si>
  <si>
    <t>J613736</t>
  </si>
  <si>
    <t>RICOH DD ｲﾝｸ ﾌﾞﾗｯｸ 500 613736</t>
  </si>
  <si>
    <t>J613745</t>
  </si>
  <si>
    <t>RICOH DD ﾊｲｸﾞﾚｰﾄﾞｲﾝｸ ﾌﾞﾗｯｸ 501 613745</t>
  </si>
  <si>
    <t>J613746</t>
  </si>
  <si>
    <t>RICOH DD A3 ﾊｲｸﾞﾚｰﾄﾞﾏｽﾀｰ 501 2ﾛｰﾙ/箱 613746</t>
  </si>
  <si>
    <t>J613925</t>
  </si>
  <si>
    <t>RICOH ﾌﾟﾘﾎﾟｰﾄﾏｽﾀｰ m-30&lt;A3&gt; 2本/箱 613925</t>
  </si>
  <si>
    <t>J613926</t>
  </si>
  <si>
    <t>RICOH ﾌﾟﾘﾎﾟｰﾄｲﾝｷ i-30&lt;黒&gt; 613926</t>
  </si>
  <si>
    <t>J613929</t>
  </si>
  <si>
    <t>RICOH ﾌﾟﾘﾎﾟｰﾄｲﾝｷ i-30&lt;赤&gt; 613929</t>
  </si>
  <si>
    <t>J613930</t>
  </si>
  <si>
    <t>RICOH ﾌﾟﾘﾎﾟｰﾄｲﾝｷ i-30&lt;青&gt; 613930</t>
  </si>
  <si>
    <t>J613931</t>
  </si>
  <si>
    <t>RICOH ﾌﾟﾘﾎﾟｰﾄｲﾝｷ i-30&lt;緑&gt; 613931</t>
  </si>
  <si>
    <t>J613951</t>
  </si>
  <si>
    <t>RICOH ﾏｽﾀｰ ﾀｲﾌﾟA 2ﾛｰﾙ/箱 613951</t>
  </si>
  <si>
    <t>J613953</t>
  </si>
  <si>
    <t>RICOH ｲﾝｷ ﾀｲﾌﾟ400 &lt;黒&gt; 613953</t>
  </si>
  <si>
    <t>J6340</t>
  </si>
  <si>
    <t>富士ﾌｲﾙﾑ ﾚｰｻﾞｰﾌﾟﾘﾝﾀｰ ApeosPrint 6340 (NL100631)</t>
  </si>
  <si>
    <t>J6400S</t>
  </si>
  <si>
    <t>RICOH ﾄﾅｰｶｰﾄﾘｯｼﾞ6400S【600574】2本入り</t>
  </si>
  <si>
    <t>J6410ZOUSETU</t>
  </si>
  <si>
    <t>RICOH　250枚増設トレイ6400【512674】</t>
  </si>
  <si>
    <t>J70B</t>
  </si>
  <si>
    <t>[終息] RICOH　ﾀｲﾌﾟ70B</t>
  </si>
  <si>
    <t>J720A</t>
  </si>
  <si>
    <t>RICOH  ﾄﾅｰｶｰﾄﾞﾘｯｼﾞ ﾀｲﾌﾟ720A【307768】</t>
  </si>
  <si>
    <t>J720B</t>
  </si>
  <si>
    <t>RICOH  ﾄﾅｰｶｰﾄﾞﾘｯｼﾞ ﾀｲﾌﾟ720B【307769】</t>
  </si>
  <si>
    <t>J760031</t>
  </si>
  <si>
    <t>-終息-NEC PR-L7600C-31 ﾄﾞﾗﾑｶｰﾄﾘｯｼﾞ</t>
  </si>
  <si>
    <t>J7600C16</t>
  </si>
  <si>
    <t>-終息-NEC PR-L7600C-16 ｲｴﾛｰ(大容量) ﾄﾅｰｶｰﾄﾘｯｼﾞ</t>
  </si>
  <si>
    <t>J7600C17</t>
  </si>
  <si>
    <t>-終息-NEC PR-L7600C-17 ﾏｾﾞﾝﾀﾞ(大容量) ﾄﾅｰｶｰﾄﾘｯｼﾞ</t>
  </si>
  <si>
    <t>J7600C18</t>
  </si>
  <si>
    <t>-終息-NEC PR-L7600C-18 ｼｱﾝ(大容量) ﾄﾅｰｶｰﾄﾘｯｼﾞ</t>
  </si>
  <si>
    <t>J7600C19</t>
  </si>
  <si>
    <t>-終息-NEC PR-L7600C-19 ﾌﾞﾗｯｸ(大容量) ﾄﾅｰｶｰﾄﾘｯｼﾞ</t>
  </si>
  <si>
    <t>J7600C32</t>
  </si>
  <si>
    <t>-終息-NEC PR-L7600C-32 転写ﾛｰﾙｶｰﾄﾞﾘｯｼﾞ</t>
  </si>
  <si>
    <t>J800011</t>
  </si>
  <si>
    <t>-在庫限り終息-NEC PR-L8000-11 ﾄﾅｰｶｰﾄﾘｯｼﾞ</t>
  </si>
  <si>
    <t>J800012</t>
  </si>
  <si>
    <t>-在庫限り終息-NEC PR-L8000-12 ﾄﾅｰｶｰﾄﾘｯｼﾞ</t>
  </si>
  <si>
    <t>J8154A017</t>
  </si>
  <si>
    <t>CANON  ﾌﾟﾚﾐｱﾑ普通紙 LFM-PPP/A0/80 A0ﾛｰﾙ 841mm×50m 1箱(2本) 8154A017</t>
  </si>
  <si>
    <t>J830011</t>
  </si>
  <si>
    <t>NEC PR-L8300-11 ﾄﾅｰｶｰﾄﾘｯｼﾞ</t>
  </si>
  <si>
    <t>J830012</t>
  </si>
  <si>
    <t>NEC PR-L8300-12 ﾄﾅｰｶｰﾄﾘｯｼﾞ</t>
  </si>
  <si>
    <t>J850011</t>
  </si>
  <si>
    <t>NEC PR-L8500-11 ﾄﾅｰｶｰﾄﾘｯｼﾞ</t>
  </si>
  <si>
    <t>J850012</t>
  </si>
  <si>
    <t>NEC PR-L8500-12 ﾄﾅｰｶｰﾄﾘｯｼﾞ</t>
  </si>
  <si>
    <t>J850065</t>
  </si>
  <si>
    <t>NEC PR-L8500-65 ﾄﾅｰｶｰﾄﾘｯｼﾞ(ﾒｰｶｰﾘｻｲｸﾙ)</t>
  </si>
  <si>
    <t>J85A</t>
  </si>
  <si>
    <t>RICOH ﾄﾅｰｶｰﾄﾘｯｼﾞﾀｲﾌﾟ85A　509295</t>
  </si>
  <si>
    <t>J85B</t>
  </si>
  <si>
    <t>RICOH ﾄﾅｰｶｰﾄﾘｯｼﾞﾀｲﾌﾟ85B [509296]</t>
  </si>
  <si>
    <t>J860012</t>
  </si>
  <si>
    <t>NEC PR-L8600-12 ﾄﾅｰｶｰﾄﾘｯｼﾞ</t>
  </si>
  <si>
    <t>J860031</t>
  </si>
  <si>
    <t>NEC PR-L8600-31 ﾄﾞﾗﾑｶｰﾄﾘｯｼﾞ</t>
  </si>
  <si>
    <t>J870011</t>
  </si>
  <si>
    <t>NEC PR-L8700-11 ﾄﾅｰｶｰﾄﾘｯｼﾞ</t>
  </si>
  <si>
    <t>J870012</t>
  </si>
  <si>
    <t>NEC PR-L8700-12 ﾄﾅｰｶｰﾄﾘｯｼﾞ</t>
  </si>
  <si>
    <t>J870031</t>
  </si>
  <si>
    <t>NEC PR-L8700-31 ﾄﾞﾗﾑｶｰﾄﾘｯｼﾞ</t>
  </si>
  <si>
    <t>J8738B005</t>
  </si>
  <si>
    <t>CANON ｽﾀﾝﾀﾞｰﾄﾞ普通紙 LFM-PPS2/A1/64 8738B005</t>
  </si>
  <si>
    <t>64g/㎡ A1 594mm×50m 2本/箱</t>
  </si>
  <si>
    <t>J8938645</t>
  </si>
  <si>
    <t>ｺﾆｶﾐﾉﾙﾀ  8938645 BK</t>
  </si>
  <si>
    <t>J89Y</t>
  </si>
  <si>
    <t>HP 89Y ﾄﾅｰｶｰﾄﾘｯｼﾞ  CF289Y 黒</t>
  </si>
  <si>
    <t>J8J95A</t>
  </si>
  <si>
    <t>ADFﾛｰﾗｰ交換ｷｯﾄ PgWd Ent 用 J8J95A</t>
  </si>
  <si>
    <t>J9010C11</t>
  </si>
  <si>
    <t>NEC PR-L9010C-11 ｲｴﾛｰ ﾄﾅｰｶｰﾄﾘｯｼﾞ</t>
  </si>
  <si>
    <t>J9010C11W</t>
  </si>
  <si>
    <t>NEC PR-L9010C-11W ｲｴﾛｰ(2P) ﾄﾅｰｶｰﾄﾘｯｼﾞ</t>
  </si>
  <si>
    <t>J9010C12</t>
  </si>
  <si>
    <t>NEC PR-L9010C-12 ﾏｾﾞﾝﾀﾞ ﾄﾅｰｶｰﾄﾘｯｼﾞ</t>
  </si>
  <si>
    <t>J9010C12W</t>
  </si>
  <si>
    <t>NEC PR-L9010C-12W ﾏｾﾞﾝﾀﾞ(2P) ﾄﾅｰｶｰﾄﾘｯｼﾞ</t>
  </si>
  <si>
    <t>J9010C13</t>
  </si>
  <si>
    <t>NEC PR-L9010C-13 ｼｱﾝ ﾄﾅｰｶｰﾄﾘｯｼﾞ</t>
  </si>
  <si>
    <t>J9010C13W</t>
  </si>
  <si>
    <t>NEC PR-L9010C-13W ｼｱﾝ(2P) ﾄﾅｰｶｰﾄﾘｯｼﾞ</t>
  </si>
  <si>
    <t>J9010C14</t>
  </si>
  <si>
    <t>NEC PR-L9010C-14 ﾌﾞﾗｯｸ ﾄﾅｰｶｰﾄﾘｯｼﾞ</t>
  </si>
  <si>
    <t>J9010C14W</t>
  </si>
  <si>
    <t>NEC PR-L9010C-14W ﾌﾞﾗｯｸ(2P) ﾄﾅｰｶｰﾄﾘｯｼﾞ</t>
  </si>
  <si>
    <t>J901291</t>
  </si>
  <si>
    <t>RICOH 901291 ﾏｲﾍﾟｰﾊﾟｰ(ﾛｰﾙ) 841mm×150m 2本入  0236416</t>
  </si>
  <si>
    <t>J9100C11</t>
  </si>
  <si>
    <t>-在庫限り終息-NEC PR-L9100C-11 ｲｴﾛｰ ﾄﾅｰｶｰﾄﾘｯｼﾞ</t>
  </si>
  <si>
    <t>J9100C11W</t>
  </si>
  <si>
    <t>-在庫限り終息-NEC PR-L9100C-11W ｲｴﾛｰ(2P) ﾄﾅｰｶｰﾄﾘｯｼﾞ</t>
  </si>
  <si>
    <t>J9100C12</t>
  </si>
  <si>
    <t>-在庫限り終息-NEC PR-L9100C-12 ﾏｾﾞﾝﾀﾞ ﾄﾅｰｶｰﾄﾘｯｼﾞ</t>
  </si>
  <si>
    <t>J9100C12W</t>
  </si>
  <si>
    <t>-在庫限り終息-NEC PR-L9100C-12W ﾏｾﾞﾝﾀﾞ(2P) ﾄﾅｰｶｰﾄﾘｯｼﾞ</t>
  </si>
  <si>
    <t>J9100C13</t>
  </si>
  <si>
    <t>-在庫限り終息-NEC PR-L9100C-13 ｼｱﾝ ﾄﾅｰｶｰﾄﾘｯｼﾞ</t>
  </si>
  <si>
    <t>J9100C13W</t>
  </si>
  <si>
    <t>-在庫限り終息-NEC PR-L9100C-13W ｼｱﾝ(2P) ﾄﾅｰｶｰﾄﾘｯｼﾞ</t>
  </si>
  <si>
    <t>J9100C14</t>
  </si>
  <si>
    <t>-在庫限り終息-NEC PR-L9100C-14 ﾌﾞﾗｯｸ ﾄﾅｰｶｰﾄﾘｯｼﾞ</t>
  </si>
  <si>
    <t>J9100C14W</t>
  </si>
  <si>
    <t>-在庫限り終息-NEC PR-L9100C-14W ﾌﾞﾗｯｸ(2P) ﾄﾅｰｶｰﾄﾘｯｼﾞ</t>
  </si>
  <si>
    <t>J9100C31</t>
  </si>
  <si>
    <t>NEC PR-L9100C-31 ﾌﾞﾗｯｸ ﾄﾞﾗﾑｶｰﾄﾘｯｼﾞ</t>
  </si>
  <si>
    <t>J9100C33</t>
  </si>
  <si>
    <t>NEC PR-L9100C-33 ﾄﾅｰ回収ﾎﾞﾄﾙ</t>
  </si>
  <si>
    <t>J9100C35</t>
  </si>
  <si>
    <t>NEC PR-L9100C-35 ｶﾗｰ ﾄﾞﾗﾑｶｰﾄﾘｯｼﾞ</t>
  </si>
  <si>
    <t>J9100CFUS</t>
  </si>
  <si>
    <t>NEC PR-L9100C/9110C/9010C 定着ﾕﾆｯﾄ P10152535</t>
  </si>
  <si>
    <t>J9110C11</t>
  </si>
  <si>
    <t>NEC PR-L9110C-11 ｲｴﾛｰ ﾄﾅｰｶｰﾄﾘｯｼﾞ</t>
  </si>
  <si>
    <t>J9110C11W</t>
  </si>
  <si>
    <t>NEC PR-L9110C-11W ｲｴﾛｰ(2P) ﾄﾅｰｶｰﾄﾘｯｼﾞ</t>
  </si>
  <si>
    <t>J9110C12</t>
  </si>
  <si>
    <t>NEC PR-L9110C-12 ﾏｾﾞﾝﾀﾞ ﾄﾅｰｶｰﾄﾘｯｼﾞ</t>
  </si>
  <si>
    <t>J9110C12W</t>
  </si>
  <si>
    <t>NEC PR-L9110C-12W ﾏｾﾞﾝﾀﾞ(2P) ﾄﾅｰｶｰﾄﾘｯｼﾞ</t>
  </si>
  <si>
    <t>J9110C13</t>
  </si>
  <si>
    <t>NEC PR-L9110C-13 ｼｱﾝ ﾄﾅｰｶｰﾄﾘｯｼﾞ</t>
  </si>
  <si>
    <t>J9110C13W</t>
  </si>
  <si>
    <t>NEC PR-L9110C-13W ｼｱﾝ(2P) ﾄﾅｰｶｰﾄﾘｯｼﾞ</t>
  </si>
  <si>
    <t>J9110C14</t>
  </si>
  <si>
    <t>NEC PR-L9110C-14 ﾌﾞﾗｯｸ ﾄﾅｰｶｰﾄﾘｯｼﾞ</t>
  </si>
  <si>
    <t>J9110C14W</t>
  </si>
  <si>
    <t>NEC PR-L9110C-14W ﾌﾞﾗｯｸ(2P) ﾄﾅｰｶｰﾄﾘｯｼﾞ</t>
  </si>
  <si>
    <t>J9300C11</t>
  </si>
  <si>
    <t>NEC PR-L9300C-11 ｲｴﾛｰ ﾄﾅｰｶｰﾄﾘｯｼﾞ</t>
  </si>
  <si>
    <t>J9300C12</t>
  </si>
  <si>
    <t>NEC PR-L9300C-12 ﾏｾﾞﾝﾀﾞ ﾄﾅｰｶｰﾄﾘｯｼﾞ</t>
  </si>
  <si>
    <t>J9300C13</t>
  </si>
  <si>
    <t>NEC PR-L9300C-13 ｼｱﾝ ﾄﾅｰｶｰﾄﾘｯｼﾞ</t>
  </si>
  <si>
    <t>J9300C14</t>
  </si>
  <si>
    <t>NEC PR-L9300C-14 ﾌﾞﾗｯｸ ﾄﾅｰｶｰﾄﾘｯｼﾞ</t>
  </si>
  <si>
    <t>J9300C16</t>
  </si>
  <si>
    <t>NEC PR-L9300C-16 ｲｴﾛｰ(大容量) ﾄﾅｰｶｰﾄﾘｯｼﾞ</t>
  </si>
  <si>
    <t>J9300C17</t>
  </si>
  <si>
    <t>NEC PR-L9300C-17 ﾏｾﾞﾝﾀﾞ(大容量) ﾄﾅｰｶｰﾄﾘｯｼﾞ</t>
  </si>
  <si>
    <t>J9300C18</t>
  </si>
  <si>
    <t>NEC PR-L9300C-18 ｼｱﾝ(大容量) ﾄﾅｰｶｰﾄﾘｯｼﾞ</t>
  </si>
  <si>
    <t>J9300C19</t>
  </si>
  <si>
    <t>NEC PR-L9300C-19 ﾌﾞﾗｯｸ(大容量) ﾄﾅｰｶｰﾄﾘｯｼﾞ</t>
  </si>
  <si>
    <t>J9300C31</t>
  </si>
  <si>
    <t>NEC PR-L9300C-31 ﾄﾞﾗﾑｶｰﾄﾘｯｼﾞ</t>
  </si>
  <si>
    <t>J9300C33</t>
  </si>
  <si>
    <t>NEC PR-L9300C-33 ﾄﾅｰ回収ﾎﾞﾄﾙ</t>
  </si>
  <si>
    <t>J9600C11</t>
  </si>
  <si>
    <t>NEC PR-L9600C-11 ｲｴﾛｰ ﾄﾅｰｶｰﾄﾘｯｼﾞ</t>
  </si>
  <si>
    <t>J9600C12</t>
  </si>
  <si>
    <t>NEC PR-L9600C-12 ﾏｾﾞﾝﾀﾞ ﾄﾅｰｶｰﾄﾘｯｼﾞ</t>
  </si>
  <si>
    <t>J9600C13</t>
  </si>
  <si>
    <t>NEC PR-L9600C-13 ｼｱﾝ ﾄﾅｰｶｰﾄﾘｯｼﾞ</t>
  </si>
  <si>
    <t>J9600C14</t>
  </si>
  <si>
    <t>NEC PR-L9600C-14 ﾌﾞﾗｯｸ ﾄﾅｰｶｰﾄﾘｯｼﾞ</t>
  </si>
  <si>
    <t>J9600C16</t>
  </si>
  <si>
    <t>NEC PR-L9600C-16 ｲｴﾛｰ 大容量 ﾄﾅｰｶｰﾄﾘｯｼﾞ</t>
  </si>
  <si>
    <t>J9600C17</t>
  </si>
  <si>
    <t>NEC PR-L9600C-17 ﾏｾﾞﾝﾀﾞ 大容量 ﾄﾅｰｶｰﾄﾘｯｼﾞ</t>
  </si>
  <si>
    <t>J9600C18</t>
  </si>
  <si>
    <t>NEC PR-L9600C-18 ｼｱﾝ 大容量 ﾄﾅｰｶｰﾄﾘｯｼﾞ</t>
  </si>
  <si>
    <t>J9600C19</t>
  </si>
  <si>
    <t>NEC PR-L9600C-19 ﾌﾞﾗｯｸ 大容量 ﾄﾅｰｶｰﾄﾘｯｼﾞ</t>
  </si>
  <si>
    <t>J9600C31</t>
  </si>
  <si>
    <t>NEC PR-L9600C-31 ﾄﾞﾗﾑｶｰﾄﾘｯｼﾞ</t>
  </si>
  <si>
    <t>J9950C11</t>
  </si>
  <si>
    <t>NEC PR-L9950C-11 ｲｴﾛｰ ﾄﾅｰｶｰﾄﾘｯｼﾞ</t>
  </si>
  <si>
    <t>J9950C12</t>
  </si>
  <si>
    <t>NEC PR-L9950C-12 ﾏｾﾞﾝﾀﾞ ﾄﾅｰｶｰﾄﾘｯｼﾞ</t>
  </si>
  <si>
    <t>J9950C13</t>
  </si>
  <si>
    <t>NEC PR-L9950C-13 ｼｱﾝ ﾄﾅｰｶｰﾄﾘｯｼﾞ</t>
  </si>
  <si>
    <t>J9950C14</t>
  </si>
  <si>
    <t>NEC PR-L9950C-14 ﾌﾞﾗｯｸ ﾄﾅｰｶｰﾄﾘｯｼﾞ</t>
  </si>
  <si>
    <t>J9950C31</t>
  </si>
  <si>
    <t>NEC PR-L9950C-31 ﾄﾞﾗﾑｶｰﾄﾘｯｼﾞ</t>
  </si>
  <si>
    <t>JA0WG02D</t>
  </si>
  <si>
    <t>ｺﾆｶﾐﾉﾙﾀ 大容量ﾄﾅｰｶｰﾄﾘｯｼﾞ ﾌﾞﾗｯｸ A0WG02D</t>
  </si>
  <si>
    <t>JA0WG03D</t>
  </si>
  <si>
    <t>ｺﾆｶﾐﾉﾙﾀ ｲﾒｰｼﾞﾝｸﾞﾕﾆｯﾄ A0WG03D BK</t>
  </si>
  <si>
    <t>JA0WG07D</t>
  </si>
  <si>
    <t>ｺﾆｶﾐﾉﾙﾀ 大容量ﾄﾅｰｶｰﾄﾘｯｼﾞ ｲｴﾛｰ A0WG07D</t>
  </si>
  <si>
    <t>JA0WG08D</t>
  </si>
  <si>
    <t>ｺﾆｶﾐﾉﾙﾀ ｲﾒｰｼﾞﾝｸﾞﾕﾆｯﾄ A0WG08D Y</t>
  </si>
  <si>
    <t>JA0WG0DD</t>
  </si>
  <si>
    <t>ｺﾆｶﾐﾉﾙﾀ 大容量ﾄﾅｰｶｰﾄﾘｯｼﾞ ﾏｾﾞﾝﾀ A0WG0DD</t>
  </si>
  <si>
    <t>JA0WG0ED</t>
  </si>
  <si>
    <t>ｺﾆｶﾐﾉﾙﾀ ｲﾒｰｼﾞﾝｸﾞﾕﾆｯﾄ A0WG0ED M</t>
  </si>
  <si>
    <t>JA0WG0JD</t>
  </si>
  <si>
    <t>ｺﾆｶﾐﾉﾙﾀ 大容量ﾄﾅｰｶｰﾄﾘｯｼﾞ ｼｱﾝ A0WG0JD</t>
  </si>
  <si>
    <t>JA0WG0KDC</t>
  </si>
  <si>
    <t>ｺﾆｶﾐﾉﾙﾀ ｲﾒｰｼﾞﾝｸﾞﾕﾆｯﾄ A0WG0KD C</t>
  </si>
  <si>
    <t>JA0X5170</t>
  </si>
  <si>
    <t>ｺﾆｶﾐﾉﾙﾀ 大容量ﾄﾅｰｶｰﾄﾘｯｼﾞ ﾌﾞﾗｯｸ A0X5170</t>
  </si>
  <si>
    <t>JA0X5270</t>
  </si>
  <si>
    <t>ｺﾆｶﾐﾉﾙﾀ 大容量ﾄﾅｰｶｰﾄﾘｯｼﾞ ｲｴﾛｰ A0X5270</t>
  </si>
  <si>
    <t>JA0X5370</t>
  </si>
  <si>
    <t>ｺﾆｶﾐﾉﾙﾀ 大容量ﾄﾅｰｶｰﾄﾘｯｼﾞ ﾏｾﾞﾝﾀ A0X5370</t>
  </si>
  <si>
    <t>JA0X5470</t>
  </si>
  <si>
    <t>ｺﾆｶﾐﾉﾙﾀ 大容量ﾄﾅｰｶｰﾄﾘｯｼﾞ ｼｱﾝ A0X5470</t>
  </si>
  <si>
    <t>JAECRA4</t>
  </si>
  <si>
    <t>αｴｺﾍﾟｰﾊﾟｰ ﾀｲﾌﾟCR A4 [AECR-A4] 1箱(2500枚:500枚x5冊)</t>
  </si>
  <si>
    <t>JAENHA3</t>
  </si>
  <si>
    <t>αｴｺﾍﾟｰﾊﾟｰ ﾀｲﾌﾟNH A3 1箱(500枚×3冊) AENH-A3 普通紙/白色度81％</t>
  </si>
  <si>
    <t>第15489-29951号 [2002539617]</t>
  </si>
  <si>
    <t>JAENHA4</t>
  </si>
  <si>
    <t>αｴｺﾍﾟｰﾊﾟｰ ﾀｲﾌﾟNH A4 1箱(500枚×5冊) AENH-A4 普通紙/白色度81％</t>
  </si>
  <si>
    <t>JAENHB4</t>
  </si>
  <si>
    <t>αｴｺﾍﾟｰﾊﾟｰ ﾀｲﾌﾟNH B4 1箱(500枚×5冊) AENH-B4 普通紙/白色度81％</t>
  </si>
  <si>
    <t>JAENHB5</t>
  </si>
  <si>
    <t>αｴｺﾍﾟｰﾊﾟｰ ﾀｲﾌﾟNH B5 1箱(500枚×5冊) AENH-B5 普通紙/白色度81％</t>
  </si>
  <si>
    <t>JAER100-A3</t>
  </si>
  <si>
    <t>αｴｺﾍﾟｰﾊﾟｰ ﾀｲﾌﾟR100 A3 1箱(500枚×3冊)  AER100-A3 再生紙/白色度68%</t>
  </si>
  <si>
    <t>JAER100-A4</t>
  </si>
  <si>
    <t>αｴｺﾍﾟｰﾊﾟｰ ﾀｲﾌﾟR100 A4 1箱(500×5冊)  AER100-A4 再生紙/白色度68%</t>
  </si>
  <si>
    <t>JAER100-B4</t>
  </si>
  <si>
    <t>αｴｺﾍﾟｰﾊﾟｰ ﾀｲﾌﾟR100 B4 1箱(500×5冊)  AER100-B4 再生紙/白色度68%</t>
  </si>
  <si>
    <t>JAER100-B5</t>
  </si>
  <si>
    <t>αｴｺﾍﾟｰﾊﾟｰ ﾀｲﾌﾟR100 B5 1箱(500枚×5冊)  AER100-B5 再生紙/白色度68%</t>
  </si>
  <si>
    <t>JAR56B</t>
  </si>
  <si>
    <t>SHARP AR-CK56-B</t>
  </si>
  <si>
    <t>JARCK39B</t>
  </si>
  <si>
    <t>JARCK49B</t>
  </si>
  <si>
    <t>JARCK51B</t>
  </si>
  <si>
    <t>JARCK52B</t>
  </si>
  <si>
    <t>JARCK53B</t>
  </si>
  <si>
    <t>JARCK54B</t>
  </si>
  <si>
    <t>JARCK55B</t>
  </si>
  <si>
    <t>JARCK57B</t>
  </si>
  <si>
    <t>SHARP AR-CK57-B</t>
  </si>
  <si>
    <t>JARDR21</t>
  </si>
  <si>
    <t>SHARP AR-DR21 ﾄﾞﾗﾑｷｯﾄ</t>
  </si>
  <si>
    <t>JARDR27</t>
  </si>
  <si>
    <t>SHARP AR-DR27 ﾄﾞﾗﾑｷｯﾄ</t>
  </si>
  <si>
    <t>JARST44B</t>
  </si>
  <si>
    <t>JARST45B</t>
  </si>
  <si>
    <t>JARST47B</t>
  </si>
  <si>
    <t>JARSV1</t>
  </si>
  <si>
    <t>SHARP AR-SV1 済ｽﾀﾝﾌﾟｶｰﾄﾘｯｼﾞ</t>
  </si>
  <si>
    <t>JASYGTBFC28J</t>
  </si>
  <si>
    <t>TOSHIBA 廃ﾄﾅｰﾎﾞｯｸｽ ASYG-TBFC28-J</t>
  </si>
  <si>
    <t>JATBFC505J</t>
  </si>
  <si>
    <t>TOSHIBA  廃ﾄﾅｰﾎﾞｯｸｽ ATB-FC505J</t>
  </si>
  <si>
    <t>JB3P06A</t>
  </si>
  <si>
    <t>HP HP727 B3P06A ﾌﾟﾘﾝﾄﾍｯﾄﾞ</t>
  </si>
  <si>
    <t>JB3P19A</t>
  </si>
  <si>
    <t>HP HP727 B3P19A ｼｱﾝ 130ml</t>
  </si>
  <si>
    <t>JB3P20A</t>
  </si>
  <si>
    <t>HP HP727 B3P20A ﾏｾﾞﾝﾀ 130ml</t>
  </si>
  <si>
    <t>JB3P21A</t>
  </si>
  <si>
    <t>HP HP727 B3P21A ｲｴﾛｰ 130ml</t>
  </si>
  <si>
    <t>JB5L09A</t>
  </si>
  <si>
    <t>HP 廃ｲﾝｸﾎﾞｯｸｽ  B5L09A</t>
  </si>
  <si>
    <t>JB5L35A</t>
  </si>
  <si>
    <t>HP ﾌｭｰｻﾞｰｷｯﾄ B5L35A</t>
  </si>
  <si>
    <t>JB5L37A</t>
  </si>
  <si>
    <t>HP ﾄﾅｰｺﾚｸｼｮﾝﾕﾆｯﾄ B5L37A</t>
  </si>
  <si>
    <t>JB6X99A</t>
  </si>
  <si>
    <t>HP  HP771B ｲﾝｸｶｰﾄﾘｯｼﾞ ﾏｯﾄﾌﾞﾗｯｸ B6X99A</t>
  </si>
  <si>
    <t>JB6Y00A</t>
  </si>
  <si>
    <t>HP  HP771B ｲﾝｸｶｰﾄﾘｯｼﾞ ﾚｯﾄﾞ B6Y00A</t>
  </si>
  <si>
    <t>JB6Y02A</t>
  </si>
  <si>
    <t>HP  HP771B ｲﾝｸｶｰﾄﾘｯｼﾞ ｲｴﾛｰ B6Y02A</t>
  </si>
  <si>
    <t>JB6Y05A</t>
  </si>
  <si>
    <t>HP  HP771B ｲﾝｸｶｰﾄﾘｯｼﾞ ﾌｫﾄﾌﾞﾗｯｸ B6Y05A</t>
  </si>
  <si>
    <t>JB6Y06A</t>
  </si>
  <si>
    <t>HP  HP771B ｲﾝｸｶｰﾄﾘｯｼﾞ ﾗｲﾄｸﾞﾚｰ B6Y06A</t>
  </si>
  <si>
    <t>JB90TDSN</t>
  </si>
  <si>
    <t>JBC310</t>
  </si>
  <si>
    <t>CANON FINEｶｰﾄﾘｯｼﾞ BC-310 ﾌﾞﾗｯｸ</t>
  </si>
  <si>
    <t>JBC311</t>
  </si>
  <si>
    <t>CANON FINEｶｰﾄﾘｯｼﾞ BC-311 3色ｶﾗｰ</t>
  </si>
  <si>
    <t>JBC340</t>
  </si>
  <si>
    <t>CANON FINEｶｰﾄﾘｯｼﾞ BC-340 ﾌﾞﾗｯｸ</t>
  </si>
  <si>
    <t>JBC340XL</t>
  </si>
  <si>
    <t>CANON FINEｶｰﾄﾘｯｼﾞ BC-340XL ﾌﾞﾗｯｸ</t>
  </si>
  <si>
    <t>JBC341</t>
  </si>
  <si>
    <t>CANON FINEｶｰﾄﾘｯｼﾞ BC-341 3色ｶﾗｰ</t>
  </si>
  <si>
    <t>JBC341XL</t>
  </si>
  <si>
    <t>CANON FINEｶｰﾄﾘｯｼﾞ BC-341XL 3色ｶﾗｰ</t>
  </si>
  <si>
    <t>JBC345</t>
  </si>
  <si>
    <t>CANON FINEｶｰﾄﾘｯｼﾞ BC-345 ﾌﾞﾗｯｸ</t>
  </si>
  <si>
    <t>JBC345XL</t>
  </si>
  <si>
    <t>CANON FINEｶｰﾄﾘｯｼﾞ BC-345XL ﾌﾞﾗｯｸ</t>
  </si>
  <si>
    <t>JBC346</t>
  </si>
  <si>
    <t>CANON FINEｶｰﾄﾘｯｼﾞ BC-346 3色ｶﾗｰ</t>
  </si>
  <si>
    <t>JBC346XL</t>
  </si>
  <si>
    <t>CANON FINEｶｰﾄﾘｯｼﾞ BC-346XL 3色ｶﾗｰ</t>
  </si>
  <si>
    <t>JBC360</t>
  </si>
  <si>
    <t>CANON FINEｶｰﾄﾘｯｼﾞ BC-360 ﾌﾞﾗｯｸ 3709C001</t>
  </si>
  <si>
    <t>JBC360XL</t>
  </si>
  <si>
    <t>CANON FINEｶｰﾄﾘｯｼﾞ BC-360XL ﾌﾞﾗｯｸ</t>
  </si>
  <si>
    <t>JBC361XL</t>
  </si>
  <si>
    <t>CANON FINEｶｰﾄﾘｯｼﾞ BC-361XL 3色ｶﾗｰ</t>
  </si>
  <si>
    <t>JBC365XL</t>
  </si>
  <si>
    <t>CANON FINEｶｰﾄﾘｯｼﾞ BC-365XL ﾌﾞﾗｯｸ</t>
  </si>
  <si>
    <t>JBC366XL</t>
  </si>
  <si>
    <t>CANON FINEｶｰﾄﾘｯｼﾞ BC-366XL 3色ｶﾗｰ</t>
  </si>
  <si>
    <t>JBC385</t>
  </si>
  <si>
    <t>CANON FINEｶｰﾄﾘｯｼﾞ BC-385 ﾌﾞﾗｯｸ 6201C001</t>
  </si>
  <si>
    <t>JBC386</t>
  </si>
  <si>
    <t>CANON FINEｶｰﾄﾘｯｼﾞ BC-386 3色ｶﾗｰ 6223C001</t>
  </si>
  <si>
    <t>JBC90</t>
  </si>
  <si>
    <t>CANON FINEｶｰﾄﾘｯｼﾞ BC-90 ﾌﾞﾗｯｸ(大容量)</t>
  </si>
  <si>
    <t>JBC91</t>
  </si>
  <si>
    <t>CANON FINEｶｰﾄﾘｯｼﾞ BC-91 3色ｶﾗｰ(大容量)</t>
  </si>
  <si>
    <t>JBCI19BK</t>
  </si>
  <si>
    <t>CANON ｲﾝｸﾀﾝｸ BCI-19BK</t>
  </si>
  <si>
    <t>JBCI19CLR</t>
  </si>
  <si>
    <t>CANON ｲﾝｸﾀﾝｸ BCI-19 Color ｶﾗｰ(KCMY一体型)</t>
  </si>
  <si>
    <t>JBCI300</t>
  </si>
  <si>
    <t>CANON ｲﾝｸﾀﾝｸ BCI-300PGBK【5126C001】</t>
  </si>
  <si>
    <t>JBCI301C</t>
  </si>
  <si>
    <t>CANON ｲﾝｸﾀﾝｸ BCI-301C 【5128C001】</t>
  </si>
  <si>
    <t>JBCI301K</t>
  </si>
  <si>
    <t>CANON ｲﾝｸﾀﾝｸ BCI-301BK【5127C001】</t>
  </si>
  <si>
    <t>JBCI301M</t>
  </si>
  <si>
    <t>CANON ｲﾝｸﾀﾝｸ BCI-301M【5129C001】</t>
  </si>
  <si>
    <t>JBCI301Y</t>
  </si>
  <si>
    <t>CANON ｲﾝｸﾀﾝｸ BCI-301Y【5130C001】</t>
  </si>
  <si>
    <t>JBCI330PGBK</t>
  </si>
  <si>
    <t>CANON BCI-330PGBK 5119C001</t>
  </si>
  <si>
    <t>JBCI330XLPGBK</t>
  </si>
  <si>
    <t>CANON BCI-330XL PGBK 5113C001</t>
  </si>
  <si>
    <t>JBCI3313305MP</t>
  </si>
  <si>
    <t>CANON BCI-331+330/5MP ﾏﾙﾁﾊﾟｯｸ　5334C002</t>
  </si>
  <si>
    <t>JBCI3313306MP</t>
  </si>
  <si>
    <t>CANON BCI-331+330/6MP ﾏﾙﾁﾊﾟｯｸ　5334C001</t>
  </si>
  <si>
    <t>JBCI331BK</t>
  </si>
  <si>
    <t>CANON BCI-331 BK 5120C001</t>
  </si>
  <si>
    <t>JBCI331C</t>
  </si>
  <si>
    <t>CANON BCI-331 C 5121C001</t>
  </si>
  <si>
    <t>JBCI331GY</t>
  </si>
  <si>
    <t>CANON BCI-331 GY 5124C001</t>
  </si>
  <si>
    <t>JBCI331M</t>
  </si>
  <si>
    <t>CANON BCI-331 M 5122C001</t>
  </si>
  <si>
    <t>JBCI331XLBK</t>
  </si>
  <si>
    <t>CANON BCI-331XL BK 5114C001</t>
  </si>
  <si>
    <t>JBCI331XLC</t>
  </si>
  <si>
    <t>CANON BCI-331XL C 5115C001</t>
  </si>
  <si>
    <t>JBCI331XLGY</t>
  </si>
  <si>
    <t>CANON BCI-331XL GY 5118C001</t>
  </si>
  <si>
    <t>JBCI331XLM</t>
  </si>
  <si>
    <t>CANON BCI-331XL M 5116C001</t>
  </si>
  <si>
    <t>JBCI331XLY</t>
  </si>
  <si>
    <t>CANON BCI-331XL Y 5117C001</t>
  </si>
  <si>
    <t>JBCI331Y</t>
  </si>
  <si>
    <t>CANON BCI-331 Y 5123C001</t>
  </si>
  <si>
    <t>JBCI66BK</t>
  </si>
  <si>
    <t>CANON ｲﾝｸﾀﾝｸ BCI-66BK  4207C001</t>
  </si>
  <si>
    <t>JBCI66C</t>
  </si>
  <si>
    <t>CANON ｲﾝｸﾀﾝｸ BCI-66C  4208C001</t>
  </si>
  <si>
    <t>JBCI66GY</t>
  </si>
  <si>
    <t>CANON ｲﾝｸﾀﾝｸ BCI-66GY  4211C001</t>
  </si>
  <si>
    <t>JBCI66LGY</t>
  </si>
  <si>
    <t>CANON ｲﾝｸﾀﾝｸ BCI-66LGY  4214C001</t>
  </si>
  <si>
    <t>JBCI66M</t>
  </si>
  <si>
    <t>CANON ｲﾝｸﾀﾝｸ BCI-66M  4209C001</t>
  </si>
  <si>
    <t>JBCI66PC</t>
  </si>
  <si>
    <t>CANON ｲﾝｸﾀﾝｸ BCI-66PC  4212C001</t>
  </si>
  <si>
    <t>JBCI66PM</t>
  </si>
  <si>
    <t>CANON ｲﾝｸﾀﾝｸ BCI-66PM  4213C001</t>
  </si>
  <si>
    <t>JBCI66Y</t>
  </si>
  <si>
    <t>CANON ｲﾝｸﾀﾝｸ BCI-66Y  4210C001</t>
  </si>
  <si>
    <t>JBH30</t>
  </si>
  <si>
    <t>CANON ﾌﾟﾘﾝﾄﾍｯﾄﾞ ﾌﾞﾗｯｸ用 BH-30 3420C001</t>
  </si>
  <si>
    <t>JBJIP170BK</t>
  </si>
  <si>
    <t>CANON ｲﾝｸﾀﾝｸ BJI-P170BK ﾌﾞﾗｯｸ 1060C001</t>
  </si>
  <si>
    <t>JBJIP170C</t>
  </si>
  <si>
    <t>CANON ｲﾝｸﾀﾝｸ BJI-P170C ｼｱﾝ 1059C001</t>
  </si>
  <si>
    <t>JBJIP170M</t>
  </si>
  <si>
    <t>CANON ｲﾝｸﾀﾝｸ BJI-P170M ﾏｾﾞﾝﾀ 1058C001</t>
  </si>
  <si>
    <t>JBJIP170Y</t>
  </si>
  <si>
    <t>CANON ｲﾝｸﾀﾝｸ BJI-P170Y ｲｴﾛｰ 1057C001</t>
  </si>
  <si>
    <t>JBJIP211BK</t>
  </si>
  <si>
    <t>CANON ｲﾝｸﾀﾝｸ BJI-P211BK ﾌﾞﾗｯｸ</t>
  </si>
  <si>
    <t>JBJIP211BK4P</t>
  </si>
  <si>
    <t>CANON ｲﾝｸﾀﾝｸ BJI-P211BK(4P) ﾌﾞﾗｯｸ 9036B001</t>
  </si>
  <si>
    <t>JBJIP211C</t>
  </si>
  <si>
    <t>CANON ｲﾝｸﾀﾝｸ BJI-P211C ｼｱﾝ</t>
  </si>
  <si>
    <t>JBJIP211C4P</t>
  </si>
  <si>
    <t>CANON ｲﾝｸﾀﾝｸ BJI-P211C(4P) ｼｱﾝ 9035B001</t>
  </si>
  <si>
    <t>JBJIP211M</t>
  </si>
  <si>
    <t>CANON ｲﾝｸﾀﾝｸ BJI-P211M ﾏｾﾞﾝﾀ</t>
  </si>
  <si>
    <t>JBJIP211M4P</t>
  </si>
  <si>
    <t>CANON ｲﾝｸﾀﾝｸ BJI-P211M(4P) ﾏｾﾞﾝﾀ 9034B001</t>
  </si>
  <si>
    <t>JBJIP211Y</t>
  </si>
  <si>
    <t>CANON ｲﾝｸﾀﾝｸ BJI-P211Y ｲｴﾛｰ</t>
  </si>
  <si>
    <t>JBJIP211Y4P</t>
  </si>
  <si>
    <t>CANON ｲﾝｸﾀﾝｸ BJI-P211Y(4P) ｲｴﾛｰ 9033B001</t>
  </si>
  <si>
    <t>JBJIP411BK</t>
  </si>
  <si>
    <t>CANON ｲﾝｸﾀﾝｸ BJI-P411BK ﾌﾞﾗｯｸ</t>
  </si>
  <si>
    <t>JBJIP411C</t>
  </si>
  <si>
    <t>CANON ｲﾝｸﾀﾝｸ BJI-P411C ｼｱﾝ</t>
  </si>
  <si>
    <t>JBJIP411M</t>
  </si>
  <si>
    <t>CANON ｲﾝｸﾀﾝｸ BJI-P411M ﾏｾﾞﾝﾀ</t>
  </si>
  <si>
    <t>JBJIP411Y</t>
  </si>
  <si>
    <t>CANON ｲﾝｸﾀﾝｸ BJI-P411Y ｲｴﾛｰ</t>
  </si>
  <si>
    <t>JBJIP412M</t>
  </si>
  <si>
    <t>CANON ｲﾝｸﾀﾝｸ BJI-P412M ﾏｾﾞﾝﾀ</t>
  </si>
  <si>
    <t>JBJIP511BK</t>
  </si>
  <si>
    <t>CANON ｲﾝｸﾀﾝｸ BJI-P511BK ﾌﾞﾗｯｸ</t>
  </si>
  <si>
    <t>JBJIP511C</t>
  </si>
  <si>
    <t>CANON ｲﾝｸﾀﾝｸ BJI-P511C ｼｱﾝ</t>
  </si>
  <si>
    <t>JBJIP511M</t>
  </si>
  <si>
    <t>CANON ｲﾝｸﾀﾝｸ BJI-P511M ﾏｾﾞﾝﾀ</t>
  </si>
  <si>
    <t>JBJIP511Y</t>
  </si>
  <si>
    <t>CANON ｲﾝｸﾀﾝｸ BJI-P511Y ｲｴﾛｰ</t>
  </si>
  <si>
    <t>JBJIP512M</t>
  </si>
  <si>
    <t>CANON ｲﾝｸﾀﾝｸ BJI-P512M ﾏｾﾞﾝﾀ</t>
  </si>
  <si>
    <t>JBJIP521BK</t>
  </si>
  <si>
    <t>CANON ｲﾝｸﾀﾝｸ BJI-P521BK ﾌﾞﾗｯｸ</t>
  </si>
  <si>
    <t>JBJIP521C</t>
  </si>
  <si>
    <t>CANON ｲﾝｸﾀﾝｸ BJI-P521C ｼｱﾝ</t>
  </si>
  <si>
    <t>JBJIP521M</t>
  </si>
  <si>
    <t>CANON ｲﾝｸﾀﾝｸ BJI-P521M ﾏｾﾞﾝﾀ</t>
  </si>
  <si>
    <t>JBJIP521Y</t>
  </si>
  <si>
    <t>CANON ｲﾝｸﾀﾝｸ BJI-P521Y ｲｴﾛｰ</t>
  </si>
  <si>
    <t>JBLT-C3C</t>
  </si>
  <si>
    <t>OKI BLT-C3C(ﾍﾞﾙﾄﾕﾆｯﾄ)</t>
  </si>
  <si>
    <t>JBLT-C3D</t>
  </si>
  <si>
    <t>OKI BLT-C3D</t>
  </si>
  <si>
    <t>JBLT-C4F</t>
  </si>
  <si>
    <t>-終息-OKI BLT-C4F ﾍﾞﾙﾄﾕﾆｯﾄ</t>
  </si>
  <si>
    <t>JBLT-C4G</t>
  </si>
  <si>
    <t>OKI BLT-C4G</t>
  </si>
  <si>
    <t>JBLT-C4H</t>
  </si>
  <si>
    <t>OKI BLT-C4H ﾍﾞﾙﾄﾕﾆｯﾄ</t>
  </si>
  <si>
    <t>JBLT-C4J</t>
  </si>
  <si>
    <t>OKI BLT-C4J</t>
  </si>
  <si>
    <t>JBLT-C4K</t>
  </si>
  <si>
    <t>OKI BLT-C4K ﾍﾞﾙﾄﾕﾆｯﾄ</t>
  </si>
  <si>
    <t>JBLT-C4M</t>
  </si>
  <si>
    <t>OKI BLT-C4M ﾍﾞﾙﾄﾕﾆｯﾄ</t>
  </si>
  <si>
    <t>JBLT-C4S</t>
  </si>
  <si>
    <t>OKI BLT-C4S</t>
  </si>
  <si>
    <t>JBLTC3E</t>
  </si>
  <si>
    <t>OKI BLT-C3E</t>
  </si>
  <si>
    <t>JBLTC3R</t>
  </si>
  <si>
    <t>OKI BLT-C3R</t>
  </si>
  <si>
    <t>JBLTC3T</t>
  </si>
  <si>
    <t>OKI BLT-C3T ﾍﾞﾙﾄﾕﾆｯﾄ</t>
  </si>
  <si>
    <t>JBLTC4R</t>
  </si>
  <si>
    <t>OKI BLT-C4R ﾍﾞﾙﾄﾕﾆｯﾄ</t>
  </si>
  <si>
    <t>JBPC10JTBA</t>
  </si>
  <si>
    <t>SHARP BP-C10JTBA</t>
  </si>
  <si>
    <t>JBPC10JTCA</t>
  </si>
  <si>
    <t>SHARP BP-C10JTCA</t>
  </si>
  <si>
    <t>JBPC10JTMA</t>
  </si>
  <si>
    <t>SHARP BP-C10JTMA</t>
  </si>
  <si>
    <t>JBPC10JTYA</t>
  </si>
  <si>
    <t>SHARP BP-C10JTYA</t>
  </si>
  <si>
    <t>JBPC50DUSA</t>
  </si>
  <si>
    <t>SHARP BPC50DUSA ﾄﾞﾗﾑﾕﾆｯﾄ</t>
  </si>
  <si>
    <t>JBPC50JTBA</t>
  </si>
  <si>
    <t>SHARP BPC50JTBA ﾌﾞﾗｯｸ</t>
  </si>
  <si>
    <t>JBPC50JTCA</t>
  </si>
  <si>
    <t>SHARP BPC50JTCA ｼｱﾝ</t>
  </si>
  <si>
    <t>JBPC50JTMA</t>
  </si>
  <si>
    <t>SHARP BPC50JTMA ﾏｾﾞﾝﾀ</t>
  </si>
  <si>
    <t>JBPC50JTYA</t>
  </si>
  <si>
    <t>SHARP BPC50JTYA ｲｴﾛｰ</t>
  </si>
  <si>
    <t>JBPC50JVBA</t>
  </si>
  <si>
    <t>SHARP BPC50JVBA 現像ﾕﾆｯﾄ</t>
  </si>
  <si>
    <t>JBPC50JVCA</t>
  </si>
  <si>
    <t>SHARP BPC50JVCA 現像ﾕﾆｯﾄ</t>
  </si>
  <si>
    <t>JBPC50JVMA</t>
  </si>
  <si>
    <t>SHARP BPC50JVMA 現像ﾕﾆｯﾄ</t>
  </si>
  <si>
    <t>JBPC50JVYA</t>
  </si>
  <si>
    <t>SHARP BPC50JVYA 現像ﾕﾆｯﾄ</t>
  </si>
  <si>
    <t>JBPDR70SA</t>
  </si>
  <si>
    <t>SHARP BPDR70SA ﾄﾞﾗﾑ</t>
  </si>
  <si>
    <t>JBPDU20SA</t>
  </si>
  <si>
    <t>SHARP BPDU20SA</t>
  </si>
  <si>
    <t>JBPDU70SA</t>
  </si>
  <si>
    <t>SHARP BPDU70SA ﾄﾞﾗﾑﾕﾆｯﾄ</t>
  </si>
  <si>
    <t>JBPFB200</t>
  </si>
  <si>
    <t>SHARP BPFB200 Fusing Beltkit ﾍﾞﾙﾄｷｯﾄ</t>
  </si>
  <si>
    <t>JBPHB100</t>
  </si>
  <si>
    <t>SHARP BPHB100 廃ﾄﾅｰﾎﾞｯｸｽ</t>
  </si>
  <si>
    <t>JBPHB101</t>
  </si>
  <si>
    <t>SHARP BPHB101 廃ﾄﾅｰﾎﾞｯｸｽ</t>
  </si>
  <si>
    <t>JBPHB200</t>
  </si>
  <si>
    <t>SHARP BP-HB200廃ﾄﾅｰBOX</t>
  </si>
  <si>
    <t>JBPHB700</t>
  </si>
  <si>
    <t>SHARP BP-HB700廃ﾄﾅｰBOX</t>
  </si>
  <si>
    <t>JBPHB701</t>
  </si>
  <si>
    <t>SHARP BP-HB701廃ﾄﾅｰBOX</t>
  </si>
  <si>
    <t>JBPJR20SA</t>
  </si>
  <si>
    <t>SHARP BPJR20SA</t>
  </si>
  <si>
    <t>JBPJT20BA</t>
  </si>
  <si>
    <t>SHARP BP-JT20BA ﾌﾞﾗｯｸ</t>
  </si>
  <si>
    <t>JBPJT20CA</t>
  </si>
  <si>
    <t>SHARP BP-JT20CA ｼｱﾝ</t>
  </si>
  <si>
    <t>JBPJT20MA</t>
  </si>
  <si>
    <t>SHARP BP-JT20MA ﾏｾﾞﾝﾀ</t>
  </si>
  <si>
    <t>JBPJT20YA</t>
  </si>
  <si>
    <t>SHARP BP-JT20YA ｲｴﾛｰ</t>
  </si>
  <si>
    <t>JBPJT300</t>
  </si>
  <si>
    <t>SHARP BP-JT300</t>
  </si>
  <si>
    <t>JBPJT301</t>
  </si>
  <si>
    <t>SHARP BP-JT301</t>
  </si>
  <si>
    <t>JBPJT30BA</t>
  </si>
  <si>
    <t>SHARP BP-JT30BA ﾌﾞﾗｯｸ</t>
  </si>
  <si>
    <t>JBPJT30CA</t>
  </si>
  <si>
    <t>SHARP BP-JT30CA ｼｱﾝ</t>
  </si>
  <si>
    <t>JBPJT30MA</t>
  </si>
  <si>
    <t>SHARP BP-JT30MA ﾏｾﾞﾝﾀ</t>
  </si>
  <si>
    <t>JBPJT30YA</t>
  </si>
  <si>
    <t>SHARP BP-JT30YA ｲｴﾛｰ</t>
  </si>
  <si>
    <t>JBPJT700</t>
  </si>
  <si>
    <t>SHARP BP-JT700</t>
  </si>
  <si>
    <t>JBPJT705</t>
  </si>
  <si>
    <t>SHARP BP-JT705</t>
  </si>
  <si>
    <t>JBPJT70BA</t>
  </si>
  <si>
    <t>SHARP BP-JT70BA ﾌﾞﾗｯｸ</t>
  </si>
  <si>
    <t>JBPJT70BB</t>
  </si>
  <si>
    <t>SHARP BP-JT70BB ﾌﾞﾗｯｸ</t>
  </si>
  <si>
    <t>JBPJT70CA</t>
  </si>
  <si>
    <t>SHARP BP-JT70CA ｼｱﾝ</t>
  </si>
  <si>
    <t>JBPJT70CB</t>
  </si>
  <si>
    <t>SHARP BP-JT70CB ｼｱﾝ</t>
  </si>
  <si>
    <t>JBPJT70MA</t>
  </si>
  <si>
    <t>SHARP BP-JT70MA ﾏｾﾞﾝﾀ</t>
  </si>
  <si>
    <t>JBPJT70MB</t>
  </si>
  <si>
    <t>SHARP BP-JT70MB ﾏｾﾞﾝﾀ</t>
  </si>
  <si>
    <t>JBPJT70YA</t>
  </si>
  <si>
    <t>SHARP BP-JT70YA ｲｴﾛｰ</t>
  </si>
  <si>
    <t>JBPJT70YB</t>
  </si>
  <si>
    <t>SHARP BP-JT70YB ｲｴﾛｰ</t>
  </si>
  <si>
    <t>JBPJV200</t>
  </si>
  <si>
    <t>SHARP BPJV200　ﾃﾞﾍﾞﾛｯﾊﾟｰ</t>
  </si>
  <si>
    <t>JBPJV20BA</t>
  </si>
  <si>
    <t>SHARP BPJV20BA</t>
  </si>
  <si>
    <t>JBPJV20SA</t>
  </si>
  <si>
    <t>SHARP BPJV20SA</t>
  </si>
  <si>
    <t>JBPJV70BA</t>
  </si>
  <si>
    <t>SHARP BPJV70BA ﾃﾞﾍﾞﾛｯﾊﾟｰﾌﾞﾗｯｸ</t>
  </si>
  <si>
    <t>JBPJV70SA</t>
  </si>
  <si>
    <t>SHARP BPJV70SA ﾃﾞﾍﾞﾛｯﾊﾟｰｶﾗｰ</t>
  </si>
  <si>
    <t>JBU200CL</t>
  </si>
  <si>
    <t>brother BU-200CL ﾍﾞﾙﾄﾕﾆｯﾄ</t>
  </si>
  <si>
    <t>JBU220CL</t>
  </si>
  <si>
    <t>brother BU-220CL ﾍﾞﾙﾄﾕﾆｯﾄ</t>
  </si>
  <si>
    <t>JBU223CL</t>
  </si>
  <si>
    <t>brother ﾍﾞﾙﾄﾕﾆｯﾄ BU-223CL</t>
  </si>
  <si>
    <t>JBU229CL</t>
  </si>
  <si>
    <t>brother ﾍﾞﾙﾄﾕﾆｯﾄ BU-229CL</t>
  </si>
  <si>
    <t>JBU300CL</t>
  </si>
  <si>
    <t>brother　BU-300CL　ベルトユニット</t>
  </si>
  <si>
    <t>JBU320CL</t>
  </si>
  <si>
    <t>brother  ﾍﾞﾙﾄﾕﾆｯﾄ  BU-320CL</t>
  </si>
  <si>
    <t>JBY1030</t>
  </si>
  <si>
    <t>RICOH　ﾏﾙﾁ手差しﾌｨｰﾀﾞｰ BY1030</t>
  </si>
  <si>
    <t>JC-C4DC2</t>
  </si>
  <si>
    <t>OKI TC-C4DC2</t>
  </si>
  <si>
    <t>JC100</t>
  </si>
  <si>
    <t>RICOH IPSIOﾄﾅｰ ﾀｲﾌﾟ100　636017</t>
  </si>
  <si>
    <t>JC1800C</t>
  </si>
  <si>
    <t>RICOH MP ﾄﾅｰｷｯﾄ C1800 C</t>
  </si>
  <si>
    <t>JC1800K</t>
  </si>
  <si>
    <t>RICOH MP ﾄﾅｰｷｯﾄ C1800 K</t>
  </si>
  <si>
    <t>JC1800M</t>
  </si>
  <si>
    <t>RICOH MP ﾄﾅｰｷｯﾄ C1800 M</t>
  </si>
  <si>
    <t>JC1800Y</t>
  </si>
  <si>
    <t>RICOH MP ﾄﾅｰｷｯﾄ C1800 Y</t>
  </si>
  <si>
    <t>JC1803C</t>
  </si>
  <si>
    <t>RICOH MPﾄﾅｰｷｯﾄ ｼｱﾝ C1803</t>
  </si>
  <si>
    <t>JC1803K</t>
  </si>
  <si>
    <t>RICOH MPﾄﾅｰｷｯﾄ ﾌﾞﾗｯｸ C1803</t>
  </si>
  <si>
    <t>JC1803M</t>
  </si>
  <si>
    <t>RICOH MPﾄﾅｰｷｯﾄ ﾏｾﾞﾝﾀ C1803</t>
  </si>
  <si>
    <t>JC1803Y</t>
  </si>
  <si>
    <t>RICOH MPﾄﾅｰｷｯﾄ ｲｴﾛｰ C1803</t>
  </si>
  <si>
    <t>JC1N54A</t>
  </si>
  <si>
    <t>HP ﾌｭｰｻﾞｰｷｯﾄ C1N54A</t>
  </si>
  <si>
    <t>JC1Q10A</t>
  </si>
  <si>
    <t>HP HP711 C1Q10A ﾌﾟﾘﾝﾄﾍｯﾄﾞ交換ｷｯﾄ</t>
  </si>
  <si>
    <t>JC1Q13A</t>
  </si>
  <si>
    <t>HP HP764 C1Q13A  ｲﾝｸｶｰﾄﾘｯｼﾞ ｼｱﾝ 300ml</t>
  </si>
  <si>
    <t>JC1Q14A</t>
  </si>
  <si>
    <t>HP HP764 C1Q14A  ｲﾝｸｶｰﾄﾘｯｼﾞ ﾏｾﾞﾝﾀ 300ml</t>
  </si>
  <si>
    <t>JC1Q15A</t>
  </si>
  <si>
    <t>HP HP764 C1Q15A  ｲﾝｸｶｰﾄﾘｯｼﾞ ｲｴﾛｰ 300ml</t>
  </si>
  <si>
    <t>JC1Q20A</t>
  </si>
  <si>
    <t>HP HP773 C1Q20A ﾌﾟﾘﾝﾄﾍｯﾄﾞ ﾏｯﾄﾌﾞﾗｯｸ＆ｼｱﾝ</t>
  </si>
  <si>
    <t>JC200BK</t>
  </si>
  <si>
    <t>RICOH  SPﾄﾅｰｶｰﾄﾘｯｼﾞC200 ﾌﾞﾗｯｸ 【600568】 純正品</t>
  </si>
  <si>
    <t>JC200C</t>
  </si>
  <si>
    <t>RICOH  SPﾄﾅｰｶｰﾄﾘｯｼﾞC200 ｼｱﾝ 【600569】 純正品</t>
  </si>
  <si>
    <t>JC200M</t>
  </si>
  <si>
    <t>RICOH  SPﾄﾅｰｶｰﾄﾘｯｼﾞC200 ﾏｾﾞﾝﾀ 【600570】 純正品</t>
  </si>
  <si>
    <t>JC200Y</t>
  </si>
  <si>
    <t>RICOH  SPﾄﾅｰｶｰﾄﾘｯｼﾞC200 ｲｴﾛｰ 【600571】 純正品</t>
  </si>
  <si>
    <t>JC2200BK</t>
  </si>
  <si>
    <t>RICOH imagio MPﾄﾅｰ ﾌﾞﾗｯｸC2200</t>
  </si>
  <si>
    <t>JC2200C</t>
  </si>
  <si>
    <t>RICOH imagio MPﾄﾅｰ ｼｱﾝC2200</t>
  </si>
  <si>
    <t>JC2200M</t>
  </si>
  <si>
    <t>RICOH imagio MPﾄﾅｰ ﾏｾﾞﾝﾀﾞC2200</t>
  </si>
  <si>
    <t>JC2200Y</t>
  </si>
  <si>
    <t>RICOH imagio MPﾄﾅｰ ｲｴﾛｰC2200</t>
  </si>
  <si>
    <t>JC2201BK</t>
  </si>
  <si>
    <t>RICOH ｲﾏｼﾞｵMPﾄﾅｰC2201　BK【600148】</t>
  </si>
  <si>
    <t>JC2201C</t>
  </si>
  <si>
    <t>RICOH ｲﾏｼﾞｵMPﾄﾅｰC2201　C【600150】</t>
  </si>
  <si>
    <t>JC2201M</t>
  </si>
  <si>
    <t>RICOH ｲﾏｼﾞｵMPﾄﾅｰC2201　M【600151】</t>
  </si>
  <si>
    <t>JC2201Y</t>
  </si>
  <si>
    <t>RICOH ｲﾏｼﾞｵMPﾄﾅｰC2201　Y【600149】</t>
  </si>
  <si>
    <t>JC220BK</t>
  </si>
  <si>
    <t>RICOH SPﾄﾅｰｶｰﾄﾘｯｼﾞ ﾌﾞﾗｯｸ C220 純正品</t>
  </si>
  <si>
    <t>JC220C</t>
  </si>
  <si>
    <t>RICOH SPﾄﾅｰｶｰﾄﾘｯｼﾞ ｼｱﾝ C220 純正品</t>
  </si>
  <si>
    <t>JC220HI</t>
  </si>
  <si>
    <t>RICOH 廃ﾄﾅｰﾎﾞﾄﾙ C220 515285</t>
  </si>
  <si>
    <t>JC220M</t>
  </si>
  <si>
    <t>RICOH SPﾄﾅｰｶｰﾄﾘｯｼﾞ ﾏｾﾞﾝﾀ C220 純正品</t>
  </si>
  <si>
    <t>JC220Y</t>
  </si>
  <si>
    <t>RICOH SPﾄﾅｰｶｰﾄﾘｯｼﾞ ｲｴﾛｰ C220 純正品</t>
  </si>
  <si>
    <t>JC2410SD</t>
  </si>
  <si>
    <t>富士ﾌｲﾙﾑ 複合機 ApeosPort C2410SD (NC100605)</t>
  </si>
  <si>
    <t>JC2550D</t>
  </si>
  <si>
    <t>XEROX ﾚｰｻﾞｰﾌﾟﾘﾝﾀｰ DocuPrint C2550 d  NL300072</t>
  </si>
  <si>
    <t>JC28</t>
  </si>
  <si>
    <t>RICOH ｲﾏｼﾞｵ ﾄﾅｰ ﾀｲﾌﾟ28-保守無し-　600470</t>
  </si>
  <si>
    <t>JC2H67A</t>
  </si>
  <si>
    <t>HP ﾒﾝﾃﾅﾝｽｷｯﾄ (M800/mono) C2H67A</t>
  </si>
  <si>
    <t>JC2P04AA</t>
  </si>
  <si>
    <t>HP62 ｲﾝｸｶｰﾄﾘｯｼﾞ C2P04AA 黒</t>
  </si>
  <si>
    <t>JC2P05AA</t>
  </si>
  <si>
    <t>HP62XL ｲﾝｸｶｰﾄﾘｯｼﾞ C2P05AA 黒</t>
  </si>
  <si>
    <t>JC2P06AA</t>
  </si>
  <si>
    <t>HP62 ｲﾝｸｶｰﾄﾘｯｼﾞ C2P06AA ｶﾗｰ</t>
  </si>
  <si>
    <t>JC2P07AA</t>
  </si>
  <si>
    <t>HP62XL ｲﾝｸｶｰﾄﾘｯｼﾞ 3色ｶﾗｰ C2P07AA</t>
  </si>
  <si>
    <t>JC2P19AA</t>
  </si>
  <si>
    <t>HP 934 ｲﾝｸｶｰﾄﾘｯｼﾞ C2P19AA 黒</t>
  </si>
  <si>
    <t>JC2P23AA</t>
  </si>
  <si>
    <t>HP 934XL ｲﾝｸｶｰﾄﾘｯｼﾞ C2P23AA ﾌﾞﾗｯｸ</t>
  </si>
  <si>
    <t>JC2P24AA</t>
  </si>
  <si>
    <t>HP 935XL ｲﾝｸｶｰﾄﾘｯｼﾞ C2P24AA ｼｱﾝ</t>
  </si>
  <si>
    <t>JC2P25AA</t>
  </si>
  <si>
    <t>HP 935XL ｲﾝｸｶｰﾄﾘｯｼﾞ C2P25AA ﾏｾﾞﾝﾀ</t>
  </si>
  <si>
    <t>JC2P26AA</t>
  </si>
  <si>
    <t>HP 935XL ｲﾝｸｶｰﾄﾘｯｼﾞ C2P26AA ｲｴﾛｰ</t>
  </si>
  <si>
    <t>JC3000</t>
  </si>
  <si>
    <t>RICOH  imagio MPｶｰﾄﾞﾘｯｼﾞ BK C3000</t>
  </si>
  <si>
    <t>JC3000C</t>
  </si>
  <si>
    <t>RICOH  imagio  MPｶｰﾄﾞﾘｯｼﾞ C C3000</t>
  </si>
  <si>
    <t>JC3000M</t>
  </si>
  <si>
    <t>RICOH  imagio  MPｶｰﾄﾞﾘｯｼﾞ M C3000</t>
  </si>
  <si>
    <t>JC3000Y</t>
  </si>
  <si>
    <t>RICOH  imagio  MPｶｰﾄﾞﾘｯｼﾞ Y C3000</t>
  </si>
  <si>
    <t>JC300C</t>
  </si>
  <si>
    <t>RICOH ﾄﾅｰｶｰﾄﾘｯｼﾞｼｱﾝP　C300</t>
  </si>
  <si>
    <t>JC300K</t>
  </si>
  <si>
    <t>RICOH ﾄﾅｰｶｰﾄﾘｯｼﾞﾌﾞﾗｯｸP　C300</t>
  </si>
  <si>
    <t>JC300M</t>
  </si>
  <si>
    <t>RICOH ﾄﾅｰｶｰﾄﾘｯｼﾞﾏｾﾞﾝﾀP　C300</t>
  </si>
  <si>
    <t>JC300Y</t>
  </si>
  <si>
    <t>RICOH ﾄﾅｰｶｰﾄﾘｯｼﾞｲｴﾛｰP C300</t>
  </si>
  <si>
    <t>JC305BK</t>
  </si>
  <si>
    <t>RICOH MP Pﾄﾅｰ C305 BK</t>
  </si>
  <si>
    <t>JC305C</t>
  </si>
  <si>
    <t>RICOH MP Pﾄﾅｰ C305 C</t>
  </si>
  <si>
    <t>JC305M</t>
  </si>
  <si>
    <t>RICOH MP Pﾄﾅｰ C305 M</t>
  </si>
  <si>
    <t>JC305Y</t>
  </si>
  <si>
    <t>RICOH MP Pﾄﾅｰ C305 Y</t>
  </si>
  <si>
    <t>JC3060S</t>
  </si>
  <si>
    <t>富士ﾌｲﾙﾑ ﾚｰｻﾞｰﾌﾟﾘﾝﾀｰ ApeosPrint C3060 S   (NL300095)</t>
  </si>
  <si>
    <t>JC306BK</t>
  </si>
  <si>
    <t>RICOH MP Pﾄﾅｰ C306 BK</t>
  </si>
  <si>
    <t>JC306C</t>
  </si>
  <si>
    <t>RICOH MP Pﾄﾅｰ C306 C</t>
  </si>
  <si>
    <t>JC306M</t>
  </si>
  <si>
    <t>RICOH MP Pﾄﾅｰ C306 M</t>
  </si>
  <si>
    <t>JC306Y</t>
  </si>
  <si>
    <t>RICOH MP Pﾄﾅｰ C306 Y</t>
  </si>
  <si>
    <t>JC310BK</t>
  </si>
  <si>
    <t>RICOH  SPﾄﾅｰｶｰﾄﾘｯｼﾞC310 ﾌﾞﾗｯｸ 【308504】 純正品</t>
  </si>
  <si>
    <t>JC310C</t>
  </si>
  <si>
    <t>RICOH  SPﾄﾅｰｶｰﾄﾘｯｼﾞC310 ｼｱﾝ 【308505】 純正品</t>
  </si>
  <si>
    <t>JC310DW</t>
  </si>
  <si>
    <t>XEROX ﾚｰｻﾞｰﾌﾟﾘﾝﾀｰ DocuPrint CP310dw  NL300060</t>
  </si>
  <si>
    <t>JC310HC</t>
  </si>
  <si>
    <t>RICOH  SPﾄﾅｰｶｰﾄﾘｯｼﾞC310H ｼｱﾝ 【308501】 純正品</t>
  </si>
  <si>
    <t>JC310HI</t>
  </si>
  <si>
    <t>RICOH  廃ﾄﾅｰﾎﾞﾄﾙ C310【515284】</t>
  </si>
  <si>
    <t>JC310HK</t>
  </si>
  <si>
    <t>RICOH  SPﾄﾅｰｶｰﾄﾘｯｼﾞC310H ﾌﾞﾗｯｸ 【308500】 純正品</t>
  </si>
  <si>
    <t>JC310HM</t>
  </si>
  <si>
    <t>RICOH  SPﾄﾅｰｶｰﾄﾘｯｼﾞC310H ﾏｾﾞﾝﾀ 【308502】 純正品</t>
  </si>
  <si>
    <t>JC310HY</t>
  </si>
  <si>
    <t>RICOH  SPﾄﾅｰｶｰﾄﾘｯｼﾞC310H ｲｴﾛｰ 【308503】 純正品</t>
  </si>
  <si>
    <t>JC310M</t>
  </si>
  <si>
    <t>RICOH  SPﾄﾅｰｶｰﾄﾘｯｼﾞC310 ﾏｾﾞﾝﾀ 【308506】 純正品</t>
  </si>
  <si>
    <t>JC310TBK</t>
  </si>
  <si>
    <t>RICOH C310T　BK</t>
  </si>
  <si>
    <t>JC310TC</t>
  </si>
  <si>
    <t>RICOH C310T　C</t>
  </si>
  <si>
    <t>JC310TM</t>
  </si>
  <si>
    <t>RICOH C310T　M</t>
  </si>
  <si>
    <t>JC310TY</t>
  </si>
  <si>
    <t>RICOH C310T　Y</t>
  </si>
  <si>
    <t>JC310Y</t>
  </si>
  <si>
    <t>RICOH  SPﾄﾅｰｶｰﾄﾘｯｼﾞC310 ｲｴﾛｰ 【308507】 純正品</t>
  </si>
  <si>
    <t>JC320dw</t>
  </si>
  <si>
    <t>富士ﾌｲﾙﾑ ﾚｰｻﾞｰﾌﾟﾘﾝﾀｰ ApeosPrint C320 dw (NL300089)</t>
  </si>
  <si>
    <t>JC320z</t>
  </si>
  <si>
    <t>富士ﾌｲﾙﾑ 複合機 Apeos C320 z (NL300088)</t>
  </si>
  <si>
    <t>JC3300C</t>
  </si>
  <si>
    <t>RICOH imgio MPｽﾎﾟｯﾄﾄﾅｰ　ｼｱﾝ　C3300</t>
  </si>
  <si>
    <t>JC3300K</t>
  </si>
  <si>
    <t>RICOH  imgio MPｽﾎﾟｯﾄﾄﾅｰ　ﾌﾞﾗｯｸ　C3300</t>
  </si>
  <si>
    <t>JC3300M</t>
  </si>
  <si>
    <t>RICOH imgio MPｽﾎﾟｯﾄﾄﾅｰﾏｾﾞﾝﾀﾞ　C3300</t>
  </si>
  <si>
    <t>JC3300Y</t>
  </si>
  <si>
    <t>RICOH imgio MPｽﾎﾟｯﾄﾄﾅｰ　ｲｴﾛｰC3300</t>
  </si>
  <si>
    <t>JC3301BK</t>
  </si>
  <si>
    <t>RICOH imagio　MPｽﾎﾟｯﾄﾄﾅｰC3301　BK</t>
  </si>
  <si>
    <t>JC3301C</t>
  </si>
  <si>
    <t>RICOH imagio　MPｽﾎﾟｯﾄﾄﾅｰC3301　C</t>
  </si>
  <si>
    <t>JC3301M</t>
  </si>
  <si>
    <t>RICOH imagio　MPｽﾎﾟｯﾄﾄﾅｰC3301　M</t>
  </si>
  <si>
    <t>JC3301Y</t>
  </si>
  <si>
    <t>RICOH imagio　MPｽﾎﾟｯﾄﾄﾅｰC3301　Y</t>
  </si>
  <si>
    <t>JC3302BK</t>
  </si>
  <si>
    <t>RICOH MP ｽﾎﾟｯﾄﾄﾅｰ C3302 BK</t>
  </si>
  <si>
    <t>JC3302C</t>
  </si>
  <si>
    <t>RICOH MP ｽﾎﾟｯﾄﾄﾅｰ C3302 C</t>
  </si>
  <si>
    <t>JC3302M</t>
  </si>
  <si>
    <t>RICOH MP ｽﾎﾟｯﾄﾄﾅｰ C3302 M</t>
  </si>
  <si>
    <t>JC3302Y</t>
  </si>
  <si>
    <t>RICOH MP ｽﾎﾟｯﾄﾄﾅｰ C3302 Y</t>
  </si>
  <si>
    <t>JC33602250FUS</t>
  </si>
  <si>
    <t>XEROX DPC3360/C2250 FUSER ASSEMBLY 100V 定着ﾕﾆｯﾄ</t>
  </si>
  <si>
    <t>JC3503C</t>
  </si>
  <si>
    <t>RICOH ｽﾎﾟｯﾄﾄﾅｰ ｼｱﾝ C3503</t>
  </si>
  <si>
    <t>JC3503K</t>
  </si>
  <si>
    <t>RICOH ｽﾎﾟｯﾄﾄﾅｰ ﾌﾞﾗｯｸ C3503</t>
  </si>
  <si>
    <t>JC3503M</t>
  </si>
  <si>
    <t>RICOH ｽﾎﾟｯﾄﾄﾅｰ ﾏｾﾞﾝﾀ C3503</t>
  </si>
  <si>
    <t>JC3503Y</t>
  </si>
  <si>
    <t>RICOH ｽﾎﾟｯﾄﾄﾅｰ ｲｴﾛｰ C3503</t>
  </si>
  <si>
    <t>JC350BK</t>
  </si>
  <si>
    <t>RICOH  SPﾄﾅｰ C350 ﾌﾞﾗｯｸ 【600551】 純正品</t>
  </si>
  <si>
    <t>JC350C</t>
  </si>
  <si>
    <t>RICOH  SPﾄﾅｰ C350 ｼｱﾝ 【600548】 純正品</t>
  </si>
  <si>
    <t>JC350DRBK</t>
  </si>
  <si>
    <t>RICOH  ﾄﾞﾗﾑﾕﾆｯﾄ C350 ﾌﾞﾗｯｸ 【512584】 純正品</t>
  </si>
  <si>
    <t>JC350DRCR</t>
  </si>
  <si>
    <t>RICOH  ﾄﾞﾗﾑﾕﾆｯﾄ C350 ｶﾗｰ 【512583】 純正品</t>
  </si>
  <si>
    <t>JC350HBK</t>
  </si>
  <si>
    <t>RICOH  SPﾄﾅｰ C350H ﾌﾞﾗｯｸ 【600555】 純正品</t>
  </si>
  <si>
    <t>JC350HC</t>
  </si>
  <si>
    <t>RICOH  SPﾄﾅｰ C350H ｼｱﾝ 【600552】 純正品</t>
  </si>
  <si>
    <t>JC350HI</t>
  </si>
  <si>
    <t>RICOH  SP廃ﾄﾅｰﾎﾞﾄﾙ C350 【513728】 純正品</t>
  </si>
  <si>
    <t>JC350HM</t>
  </si>
  <si>
    <t>RICOH  SPﾄﾅｰ C350H ﾏｾﾞﾝﾀ 【600553】 純正品</t>
  </si>
  <si>
    <t>JC350HY</t>
  </si>
  <si>
    <t>RICOH  SPﾄﾅｰ C350H ｲｴﾛｰ 【600554】 純正品</t>
  </si>
  <si>
    <t>JC350M</t>
  </si>
  <si>
    <t>RICOH  SPﾄﾅｰ C350 ﾏｾﾞﾝﾀ 【600549】 純正品</t>
  </si>
  <si>
    <t>JC350Y</t>
  </si>
  <si>
    <t>RICOH  SPﾄﾅｰ C350 ｲｴﾛｰ 【600550】 純正品</t>
  </si>
  <si>
    <t>JC3530</t>
  </si>
  <si>
    <t>富士ﾌｲﾙﾑ ﾚｰｻﾞｰﾌﾟﾘﾝﾀｰ ApeosPrint C3530 (NC300090)</t>
  </si>
  <si>
    <t>JC3550D</t>
  </si>
  <si>
    <t>XEROX ﾚｰｻﾞｰﾌﾟﾘﾝﾀｰ DocuPrint C3550 d  NL300071</t>
  </si>
  <si>
    <t>JC3560S</t>
  </si>
  <si>
    <t>富士ﾌｲﾙﾑ ﾚｰｻﾞｰﾌﾟﾘﾝﾀｰ ApeosPrint C3560 S  (NL300094)</t>
  </si>
  <si>
    <t>JC4030</t>
  </si>
  <si>
    <t>富士ﾌｲﾙﾑ ﾚｰｻﾞｰﾌﾟﾘﾝﾀｰ ApeosPrint C4030 (NC300091)</t>
  </si>
  <si>
    <t>JC4500C</t>
  </si>
  <si>
    <t>RICOH  imagio  MPｽﾎﾟｯﾄﾄﾅｰ C C4500</t>
  </si>
  <si>
    <t>JC4500K</t>
  </si>
  <si>
    <t>RICOH  imagio MPｽﾎﾟｯﾄﾄﾅｰ BK C4500</t>
  </si>
  <si>
    <t>JC4500M</t>
  </si>
  <si>
    <t>RICOH  imagio  MPｽﾎﾟｯﾄﾄﾅｰ M C4500</t>
  </si>
  <si>
    <t>JC4500Y</t>
  </si>
  <si>
    <t>RICOH imagio  MPｽﾎﾟｯﾄﾄﾅｰ Y C4500</t>
  </si>
  <si>
    <t>JC5000BK</t>
  </si>
  <si>
    <t>RICOH imagio MP C5000ﾄﾅｰ　BK</t>
  </si>
  <si>
    <t>JC5000C</t>
  </si>
  <si>
    <t>RICOH imagio MP C5000ﾄﾅｰ　Ｃ</t>
  </si>
  <si>
    <t>JC5000M</t>
  </si>
  <si>
    <t>RICOH imagio MP C5000ﾄﾅｰ　M</t>
  </si>
  <si>
    <t>JC5000PBK</t>
  </si>
  <si>
    <t>RICOH imagio MP Pﾄﾅｰ C5000 BK</t>
  </si>
  <si>
    <t>JC5000PC</t>
  </si>
  <si>
    <t>RICOH imagio MP Pﾄﾅｰ C5000 C</t>
  </si>
  <si>
    <t>JC5000PM</t>
  </si>
  <si>
    <t>RICOH imagio MP Pﾄﾅｰ C5000 M</t>
  </si>
  <si>
    <t>JC5000PY</t>
  </si>
  <si>
    <t>RICOH imagio MP Pﾄﾅｰ C5000 Y</t>
  </si>
  <si>
    <t>JC5000Y</t>
  </si>
  <si>
    <t>RICOH imagio MP C5000ﾄﾅｰ　Y</t>
  </si>
  <si>
    <t>JC5001BK</t>
  </si>
  <si>
    <t>RICOH ﾌﾞﾗｯｸC5001【600168】</t>
  </si>
  <si>
    <t>JC5001Y</t>
  </si>
  <si>
    <t>RICOH ｲｴﾛｰC5001【600169】</t>
  </si>
  <si>
    <t>JC5002BK</t>
  </si>
  <si>
    <t>RICOH  imagio MPｽﾎﾟｯﾄﾄﾅｰ BK C5002 600190</t>
  </si>
  <si>
    <t>JC5002C</t>
  </si>
  <si>
    <t>RICOH  imagio MPｽﾎﾟｯﾄﾄﾅｰ C C5002 600193</t>
  </si>
  <si>
    <t>JC5002M</t>
  </si>
  <si>
    <t>RICOH  imagio MPｽﾎﾟｯﾄﾄﾅｰ M C5002 600192</t>
  </si>
  <si>
    <t>JC5002Y</t>
  </si>
  <si>
    <t>RICOH  imagio MPｽﾎﾟｯﾄﾄﾅｰ Y C5002 600191</t>
  </si>
  <si>
    <t>JC5240</t>
  </si>
  <si>
    <t>富士ﾌｲﾙﾑ ﾚｰｻﾞｰﾌﾟﾘﾝﾀｰ ApeosPrint C5240 (NC100630)</t>
  </si>
  <si>
    <t>JC5501C</t>
  </si>
  <si>
    <t>RICOH ｼｱﾝC5001【600171】</t>
  </si>
  <si>
    <t>JC5501M</t>
  </si>
  <si>
    <t>RICOH ﾏｾﾞﾝﾀﾞC5001【600170】</t>
  </si>
  <si>
    <t>JC5570</t>
  </si>
  <si>
    <t>富士ﾌｲﾙﾑ ﾚｰｻﾞｰﾌﾟﾘﾝﾀｰ ApeosPrint C5570 (NC100647)</t>
  </si>
  <si>
    <t>JC6003BK</t>
  </si>
  <si>
    <t>RICOH MP ｽﾎﾟｯﾄﾄﾅｰ ﾌﾞﾗｯｸ C6003   600244</t>
  </si>
  <si>
    <t>JC6003C</t>
  </si>
  <si>
    <t>RICOH MP ｽﾎﾟｯﾄﾄﾅｰ ｼｱﾝ C6003   600247</t>
  </si>
  <si>
    <t>JC6003M</t>
  </si>
  <si>
    <t>RICOH MP ｽﾎﾟｯﾄﾄﾅｰ ﾏｾﾞﾝﾀ C6003   600246</t>
  </si>
  <si>
    <t>JC6003Y</t>
  </si>
  <si>
    <t>RICOH MP ｽﾎﾟｯﾄﾄﾅｰ ｲｴﾛｰ C6003   600245</t>
  </si>
  <si>
    <t>JC651dnw</t>
  </si>
  <si>
    <t>OKI A4ｶﾗｰLEDﾌﾟﾘﾝﾀｰ C651dnw ﾌﾗｯｸﾞｼｯﾌﾟﾓﾃﾞﾙ</t>
  </si>
  <si>
    <t>JC710C</t>
  </si>
  <si>
    <t>RICOH  SPﾄﾅｰ  C710 ｼｱﾝ【515289】</t>
  </si>
  <si>
    <t>JC710DB</t>
  </si>
  <si>
    <t>RICOH  SPﾄﾞﾗﾑ C710 ﾌﾞﾗｯｸ【515296】</t>
  </si>
  <si>
    <t>JC710DC</t>
  </si>
  <si>
    <t>RICOH  SPﾄﾞﾗﾑ C710ｶﾗｰ【515308】3色ｾｯﾄ</t>
  </si>
  <si>
    <t>JC710K</t>
  </si>
  <si>
    <t>RICOH  SPﾄﾅｰ C710 ﾌﾞﾗｯｸ 【515292】</t>
  </si>
  <si>
    <t>JC710M</t>
  </si>
  <si>
    <t>RICOH  SPﾄﾅｰ C710 ﾏｾﾞﾝﾀﾞ 【515290】</t>
  </si>
  <si>
    <t>JC710Y</t>
  </si>
  <si>
    <t>RICOH  SPﾄﾅｰ C710 ｲｴﾛｰ 【515291】</t>
  </si>
  <si>
    <t>JC730BK</t>
  </si>
  <si>
    <t>RICOH SPﾄﾅｰ ﾌﾞﾗｯｸ C730 【600532】</t>
  </si>
  <si>
    <t>JC730C</t>
  </si>
  <si>
    <t>RICOH SPﾄﾅｰ ｼｱﾝ C730 【600533】</t>
  </si>
  <si>
    <t>JC730DRBK</t>
  </si>
  <si>
    <t>RICOH SPﾄﾞﾗﾑﾕﾆｯﾄ ﾌﾞﾗｯｸ C730 【306587】</t>
  </si>
  <si>
    <t>JC730DRC</t>
  </si>
  <si>
    <t>RICOH SPﾄﾞﾗﾑﾕﾆｯﾄ ｶﾗｰ C730 【306588】</t>
  </si>
  <si>
    <t>JC730HBK</t>
  </si>
  <si>
    <t>RICOH SPﾄﾅｰ ﾌﾞﾗｯｸ C730H 【600528】</t>
  </si>
  <si>
    <t>JC730HC</t>
  </si>
  <si>
    <t>RICOH SPﾄﾅｰ ｼｱﾝ C730H 【600529】</t>
  </si>
  <si>
    <t>JC730HI</t>
  </si>
  <si>
    <t>RICOH  廃ﾄﾅｰﾎﾞﾄﾙ C730【306593】</t>
  </si>
  <si>
    <t>JC730HM</t>
  </si>
  <si>
    <t>RICOH SPﾄﾅｰ ﾏｾﾞﾝﾀ C730H 【600530】</t>
  </si>
  <si>
    <t>JC730HY</t>
  </si>
  <si>
    <t>RICOH SPﾄﾅｰ ｲｴﾛｰ C730H 【600531】</t>
  </si>
  <si>
    <t>JC730M</t>
  </si>
  <si>
    <t>RICOH SPﾄﾅｰ ﾏｾﾞﾝﾀ C730 【600534】</t>
  </si>
  <si>
    <t>JC730Y</t>
  </si>
  <si>
    <t>RICOH SPﾄﾅｰ ｲｴﾛｰ C730 【600535】</t>
  </si>
  <si>
    <t>JC740BK</t>
  </si>
  <si>
    <t>RICOH SPﾄﾅｰ　ﾌﾞﾗｯｸ　C740【600588】</t>
  </si>
  <si>
    <t>JC740C</t>
  </si>
  <si>
    <t>RICOH SPﾄﾅｰ　ｼｱﾝ　C740【600589】</t>
  </si>
  <si>
    <t>JC740DRBK</t>
  </si>
  <si>
    <t>RICOH SPﾄﾞﾗﾑﾕﾆｯﾄ ﾌﾞﾗｯｸ C740【512767】</t>
  </si>
  <si>
    <t>JC740DRC</t>
  </si>
  <si>
    <t>RICOH SPﾄﾞﾗﾑﾕﾆｯﾄ　ｶﾗｰC740【512768】</t>
  </si>
  <si>
    <t>JC740HBK</t>
  </si>
  <si>
    <t>RICOH SPﾄﾅｰ　ﾌﾞﾗｯｸ　C740H【600584】</t>
  </si>
  <si>
    <t>JC740HC</t>
  </si>
  <si>
    <t>RICOH SPﾄﾅｰ　ｼｱﾝ　C740H【600585】</t>
  </si>
  <si>
    <t>JC740HM</t>
  </si>
  <si>
    <t>RICOH SPﾄﾅｰ　ﾏｾﾞﾝﾀ　C740H【600586】</t>
  </si>
  <si>
    <t>JC740HY</t>
  </si>
  <si>
    <t>RICOH SPﾄﾅｰ　ｲｴﾛｰ　C740H【600587】</t>
  </si>
  <si>
    <t>JC740M</t>
  </si>
  <si>
    <t>RICOH SPﾄﾅｰ　ﾏｾﾞﾝﾀ　C740【600590】</t>
  </si>
  <si>
    <t>JC740Y</t>
  </si>
  <si>
    <t>RICOH SPﾄﾅｰ　ｲｴﾛｰ　C740【600591】</t>
  </si>
  <si>
    <t>JC740ZOUSETU</t>
  </si>
  <si>
    <t>RICOH  C740増設トレイ550枚【512762】</t>
  </si>
  <si>
    <t>JC810C</t>
  </si>
  <si>
    <t>RICOH  SPﾄﾅｰ ｼｱﾝ C810【635019】</t>
  </si>
  <si>
    <t>JC810DC</t>
  </si>
  <si>
    <t>RICOH  ﾄﾞﾗﾑﾕﾆｯﾄ ｶﾗｰ C810【515264】</t>
  </si>
  <si>
    <t>JC810DK</t>
  </si>
  <si>
    <t>RICOH  ﾄﾞﾗﾑﾕﾆｯﾄ ﾌﾞﾗｯｸ C810【515265】</t>
  </si>
  <si>
    <t>JC810HBTL</t>
  </si>
  <si>
    <t>RICOH  廃ﾄﾅｰﾎﾞﾄﾙ C810【515266】</t>
  </si>
  <si>
    <t>JC810HC</t>
  </si>
  <si>
    <t>RICOH  SPﾄﾅｰ ｼｱﾝ C810H【635011】</t>
  </si>
  <si>
    <t>JC810HK</t>
  </si>
  <si>
    <t>RICOH  SPﾄﾅｰ ﾌﾞﾗｯｸ C810H【635008】</t>
  </si>
  <si>
    <t>JC810HM</t>
  </si>
  <si>
    <t>RICOH  SPﾄﾅｰ ﾏｾﾞﾝﾀﾞ C810H【635010】</t>
  </si>
  <si>
    <t>JC810HY</t>
  </si>
  <si>
    <t>RICOH  SPﾄﾅｰ ｲｴﾛｰ C810H【635009】</t>
  </si>
  <si>
    <t>JC810K</t>
  </si>
  <si>
    <t>RICOH  SPﾄﾅｰ ﾌﾞﾗｯｸ C810【635016】</t>
  </si>
  <si>
    <t>JC810M</t>
  </si>
  <si>
    <t>RICOH  SPﾄﾅｰ ﾏｾﾞﾝﾀﾞ C810【635018】</t>
  </si>
  <si>
    <t>JC810Y</t>
  </si>
  <si>
    <t>RICOH  SPﾄﾅｰ ｲｴﾛｰ C810【635017】</t>
  </si>
  <si>
    <t>JC820BK</t>
  </si>
  <si>
    <t>RICOH SPﾄﾅｰﾌﾞﾗｯｸ C820【515586】</t>
  </si>
  <si>
    <t>JC820C</t>
  </si>
  <si>
    <t>RICOH SPﾄﾅｰｼｱﾝ C820【515589】</t>
  </si>
  <si>
    <t>JC820DB</t>
  </si>
  <si>
    <t>RICOH  SP感光体ﾄﾞﾗﾑﾕﾆｯﾄ　ﾌﾞﾗｯｸ C820　515595</t>
  </si>
  <si>
    <t>JC820DC</t>
  </si>
  <si>
    <t>RICOH  SP感光体ﾄﾞﾗﾑﾕﾆｯﾄ　ｶﾗｰ　C820　515594</t>
  </si>
  <si>
    <t>JC820HBK</t>
  </si>
  <si>
    <t>RICOH  SPﾄﾅｰ ﾌﾞﾗｯｸ C820H【515582】</t>
  </si>
  <si>
    <t>JC820HC</t>
  </si>
  <si>
    <t>RICOH  SPﾄﾅｰ ｼｱﾝ  C820H【515585】</t>
  </si>
  <si>
    <t>JC820HM</t>
  </si>
  <si>
    <t>RICOH  SPﾄﾅｰ ﾏｾﾞﾝﾀﾞ C820H【515584】</t>
  </si>
  <si>
    <t>JC820HY</t>
  </si>
  <si>
    <t>RICOH  SPﾄﾅｰ ｲｴﾛｰ C820H【515583】</t>
  </si>
  <si>
    <t>JC820M</t>
  </si>
  <si>
    <t>RICOH SPﾄﾅｰﾏｾﾞﾝﾀ C820【515588】</t>
  </si>
  <si>
    <t>JC820Y</t>
  </si>
  <si>
    <t>RICOH SPﾄﾅｰｲｴﾛｰ C820【515587】</t>
  </si>
  <si>
    <t>JC830BK</t>
  </si>
  <si>
    <t>RICOH SPﾄﾅｰ ﾌﾞﾗｯｸ C830【600518】</t>
  </si>
  <si>
    <t>JC830C</t>
  </si>
  <si>
    <t>RICOH SPﾄﾅｰｼｱﾝ C830【600521】</t>
  </si>
  <si>
    <t>JC830DRBK</t>
  </si>
  <si>
    <t>RICOH ﾄﾞﾗﾑﾕﾆｯﾄ ﾌﾞﾗｯｸ C830【306543】</t>
  </si>
  <si>
    <t>JC830DRC</t>
  </si>
  <si>
    <t>RICOH ﾄﾞﾗﾑﾕﾆｯﾄ ｶﾗｰ C830【306544】</t>
  </si>
  <si>
    <t>JC830HBK</t>
  </si>
  <si>
    <t>RICOH SPﾄﾅｰ ﾌﾞﾗｯｸ C830H【600514】</t>
  </si>
  <si>
    <t>JC830HC</t>
  </si>
  <si>
    <t>RICOH SPﾄﾅｰ ｼｱﾝ C830H【600517】</t>
  </si>
  <si>
    <t>JC830HI</t>
  </si>
  <si>
    <t>RICOH  廃ﾄﾅｰﾎﾞﾄﾙ　C830 【306545】</t>
  </si>
  <si>
    <t>JC830HM</t>
  </si>
  <si>
    <t>RICOH SPﾄﾅｰ ﾏｾﾞﾝﾀﾞ C830H【600516】</t>
  </si>
  <si>
    <t>JC830HY</t>
  </si>
  <si>
    <t>RICOH SPﾄﾅｰ ｲｴﾛｰ C830H【600515】</t>
  </si>
  <si>
    <t>JC830M</t>
  </si>
  <si>
    <t>RICOH SPﾄﾅｰ ﾏｾﾞﾝﾀﾞ C830【600520】</t>
  </si>
  <si>
    <t>JC830Y</t>
  </si>
  <si>
    <t>RICOH SPﾄﾅｰ ｲｴﾛｰ C830【600519】</t>
  </si>
  <si>
    <t>JC840BK</t>
  </si>
  <si>
    <t>RICOH  SPﾄﾅ-ﾌﾞﾗｯｸ　C840【600633】</t>
  </si>
  <si>
    <t>JC840C</t>
  </si>
  <si>
    <t>RICOH  SPﾄﾅｰ ｼｱﾝ C840【600630】</t>
  </si>
  <si>
    <t>JC840CME</t>
  </si>
  <si>
    <t>RICOH SP MEﾄﾅ- ｼｱﾝ C840 【600659】</t>
  </si>
  <si>
    <t>JC840DC</t>
  </si>
  <si>
    <t>RICOH  SPﾄﾞﾗﾑ ｶﾗｰ C840【513661】</t>
  </si>
  <si>
    <t>JC840DK</t>
  </si>
  <si>
    <t>RICOH  SPﾄﾞﾗﾑﾌﾞﾗｯｸ C840【513662】</t>
  </si>
  <si>
    <t>JC840DMEC</t>
  </si>
  <si>
    <t>RICOH  SP MEﾄﾞﾗﾑ ｶﾗｰ C840【513818】</t>
  </si>
  <si>
    <t>JC840DMEK</t>
  </si>
  <si>
    <t>RICOH  SP MEﾄﾞﾗﾑ ﾌﾞﾗｯｸ C840【513819】</t>
  </si>
  <si>
    <t>JC840HC</t>
  </si>
  <si>
    <t>RICOH  SPﾄﾅｰ ｼｱﾝ C840H【600634】</t>
  </si>
  <si>
    <t>JC840HI</t>
  </si>
  <si>
    <t>RICOH  廃ﾄﾅｰﾎﾞﾄﾙ　C840【513663】</t>
  </si>
  <si>
    <t>JC840HK</t>
  </si>
  <si>
    <t>RICOH  SPﾄﾅｰ ﾌﾞﾗｯｸ C840H【600637】</t>
  </si>
  <si>
    <t>JC840HM</t>
  </si>
  <si>
    <t>RICOH  SPﾄﾅｰ ﾏｾﾞﾝﾀﾞ C840H【600635】</t>
  </si>
  <si>
    <t>JC840HMEC</t>
  </si>
  <si>
    <t>RICOH  SP MEﾄﾅｰ ｼｱﾝ C840H【600663】</t>
  </si>
  <si>
    <t>JC840HMEK</t>
  </si>
  <si>
    <t>RICOH  SP MEﾄﾅｰ ﾌﾞﾗｯｸ C840H【600666】</t>
  </si>
  <si>
    <t>JC840HMEM</t>
  </si>
  <si>
    <t>RICOH  SP MEﾄﾅｰ ﾏｾﾞﾝﾀ C840H【600664】</t>
  </si>
  <si>
    <t>JC840HMEY</t>
  </si>
  <si>
    <t>RICOH  SP MEﾄﾅｰ ｲｴﾛｰ C840H【600665】</t>
  </si>
  <si>
    <t>JC840HY</t>
  </si>
  <si>
    <t>RICOH  SPﾄﾅｰ ｲｴﾛｰ C840H【600636】</t>
  </si>
  <si>
    <t>JC840KME</t>
  </si>
  <si>
    <t>RICOH  SP MEﾄﾅ- ﾌﾞﾗｯｸ C840【600662】</t>
  </si>
  <si>
    <t>JC840M</t>
  </si>
  <si>
    <t>RICOH  SPﾄﾅｰ ﾏｾﾞﾝﾀ　C840【600631】</t>
  </si>
  <si>
    <t>JC840MME</t>
  </si>
  <si>
    <t>RICOH  SP MEﾄﾅ- ﾏｾﾞﾝﾀ C840【600660】</t>
  </si>
  <si>
    <t>JC840Y</t>
  </si>
  <si>
    <t>RICOH  SPﾄﾅｰ ｲｴﾛｰ　C840【600632】</t>
  </si>
  <si>
    <t>JC840YME</t>
  </si>
  <si>
    <t>RICOH  SP MEﾄﾅ- ｲｴﾛｰ C840【600661】</t>
  </si>
  <si>
    <t>JC9152A</t>
  </si>
  <si>
    <t>HP ﾒﾝﾃﾅﾝｽｷｯﾄ (LJ9000n用) C9152A</t>
  </si>
  <si>
    <t>JC9200BK</t>
  </si>
  <si>
    <t>RICOH Pro ﾄﾅｰ C9200 BK  600655</t>
  </si>
  <si>
    <t>JC9200C</t>
  </si>
  <si>
    <t>RICOH Pro ﾄﾅｰ C9200 C  600658</t>
  </si>
  <si>
    <t>JC9200M</t>
  </si>
  <si>
    <t>RICOH Pro ﾄﾅｰ C9200 M  600657</t>
  </si>
  <si>
    <t>JC9200Y</t>
  </si>
  <si>
    <t>RICOH Pro ﾄﾅｰ C9200 Y  600656</t>
  </si>
  <si>
    <t>JC9371A</t>
  </si>
  <si>
    <t>HP HP72 C9371A ｲﾝｸｶｰﾄﾘｯｼﾞ ｼｱﾝ　130ml</t>
  </si>
  <si>
    <t>JC9372A</t>
  </si>
  <si>
    <t>HP HP72 C9372A ｲﾝｸｶｰﾄﾘｯｼﾞ ﾏｾﾞﾝﾀ　130ml</t>
  </si>
  <si>
    <t>JC9373A</t>
  </si>
  <si>
    <t>HP HP72 C9373A ｲﾝｸｶｰﾄﾘｯｼﾞ ｲｴﾛｰ　130ml</t>
  </si>
  <si>
    <t>JC9380A</t>
  </si>
  <si>
    <t>HP HP72 ﾌﾟﾘﾝﾄﾍｯﾄﾞ ｸﾞﾚｰ/ﾌｫﾄﾌﾞﾗｯｸ C9380A</t>
  </si>
  <si>
    <t>JC9383A</t>
  </si>
  <si>
    <t>HP HP72 ﾌﾟﾘﾝﾄﾍｯﾄﾞ ﾏｾﾞﾝﾀ/ｼｱﾝ C9383A</t>
  </si>
  <si>
    <t>JC9384A</t>
  </si>
  <si>
    <t>HP HP72 ﾌﾟﾘﾝﾄﾍｯﾄﾞ ﾏｯﾄﾌﾞﾗｯｸ/ｲｴﾛｰ C9384A</t>
  </si>
  <si>
    <t>JC9390A</t>
  </si>
  <si>
    <t>HP70 ｲﾝｸｶｰﾄﾘｯｼﾞ ﾗｲﾄｼｱﾝ C9390A</t>
  </si>
  <si>
    <t>JC9404A</t>
  </si>
  <si>
    <t>HP70 ﾌﾟﾘﾝﾄﾍｯﾄﾞ ﾏｯﾄﾌﾞﾗｯｸ/ｼｱﾝ C9404A</t>
  </si>
  <si>
    <t>JC9405A</t>
  </si>
  <si>
    <t>HP70 ﾌﾟﾘﾝﾄﾍｯﾄﾞ ﾗｲﾄﾏｾﾞﾝﾀ/ﾗｲﾄｼｱﾝ C9405A</t>
  </si>
  <si>
    <t>JC9406A</t>
  </si>
  <si>
    <t>HP70 ﾌﾟﾘﾝﾄﾍｯﾄﾞ ﾏｾﾞﾝﾀ/ｲｴﾛｰ C9406A</t>
  </si>
  <si>
    <t>JC9407A</t>
  </si>
  <si>
    <t>HP70 ﾌﾟﾘﾝﾄﾍｯﾄﾞ ﾌｫﾄﾌﾞﾗｯｸ/ﾗｲﾄｸﾞﾚｰ C9407A</t>
  </si>
  <si>
    <t>JC9408A</t>
  </si>
  <si>
    <t>HP70 ﾌﾟﾘﾝﾄﾍｯﾄﾞ ﾌﾞﾙｰ/ｸﾞﾘｰﾝ C9408A</t>
  </si>
  <si>
    <t>JC9410A</t>
  </si>
  <si>
    <t>HP70 ﾌﾟﾘﾝﾄﾍｯﾄﾞ ｸﾞﾛｽｴﾝﾊﾝｻ/ｸﾞﾚｰ C9410A</t>
  </si>
  <si>
    <t>JC9448A</t>
  </si>
  <si>
    <t>HP70 ｲﾝｸｶｰﾄﾘｯｼﾞ ﾏｯﾄﾌﾞﾗｯｸ C9448A</t>
  </si>
  <si>
    <t>JC9449A</t>
  </si>
  <si>
    <t>HP70 ｲﾝｸｶｰﾄﾘｯｼﾞ ﾌｫﾄﾌﾞﾗｯｸ C9449A</t>
  </si>
  <si>
    <t>JC9450A</t>
  </si>
  <si>
    <t>HP70 ｲﾝｸｶｰﾄﾘｯｼﾞ ｸﾞﾚｰ C9450A</t>
  </si>
  <si>
    <t>JC9451A</t>
  </si>
  <si>
    <t>HP70 ｲﾝｸｶｰﾄﾘｯｼﾞ ﾗｲﾄｸﾞﾚｰ C9451A</t>
  </si>
  <si>
    <t>JC9452A</t>
  </si>
  <si>
    <t>HP70 ｲﾝｸｶｰﾄﾘｯｼﾞ ｼｱﾝ C9452A</t>
  </si>
  <si>
    <t>JC9453A</t>
  </si>
  <si>
    <t>HP70 ｲﾝｸｶｰﾄﾘｯｼﾞ ﾏｾﾞﾝﾀ C9453A</t>
  </si>
  <si>
    <t>JC9454A</t>
  </si>
  <si>
    <t>HP70 ｲﾝｸｶｰﾄﾘｯｼﾞ ｲｴﾛｰ C9454A</t>
  </si>
  <si>
    <t>JC9455A</t>
  </si>
  <si>
    <t>HP70 ｲﾝｸｶｰﾄﾘｯｼﾞ ﾗｲﾄﾏｾﾞﾝﾀ C9455A</t>
  </si>
  <si>
    <t>JC9457A</t>
  </si>
  <si>
    <t>HP70 ｲﾝｸｶｰﾄﾘｯｼﾞ ｸﾞﾘｰﾝ C9457A</t>
  </si>
  <si>
    <t>JC9458A</t>
  </si>
  <si>
    <t>HP70 ｲﾝｸｶｰﾄﾘｯｼﾞ ﾌﾞﾙｰ C9458A</t>
  </si>
  <si>
    <t>JC9459A</t>
  </si>
  <si>
    <t>HP70 ｲﾝｸｶｰﾄﾘｯｼﾞ ｸﾞﾛｽｴﾝﾊﾝｻ C9459A</t>
  </si>
  <si>
    <t>JC9LGY15</t>
  </si>
  <si>
    <t>EPSON ｲﾝｸｶｰﾄﾘｯｼﾞ SC9LGY15 ﾗｲﾄｸﾞﾚｰ</t>
  </si>
  <si>
    <t>JCB388A</t>
  </si>
  <si>
    <t>HP ﾒﾝﾃﾅﾝｽｷｯﾄ CB388A</t>
  </si>
  <si>
    <t>JCB90TDSG</t>
  </si>
  <si>
    <t>JCB95DS</t>
  </si>
  <si>
    <t>JCB95TSG</t>
  </si>
  <si>
    <t>JCBU330CL</t>
  </si>
  <si>
    <t>brother  ﾍﾞﾙﾄﾕﾆｯﾄ BU-330CL</t>
  </si>
  <si>
    <t>JCC364A</t>
  </si>
  <si>
    <t>HP ﾌﾟﾘﾝﾄｶｰﾄﾘｯｼﾞ CC364A</t>
  </si>
  <si>
    <t>JCC530A</t>
  </si>
  <si>
    <t>HP ﾌﾟﾘﾝﾄｶｰﾄﾘｯｼﾞ 黒 CC530A</t>
  </si>
  <si>
    <t>JCC531A</t>
  </si>
  <si>
    <t>HP ﾌﾟﾘﾝﾄｶｰﾄﾘｯｼﾞ ｼｱﾝ CC531A</t>
  </si>
  <si>
    <t>JCC532A</t>
  </si>
  <si>
    <t>HP ﾌﾟﾘﾝﾄｶｰﾄﾘｯｼﾞ ｲｴﾛｰ CC532A</t>
  </si>
  <si>
    <t>JCC533A</t>
  </si>
  <si>
    <t>HP ﾌﾟﾘﾝﾄｶｰﾄﾘｯｼﾞ ﾏｾﾞﾝﾀ CC533A</t>
  </si>
  <si>
    <t>JCCT202346</t>
  </si>
  <si>
    <t>XEROX CT202346</t>
  </si>
  <si>
    <t>JCCT202484</t>
  </si>
  <si>
    <t>XEROX CT202484</t>
  </si>
  <si>
    <t>JCCT202485</t>
  </si>
  <si>
    <t>XEROX CT202485</t>
  </si>
  <si>
    <t>JCCT202486</t>
  </si>
  <si>
    <t>XEROX CT202486</t>
  </si>
  <si>
    <t>JCCT202487</t>
  </si>
  <si>
    <t>XEROX CT202487</t>
  </si>
  <si>
    <t>JCCT351064</t>
  </si>
  <si>
    <t>XEROX CT351064</t>
  </si>
  <si>
    <t>JCCT351088</t>
  </si>
  <si>
    <t>XEROX CT351088</t>
  </si>
  <si>
    <t>JCD949A</t>
  </si>
  <si>
    <t>HP HP73 CD949A ﾌﾟﾘﾝﾄﾍｯﾄﾞ ﾏｯﾄﾌﾞﾗｯｸ/ｸﾛﾑﾚｯﾄﾞ</t>
  </si>
  <si>
    <t>JCD951A</t>
  </si>
  <si>
    <t>HP HP73 CD951A ｲﾝｸｶｰﾄﾘｯｼﾞ ｸﾛﾑﾚｯﾄﾞ 130ml</t>
  </si>
  <si>
    <t>JCD972AA</t>
  </si>
  <si>
    <t>JCD973AA</t>
  </si>
  <si>
    <t>JCD974AA</t>
  </si>
  <si>
    <t>JCD975AA</t>
  </si>
  <si>
    <t>JCDE3380</t>
  </si>
  <si>
    <t>Panasonic DE-3380</t>
  </si>
  <si>
    <t>JCDR293CLBK</t>
  </si>
  <si>
    <t>brother ﾄﾞﾗﾑﾕﾆｯﾄ DR-293CL-BK</t>
  </si>
  <si>
    <t>JCDR293CLCMY</t>
  </si>
  <si>
    <t>brother ﾄﾞﾗﾑﾕﾆｯﾄ DR-293CL-CMY</t>
  </si>
  <si>
    <t>JCE017A</t>
  </si>
  <si>
    <t>HP HP771 ﾌﾟﾘﾝﾄﾍｯﾄﾞ ﾏｯﾄﾌﾞﾗｯｸ/ﾚｯﾄﾞ CE017A</t>
  </si>
  <si>
    <t>JCE018A</t>
  </si>
  <si>
    <t>HP HP771 ﾌﾟﾘﾝﾄﾍｯﾄﾞ ﾏｾﾞﾝﾀ/ｲｴﾛｰ CE018A</t>
  </si>
  <si>
    <t>JCE019A</t>
  </si>
  <si>
    <t>HP HP771 ﾌﾟﾘﾝﾄﾍｯﾄﾞ ﾗｲﾄﾏｾﾞﾝﾀ/ﾗｲﾄｼｱﾝ CE019A</t>
  </si>
  <si>
    <t>JCE020A</t>
  </si>
  <si>
    <t>HP HP771 ﾌﾟﾘﾝﾄﾍｯﾄﾞ ﾌｫﾄﾌﾞﾗｯｸ/ﾗｲﾄｸﾞﾚｰ CE020A</t>
  </si>
  <si>
    <t>JCE246A</t>
  </si>
  <si>
    <t>JCE249A</t>
  </si>
  <si>
    <t>JCE250X</t>
  </si>
  <si>
    <t>JCE251A</t>
  </si>
  <si>
    <t>JCE252A</t>
  </si>
  <si>
    <t>JCE253A</t>
  </si>
  <si>
    <t>JCE254A</t>
  </si>
  <si>
    <t>HP ﾄﾅｰｺﾚｸｼｮﾝﾕﾆｯﾄ CE254A</t>
  </si>
  <si>
    <t>JCE255A</t>
  </si>
  <si>
    <t>HP ﾌﾟﾘﾝﾄｶｰﾄﾘｯｼﾞ 黒 CE255A</t>
  </si>
  <si>
    <t>JCE255X</t>
  </si>
  <si>
    <t>HP ﾌﾟﾘﾝﾄｶｰﾄﾘｯｼﾞ 黒 CE255X</t>
  </si>
  <si>
    <t>JCE261A</t>
  </si>
  <si>
    <t>HP ﾌﾟﾘﾝﾄｶｰﾄﾘｯｼﾞ ｼｱﾝ CE261A</t>
  </si>
  <si>
    <t>JCE262A</t>
  </si>
  <si>
    <t>HP ﾌﾟﾘﾝﾄｶｰﾄﾘｯｼﾞ ｲｴﾛｰ CE262A</t>
  </si>
  <si>
    <t>JCE263A</t>
  </si>
  <si>
    <t>HP ﾌﾟﾘﾝﾄｶｰﾄﾘｯｼﾞ ﾏｾﾞﾝﾀ CE263A</t>
  </si>
  <si>
    <t>JCE265A</t>
  </si>
  <si>
    <t>JCE400A</t>
  </si>
  <si>
    <t>HP 507A ﾄﾅｰｶｰﾄﾘｯｼﾞ 黒 CE400A</t>
  </si>
  <si>
    <t>JCE400X</t>
  </si>
  <si>
    <t>HP 507X ﾄﾅｰｶｰﾄﾘｯｼﾞ 黒 大容量 CE400X</t>
  </si>
  <si>
    <t>JCE401A</t>
  </si>
  <si>
    <t>HP 507A ﾄﾅｰｶｰﾄﾘｯｼﾞ ｼｱﾝ CE401A</t>
  </si>
  <si>
    <t>JCE402A</t>
  </si>
  <si>
    <t>HP 507A ﾄﾅｰｶｰﾄﾘｯｼﾞ ｲｴﾛｰ CE402A</t>
  </si>
  <si>
    <t>JCE403A</t>
  </si>
  <si>
    <t>HP 507A ﾄﾅｰｶｰﾄﾘｯｼﾞ ﾏｾﾞﾝﾀ CE403A</t>
  </si>
  <si>
    <t>JCE410X</t>
  </si>
  <si>
    <t>HP 305X ﾄﾅｰｶｰﾄﾘｯｼﾞ 黒 大容量 CE410X</t>
  </si>
  <si>
    <t>JCE411A</t>
  </si>
  <si>
    <t>HP 305A ﾄﾅｰｶｰﾄﾘｯｼﾞ ｼｱﾝ CE411A</t>
  </si>
  <si>
    <t>JCE412A</t>
  </si>
  <si>
    <t>HP 305A ﾄﾅｰｶｰﾄﾘｯｼﾞ ｲｴﾛｰ CE412A</t>
  </si>
  <si>
    <t>JCE413A</t>
  </si>
  <si>
    <t>HP 305A ﾄﾅｰｶｰﾄﾘｯｼﾞ ﾏｾﾞﾝﾀ CE413A</t>
  </si>
  <si>
    <t>JCE484A</t>
  </si>
  <si>
    <t>HP ﾌｭｰｻﾞｰｷｯﾄ CE484A</t>
  </si>
  <si>
    <t>JCE514A</t>
  </si>
  <si>
    <t>HP ﾌｭｰｻﾞｰｷｯﾄ CE514A</t>
  </si>
  <si>
    <t>JCE516A</t>
  </si>
  <si>
    <t>HP ﾄﾗﾝｽﾌｧｰｷｯﾄ CE516A</t>
  </si>
  <si>
    <t>JCE741A</t>
  </si>
  <si>
    <t>HP 307A ｼｱﾝ ﾄﾅｰｶｰﾄﾘｯｼﾞ CE741A</t>
  </si>
  <si>
    <t>JCE742A</t>
  </si>
  <si>
    <t>HP 307A ｲｴﾛｰ ﾄﾅｰｶｰﾄﾘｯｼﾞCE742A</t>
  </si>
  <si>
    <t>JCE743A</t>
  </si>
  <si>
    <t>HP 307A ﾏｾﾞﾝﾀ ﾄﾅｰｶｰﾄﾘｯｼﾞ CE743A</t>
  </si>
  <si>
    <t>JCE977A</t>
  </si>
  <si>
    <t>HP ﾌｭｰｻﾞｰｷｯﾄ CE977A</t>
  </si>
  <si>
    <t>JCE980A</t>
  </si>
  <si>
    <t>HP ﾄﾅｰｺﾚｸｼｮﾝﾕﾆｯﾄ CE980A</t>
  </si>
  <si>
    <t>JCEP86BK</t>
  </si>
  <si>
    <t>-終息-CANON EP-86 BK ﾄﾅｰｶｰﾄﾘｯｼﾞ　6830A005</t>
  </si>
  <si>
    <t>JCEP86C</t>
  </si>
  <si>
    <t>-終息-CANON EP-86 C ﾄﾅｰｶｰﾄﾘｯｼﾞ　6829A005</t>
  </si>
  <si>
    <t>JCEP86M</t>
  </si>
  <si>
    <t>-終息-CANON EP-86 M ﾄﾅｰｶｰﾄﾘｯｼﾞ　6828A005</t>
  </si>
  <si>
    <t>JCEP86Y</t>
  </si>
  <si>
    <t>-終息-CANON EP-86 Y ﾄﾅｰｶｰﾄﾘｯｼﾞ　6827A005</t>
  </si>
  <si>
    <t>JCF064A</t>
  </si>
  <si>
    <t>HP ﾒﾝﾃﾅﾝｽｷｯﾄ CF064A</t>
  </si>
  <si>
    <t>JCF237X</t>
  </si>
  <si>
    <t>HP 37X ﾄﾅｰｶｰﾄﾘｯｼﾞ CF237X 黒</t>
  </si>
  <si>
    <t>JCF276A</t>
  </si>
  <si>
    <t>HP HP 76A ﾄﾅｰｶｰﾄﾘｯｼﾞ 黒 CF276A</t>
  </si>
  <si>
    <t>JCF281A</t>
  </si>
  <si>
    <t>HP 81A　ﾄﾅｰｶｰﾄﾘｯｼﾞ CF281A 黒</t>
  </si>
  <si>
    <t>JCF281X</t>
  </si>
  <si>
    <t>HP 81X ﾄﾅｰｶｰﾄﾘｯｼﾞCF281X 黒 大容量</t>
  </si>
  <si>
    <t>JCF300A</t>
  </si>
  <si>
    <t>HP 827A ﾄﾅｰｶｰﾄﾘｯｼﾞ CF300A 黒</t>
  </si>
  <si>
    <t>JCF301A</t>
  </si>
  <si>
    <t>HP 827A ﾄﾅｰｶｰﾄﾘｯｼﾞ CF301A ｼｱﾝ</t>
  </si>
  <si>
    <t>JCF302A</t>
  </si>
  <si>
    <t>HP 827A ﾄﾅｰｶｰﾄﾘｯｼﾞ CF302A ｲｴﾛｰ</t>
  </si>
  <si>
    <t>JCF303A</t>
  </si>
  <si>
    <t>HP 827A ﾄﾅｰｶｰﾄﾘｯｼﾞ CF303A ﾏｾﾞﾝﾀ</t>
  </si>
  <si>
    <t>JCF325X</t>
  </si>
  <si>
    <t>HP 25X ﾄﾅｰｶｰﾄﾘｯｼﾞ 黒 CF325X</t>
  </si>
  <si>
    <t>JCF358A</t>
  </si>
  <si>
    <t>HP 828A ｲﾒｰｼﾞﾄﾞﾗﾑ CF358A 黒</t>
  </si>
  <si>
    <t>JCF359A</t>
  </si>
  <si>
    <t>HP 828A ｲﾒｰｼﾞﾄﾞﾗﾑ CF359A ｼｱﾝ</t>
  </si>
  <si>
    <t>JCF360A</t>
  </si>
  <si>
    <t>HP 508A ﾄﾅｰｶｰﾄﾘｯｼﾞ CF360A 黒</t>
  </si>
  <si>
    <t>JCF360X</t>
  </si>
  <si>
    <t>HP 508X ﾄﾅｰｶｰﾄﾘｯｼﾞ CF360X 黒</t>
  </si>
  <si>
    <t>JCF361A</t>
  </si>
  <si>
    <t>HP 508A ﾄﾅｰｶｰﾄﾘｯｼﾞ CF361A ｼｱﾝ</t>
  </si>
  <si>
    <t>JCF361X</t>
  </si>
  <si>
    <t>HP 508X ﾄﾅｰｶｰﾄﾘｯｼﾞ CF361X ｼｱﾝ</t>
  </si>
  <si>
    <t>JCF362A</t>
  </si>
  <si>
    <t>HP 508A ﾄﾅｰｶｰﾄﾘｯｼﾞ CF362A ｲｴﾛｰ</t>
  </si>
  <si>
    <t>JCF362X</t>
  </si>
  <si>
    <t>HP 508X ﾄﾅｰｶｰﾄﾘｯｼﾞ CF362X ｲｴﾛｰ</t>
  </si>
  <si>
    <t>JCF363A</t>
  </si>
  <si>
    <t>HP 508A ﾄﾅｰｶｰﾄﾘｯｼﾞ CF363A ﾏｾﾞﾝﾀ</t>
  </si>
  <si>
    <t>JCF363X</t>
  </si>
  <si>
    <t>HP 508X ﾄﾅｰｶｰﾄﾘｯｼﾞ CF363X ﾏｾﾞﾝﾀ</t>
  </si>
  <si>
    <t>JCF364A</t>
  </si>
  <si>
    <t>HP 828A ｲﾒｰｼﾞﾄﾞﾗﾑ CF364A ｲｴﾛｰ</t>
  </si>
  <si>
    <t>JCF365A</t>
  </si>
  <si>
    <t>HP 828A ｲﾒｰｼﾞﾄﾞﾗﾑ CF365A ﾏｾﾞﾝﾀ</t>
  </si>
  <si>
    <t>JCGE5TSCG</t>
  </si>
  <si>
    <t>JCGE5TSKG</t>
  </si>
  <si>
    <t>JCGE5TSMG</t>
  </si>
  <si>
    <t>JCGE5TSYG</t>
  </si>
  <si>
    <t>JCH30</t>
  </si>
  <si>
    <t>CANON ﾌﾟﾘﾝﾄﾍｯﾄﾞ ｶﾗｰ用 CH-30 3429C001</t>
  </si>
  <si>
    <t>JCH644A</t>
  </si>
  <si>
    <t>HP HP771 ｸﾘｰﾆﾝｸﾞｶｰﾄﾘｯｼﾞ Z6200用 CH644A</t>
  </si>
  <si>
    <t>JCH645A</t>
  </si>
  <si>
    <t>HP HP761 ﾌﾟﾘﾝﾄﾍｯﾄﾞ ｲｴﾛｰ CH645A</t>
  </si>
  <si>
    <t>JCH646A</t>
  </si>
  <si>
    <t>HP HP761 ﾌﾟﾘﾝﾄﾍｯﾄﾞ ﾏｾﾞﾝﾀ/ｼｱﾝ CH646A</t>
  </si>
  <si>
    <t>JCH647A</t>
  </si>
  <si>
    <t>HP HP761 ﾌﾟﾘﾝﾄﾍｯﾄﾞ ｸﾞﾚｰ/ﾀﾞｰｸｸﾞﾚｰ CH647A</t>
  </si>
  <si>
    <t>JCH648A</t>
  </si>
  <si>
    <t>HP HP761 ﾌﾟﾘﾝﾄﾍｯﾄﾞ ﾏｯﾄﾌﾞﾗｯｸ CH648A</t>
  </si>
  <si>
    <t>JCH649A</t>
  </si>
  <si>
    <t>HP HP761 ｸﾘｰﾆﾝｸﾞｶｰﾄﾘｯｼﾞ T7100用 CH649A</t>
  </si>
  <si>
    <t>JCHP90ACE390A</t>
  </si>
  <si>
    <t>HP 90A ﾄﾅｰｶｰﾄﾘｯｼﾞ CE390A</t>
  </si>
  <si>
    <t>JCL114AC</t>
  </si>
  <si>
    <t>[終息]富士通 ﾄﾅｰｶｰﾄﾘｯｼﾞCL114A ｼｱﾝ</t>
  </si>
  <si>
    <t>JCL114AK</t>
  </si>
  <si>
    <t>[終息] 富士通 ﾄﾅｰｶｰﾄﾘｯｼﾞCL114A ﾌﾞﾗｯｸ</t>
  </si>
  <si>
    <t>JCL114AM</t>
  </si>
  <si>
    <t>[終息]富士通 ﾄﾅｰｶｰﾄﾘｯｼﾞCL114A ﾏｾﾞﾝﾀ</t>
  </si>
  <si>
    <t>JCL114AY</t>
  </si>
  <si>
    <t>[終息]富士通 ﾄﾅｰｶｰﾄﾘｯｼﾞCL114A ｲｴﾛｰ</t>
  </si>
  <si>
    <t>JCL114BC</t>
  </si>
  <si>
    <t>[終息]富士通 ﾄﾅｰｶｰﾄﾘｯｼﾞCL114B ｼｱﾝ</t>
  </si>
  <si>
    <t>JCL114BK</t>
  </si>
  <si>
    <t>[終息]富士通 ﾄﾅｰｶｰﾄﾘｯｼﾞCL114B ﾌﾞﾗｯｸ</t>
  </si>
  <si>
    <t>JCL114BM</t>
  </si>
  <si>
    <t>[終息]富士通 ﾄﾅｰｶｰﾄﾘｯｼﾞCL114B ﾏｾﾞﾝﾀ</t>
  </si>
  <si>
    <t>JCL114BY</t>
  </si>
  <si>
    <t>[終息]富士通 ﾄﾅｰｶｰﾄﾘｯｼﾞCL114B ｲｴﾛｰ</t>
  </si>
  <si>
    <t>JCL114DC</t>
  </si>
  <si>
    <t>[在庫限り終息]富士通 ﾄﾞﾗﾑｶｰﾄﾘｯｼﾞCL114 ｼｱﾝ</t>
  </si>
  <si>
    <t>JCL114DK</t>
  </si>
  <si>
    <t>[終息]富士通 ﾄﾞﾗﾑｶｰﾄﾘｯｼﾞCL114 ﾌﾞﾗｯｸ</t>
  </si>
  <si>
    <t>JCL114DM</t>
  </si>
  <si>
    <t>[在庫限り終息]富士通 ﾄﾞﾗﾑｶｰﾄﾘｯｼﾞCL114 ﾏｾﾞﾝﾀ</t>
  </si>
  <si>
    <t>JCL114DY</t>
  </si>
  <si>
    <t>[終息]富士通 ﾄﾞﾗﾑｶｰﾄﾘｯｼﾞCL114 ｲｴﾛｰ</t>
  </si>
  <si>
    <t>JCL115AC</t>
  </si>
  <si>
    <t>富士通 ﾄﾅｰｶｰﾄﾘｯｼﾞCL115A ｼｱﾝ</t>
  </si>
  <si>
    <t>JCL115AK</t>
  </si>
  <si>
    <t>富士通 ﾄﾅｰｶｰﾄﾘｯｼﾞCL115A ﾌﾞﾗｯｸ</t>
  </si>
  <si>
    <t>JCL115AM</t>
  </si>
  <si>
    <t>富士通 ﾄﾅｰｶｰﾄﾘｯｼﾞCL115A ﾏｾﾞﾝﾀ</t>
  </si>
  <si>
    <t>JCL115AY</t>
  </si>
  <si>
    <t>富士通 ﾄﾅｰｶｰﾄﾘｯｼﾞCL115A ｲｴﾛｰ</t>
  </si>
  <si>
    <t>JCL115BC</t>
  </si>
  <si>
    <t>富士通 ﾄﾅｰｶｰﾄﾘｯｼﾞCL115B ｼｱﾝ</t>
  </si>
  <si>
    <t>JCL115BK</t>
  </si>
  <si>
    <t>富士通 ﾄﾅｰｶｰﾄﾘｯｼﾞCL115B ﾌﾞﾗｯｸ</t>
  </si>
  <si>
    <t>JCL115BM</t>
  </si>
  <si>
    <t>富士通 ﾄﾅｰｶｰﾄﾘｯｼﾞCL115B ﾏｾﾞﾝﾀ</t>
  </si>
  <si>
    <t>JCL115BY</t>
  </si>
  <si>
    <t>富士通 ﾄﾅｰｶｰﾄﾘｯｼﾞCL115B ｲｴﾛｰ</t>
  </si>
  <si>
    <t>JCL115DC</t>
  </si>
  <si>
    <t>富士通 ﾄﾞﾗﾑｶｰﾄﾘｯｼﾞCL115 ｼｱﾝ</t>
  </si>
  <si>
    <t>JCL115DK</t>
  </si>
  <si>
    <t>富士通 ﾄﾞﾗﾑｶｰﾄﾘｯｼﾞCL115 ﾌﾞﾗｯｸ</t>
  </si>
  <si>
    <t>JCL115DM</t>
  </si>
  <si>
    <t>富士通 ﾄﾞﾗﾑｶｰﾄﾘｯｼﾞCL115 ﾏｾﾞﾝﾀ</t>
  </si>
  <si>
    <t>JCL115DY</t>
  </si>
  <si>
    <t>富士通 ﾄﾞﾗﾑｶｰﾄﾘｯｼﾞCL115 ｲｴﾛｰ</t>
  </si>
  <si>
    <t>JCL116AC</t>
  </si>
  <si>
    <t>富士通 ﾄﾅｰｶｰﾄﾘｯｼﾞCL116A ｼｱﾝ</t>
  </si>
  <si>
    <t>JCL116AK</t>
  </si>
  <si>
    <t>富士通 ﾄﾅｰｶｰﾄﾘｯｼﾞCL116A ﾌﾞﾗｯｸ</t>
  </si>
  <si>
    <t>JCL116AM</t>
  </si>
  <si>
    <t>富士通 ﾄﾅｰｶｰﾄﾘｯｼﾞCL116A ﾏｾﾞﾝﾀ</t>
  </si>
  <si>
    <t>JCL116AY</t>
  </si>
  <si>
    <t>富士通 ﾄﾅｰｶｰﾄﾘｯｼﾞCL116A ｲｴﾛｰ</t>
  </si>
  <si>
    <t>JCL116BC</t>
  </si>
  <si>
    <t>富士通 ﾄﾅｰｶｰﾄﾘｯｼﾞCL116B ｼｱﾝ</t>
  </si>
  <si>
    <t>JCL116BFC</t>
  </si>
  <si>
    <t>富士通 環境共生ﾄﾅｰ CL116BF ｼｱﾝ</t>
  </si>
  <si>
    <t>JCL116BFK</t>
  </si>
  <si>
    <t>富士通 環境共生ﾄﾅｰ CL116BF ﾌﾞﾗｯｸ</t>
  </si>
  <si>
    <t>JCL116BFM</t>
  </si>
  <si>
    <t>富士通 環境共生ﾄﾅｰ CL116BF ﾏｾﾞﾝﾀ</t>
  </si>
  <si>
    <t>JCL116BFY</t>
  </si>
  <si>
    <t>富士通 環境共生ﾄﾅｰ CL116BF ｲｴﾛｰ</t>
  </si>
  <si>
    <t>JCL116BK</t>
  </si>
  <si>
    <t>富士通 ﾄﾅｰｶｰﾄﾘｯｼﾞCL116B ﾌﾞﾗｯｸ</t>
  </si>
  <si>
    <t>JCL116BM</t>
  </si>
  <si>
    <t>富士通 ﾄﾅｰｶｰﾄﾘｯｼﾞCL116B ﾏｾﾞﾝﾀ</t>
  </si>
  <si>
    <t>JCL116BY</t>
  </si>
  <si>
    <t>富士通 ﾄﾅｰｶｰﾄﾘｯｼﾞCL116B ｲｴﾛｰ</t>
  </si>
  <si>
    <t>JCL116DC</t>
  </si>
  <si>
    <t>富士通 ﾄﾞﾗﾑｶｰﾄﾘｯｼﾞCL116 ｼｱﾝ</t>
  </si>
  <si>
    <t>JCL116DK</t>
  </si>
  <si>
    <t>富士通 ﾄﾞﾗﾑｶｰﾄﾘｯｼﾞCL116 ﾌﾞﾗｯｸ</t>
  </si>
  <si>
    <t>JCL116DM</t>
  </si>
  <si>
    <t>富士通 ﾄﾞﾗﾑｶｰﾄﾘｯｼﾞCL116 ﾏｾﾞﾝﾀ</t>
  </si>
  <si>
    <t>JCL116DY</t>
  </si>
  <si>
    <t>富士通 ﾄﾞﾗﾑｶｰﾄﾘｯｼﾞCL116 ｲｴﾛｰ</t>
  </si>
  <si>
    <t>JCL117C</t>
  </si>
  <si>
    <t>富士通 ﾄﾅｰｶｰﾄﾘｯｼﾞCL117 ｼｱﾝ</t>
  </si>
  <si>
    <t>JCL117K</t>
  </si>
  <si>
    <t>富士通 ﾄﾅｰｶｰﾄﾘｯｼﾞCL117 ﾌﾞﾗｯｸ</t>
  </si>
  <si>
    <t>JCL117M</t>
  </si>
  <si>
    <t>富士通 ﾄﾅｰｶｰﾄﾘｯｼﾞCL117 ﾏｾﾞﾝﾀ</t>
  </si>
  <si>
    <t>JCL117Y</t>
  </si>
  <si>
    <t>富士通 ﾄﾅｰｶｰﾄﾘｯｼﾞCL117 ｲｴﾛｰ</t>
  </si>
  <si>
    <t>JCM310Z</t>
  </si>
  <si>
    <t>XEROX 複合機 DocuPrint CM310z  NL300062</t>
  </si>
  <si>
    <t>JCM310Z2</t>
  </si>
  <si>
    <t>XEROX 複合機 DocuPrint CM310 z II  NL300069</t>
  </si>
  <si>
    <t>JCM991A</t>
  </si>
  <si>
    <t>HP HP761 ｲﾝｸｶｰﾄﾘｯｼﾞ ﾏｯﾄﾌﾞﾗｯｸ 400ml CM991A</t>
  </si>
  <si>
    <t>JCM992A</t>
  </si>
  <si>
    <t>HP HP761 ｲﾝｸｶｰﾄﾘｯｼﾞ ｲｴﾛｰ 400ml CM992A</t>
  </si>
  <si>
    <t>JCM993A</t>
  </si>
  <si>
    <t>HP HP761 ｲﾝｸｶｰﾄﾘｯｼﾞ ﾏｾﾞﾝﾀ 400ml CM993A</t>
  </si>
  <si>
    <t>JCM994A</t>
  </si>
  <si>
    <t>HP HP761 ｲﾝｸｶｰﾄﾘｯｼﾞ ｼｱﾝ 400ml CM994A</t>
  </si>
  <si>
    <t>JCM995A</t>
  </si>
  <si>
    <t>HP HP761 ｲﾝｸｶｰﾄﾘｯｼﾞ ｸﾞﾚｰ 400ml CM995A</t>
  </si>
  <si>
    <t>JCM996A</t>
  </si>
  <si>
    <t>HP HP761 ｲﾝｸｶｰﾄﾘｯｼﾞ ﾀﾞｰｸｸﾞﾚｰ 400ml CM996A</t>
  </si>
  <si>
    <t>JCM997A</t>
  </si>
  <si>
    <t>HP HP761 ｲﾝｸｶｰﾄﾘｯｼﾞ ﾏｯﾄﾌﾞﾗｯｸ 775ml CM997A</t>
  </si>
  <si>
    <t>JCMP305</t>
  </si>
  <si>
    <t>RICOH MPﾄﾅｰｷｯﾄ 305 ﾌﾞﾗｯｸ</t>
  </si>
  <si>
    <t>JCN053AJ</t>
  </si>
  <si>
    <t>HP 932XL ｲﾝｸｶｰﾄﾘｯｼﾞ　黒 増量 CN053AA</t>
  </si>
  <si>
    <t>JCN054AA</t>
  </si>
  <si>
    <t>HP 933XL ｲﾝｸｶｰﾄﾘｯｼﾞ　ｼｱﾝ 増量 CN054AA</t>
  </si>
  <si>
    <t>JCN055AA</t>
  </si>
  <si>
    <t>HP 933XL ｲﾝｸｶｰﾄﾘｯｼﾞ　ﾏｾﾞﾝﾀ 増量 CN055AA</t>
  </si>
  <si>
    <t>JCN056AA</t>
  </si>
  <si>
    <t>HP 933XL ｲﾝｸｶｰﾄﾘｯｼﾞ　ｲｴﾛｰ 増量 CN056AA</t>
  </si>
  <si>
    <t>JCN30TSCG</t>
  </si>
  <si>
    <t>JCN30TSKG</t>
  </si>
  <si>
    <t>JCN30TSMG</t>
  </si>
  <si>
    <t>JCN30TSYG</t>
  </si>
  <si>
    <t>JCN625AA</t>
  </si>
  <si>
    <t>HP 970XL ｲﾝｸｶｰﾄﾘｯｼﾞ CN625AA 黒 増量</t>
  </si>
  <si>
    <t>JCN626AA</t>
  </si>
  <si>
    <t>HP 971XL ｲﾝｸｶｰﾄﾘｯｼﾞ CN626AA ｼｱﾝ 増量</t>
  </si>
  <si>
    <t>JCN627AA</t>
  </si>
  <si>
    <t>HP 971XL ｲﾝｸｶｰﾄﾘｯｼﾞ CN627AA ﾏｾﾞﾝﾀ 増量</t>
  </si>
  <si>
    <t>JCN628AA</t>
  </si>
  <si>
    <t>HP 971XL ｲﾝｸｶｰﾄﾘｯｼﾞ CN628AA ｲｴﾛｰ 増量</t>
  </si>
  <si>
    <t>JCN629A</t>
  </si>
  <si>
    <t>HP  HP772 ｲﾝｸｶｰﾄﾘｯｼﾞ CN629A ﾏｾﾞﾝﾀ 300ml</t>
  </si>
  <si>
    <t>JCN630A</t>
  </si>
  <si>
    <t>HP  HP772 ｲﾝｸｶｰﾄﾘｯｼﾞ CN630A ｲｴﾛｰ 300ml</t>
  </si>
  <si>
    <t>JCN631A</t>
  </si>
  <si>
    <t>HP  HP772 ｲﾝｸｶｰﾄﾘｯｼﾞ CN631A ﾗｲﾄﾏｾﾞﾝﾀ300ml</t>
  </si>
  <si>
    <t>JCN632A</t>
  </si>
  <si>
    <t>HP  HP772 ｲﾝｸｶｰﾄﾘｯｼﾞ CN632A ﾗｲﾄｼｱﾝ 300ml</t>
  </si>
  <si>
    <t>JCN633A</t>
  </si>
  <si>
    <t>HP  HP772 ｲﾝｸｶｰﾄﾘｯｼﾞ CN633A ﾌｫﾄﾌﾞﾗｯｸ 300ml</t>
  </si>
  <si>
    <t>JCN634A</t>
  </si>
  <si>
    <t>HP  HP772 ｲﾝｸｶｰﾄﾘｯｼﾞ CN634A ﾗｲﾄｸﾞﾚｰ 300ml</t>
  </si>
  <si>
    <t>JCN635A</t>
  </si>
  <si>
    <t>HP  HP772 ｲﾝｸｶｰﾄﾘｯｼﾞ CN635A ﾏｯﾄﾌﾞﾗｯｸ 300ml</t>
  </si>
  <si>
    <t>JCN636A</t>
  </si>
  <si>
    <t>HP  HP772 ｲﾝｸｶｰﾄﾘｯｼﾞ CN636A ｼｱﾝ 300ml</t>
  </si>
  <si>
    <t>JCNPG71BK</t>
  </si>
  <si>
    <t>CANON ﾄﾅｰｶｰﾄﾘｯｼﾞ NPG-71 ﾌﾞﾗｯｸ</t>
  </si>
  <si>
    <t>JCP310DE2</t>
  </si>
  <si>
    <t>XEROX ﾚｰｻﾞｰﾌﾟﾘﾝﾀｰ DocuPrint CP310 dw II   NL300070</t>
  </si>
  <si>
    <t>JCP3322</t>
  </si>
  <si>
    <t>XEROX ﾚｰｻﾞｰﾌﾟﾘﾝﾀｰ ApeosPort-VII CP3322  NL300079</t>
  </si>
  <si>
    <t>JCP4422</t>
  </si>
  <si>
    <t>XEROX ﾚｰｻﾞｰﾌﾟﾘﾝﾀｰ ApeosPort-VII CP4422  NL300078</t>
  </si>
  <si>
    <t>JCP500D</t>
  </si>
  <si>
    <t>XEROX ﾚｰｻﾞｰﾌﾟﾘﾝﾀｰ DocuPrint CP500 d  NC100553</t>
  </si>
  <si>
    <t>JCRR396</t>
  </si>
  <si>
    <t>RICOH  ﾘﾎﾞﾝｶｰﾄﾘｯｼﾞ 5577-M03/05 用 CRR396</t>
  </si>
  <si>
    <t>JCRR397</t>
  </si>
  <si>
    <t>RICOH  ｻﾌﾞﾘﾎﾞﾝ5577-M03/05 2個/箱 CRR397</t>
  </si>
  <si>
    <t>JCS410</t>
  </si>
  <si>
    <t>JCS410A</t>
  </si>
  <si>
    <t>[在庫限り終息]京セラ CS-410 A</t>
  </si>
  <si>
    <t>JCS411B</t>
  </si>
  <si>
    <t>-在庫限り終息-京セラ CS-411B</t>
  </si>
  <si>
    <t>JCS420A</t>
  </si>
  <si>
    <t>京セラ CS-420 A</t>
  </si>
  <si>
    <t>JCS421B</t>
  </si>
  <si>
    <t>京セラ CS-421 B</t>
  </si>
  <si>
    <t>JCS430A</t>
  </si>
  <si>
    <t>京セラ CS-430 A</t>
  </si>
  <si>
    <t>JCS431B</t>
  </si>
  <si>
    <t>京セラ CS-431 B</t>
  </si>
  <si>
    <t>JCS470</t>
  </si>
  <si>
    <t>京セラ CS-470</t>
  </si>
  <si>
    <t>JCS471</t>
  </si>
  <si>
    <t>京セラ CS-471</t>
  </si>
  <si>
    <t>JCS601</t>
  </si>
  <si>
    <t>京セラ CS-601</t>
  </si>
  <si>
    <t>JCS6106</t>
  </si>
  <si>
    <t>京セラ CS-6106</t>
  </si>
  <si>
    <t>JCS6116</t>
  </si>
  <si>
    <t>京セラ CS-6116</t>
  </si>
  <si>
    <t>JCS8116C</t>
  </si>
  <si>
    <t>京セラ CS-8116 ｼｱﾝ</t>
  </si>
  <si>
    <t>JCS8116K</t>
  </si>
  <si>
    <t>京セラ CS-8116 ﾌﾞﾗｯｸ</t>
  </si>
  <si>
    <t>JCS8116M</t>
  </si>
  <si>
    <t>京セラ CS-8116 ﾏｾﾞﾝﾀ</t>
  </si>
  <si>
    <t>JCS8116Y</t>
  </si>
  <si>
    <t>京セラ CS-8116 ｲｴﾛｰ</t>
  </si>
  <si>
    <t>JCS890C</t>
  </si>
  <si>
    <t>京セラ CS-890 ｼｱﾝ</t>
  </si>
  <si>
    <t>JCS890K</t>
  </si>
  <si>
    <t>京セラ CS-890 ﾌﾞﾗｯｸ</t>
  </si>
  <si>
    <t>JCS890M</t>
  </si>
  <si>
    <t>京セラ CS-890 ﾏｾﾞﾝﾀ</t>
  </si>
  <si>
    <t>JCS890Y</t>
  </si>
  <si>
    <t>京セラ CS-890 ｲｴﾛｰ</t>
  </si>
  <si>
    <t>JCT07</t>
  </si>
  <si>
    <t>CANON ｶｯﾀｰﾌﾞﾚｰﾄﾞ CT-07 1155C001</t>
  </si>
  <si>
    <t>JCT08</t>
  </si>
  <si>
    <t>CANON ｶｯﾀｰﾌﾞﾚｰﾄﾞ CT-08  1155C002</t>
  </si>
  <si>
    <t>JCT200251</t>
  </si>
  <si>
    <t>JCT200252</t>
  </si>
  <si>
    <t>JCT200253</t>
  </si>
  <si>
    <t>JCT200254</t>
  </si>
  <si>
    <t>JCT200255</t>
  </si>
  <si>
    <t>JCT200256</t>
  </si>
  <si>
    <t>JCT200257</t>
  </si>
  <si>
    <t>JCT200258</t>
  </si>
  <si>
    <t>JCT200393</t>
  </si>
  <si>
    <t>ﾘｻｲｸﾙﾄﾅｰ CT200393 ﾌﾞﾗｯｸ</t>
  </si>
  <si>
    <t>再生</t>
  </si>
  <si>
    <t>JCT200395</t>
  </si>
  <si>
    <t>ﾘｻｲｸﾙﾄﾅｰ CT200395 ﾏｾﾞﾝﾀ</t>
  </si>
  <si>
    <t>JCT200414</t>
  </si>
  <si>
    <t>JCT200611</t>
  </si>
  <si>
    <t>JCT200612</t>
  </si>
  <si>
    <t>JCT200613</t>
  </si>
  <si>
    <t>JCT200614</t>
  </si>
  <si>
    <t>JCT200647</t>
  </si>
  <si>
    <t>XEROX CT200647(在庫限り)</t>
  </si>
  <si>
    <t>JCT200706</t>
  </si>
  <si>
    <t>XEROX CT200706 ﾌﾞﾗｯｸ</t>
  </si>
  <si>
    <t>JCT200707</t>
  </si>
  <si>
    <t>XEROX CT200707 ｼｱﾝ</t>
  </si>
  <si>
    <t>JCT200708</t>
  </si>
  <si>
    <t>XEROX CT200708 ﾏｾﾞﾝﾀ</t>
  </si>
  <si>
    <t>JCT200709</t>
  </si>
  <si>
    <t>XEROX CT200709 ｲｴﾛｰ</t>
  </si>
  <si>
    <t>JCT200710</t>
  </si>
  <si>
    <t>XEROX CT200710 大容量ﾌﾞﾗｯｸ</t>
  </si>
  <si>
    <t>JCT200711</t>
  </si>
  <si>
    <t>XEROX CT200711 大容量ｼｱﾝ</t>
  </si>
  <si>
    <t>JCT200712</t>
  </si>
  <si>
    <t>XEROX CT200712 大容量ﾏｾﾞﾝﾀ</t>
  </si>
  <si>
    <t>JCT200713</t>
  </si>
  <si>
    <t>XEROX CT200713 大容量ｲｴﾛｰ</t>
  </si>
  <si>
    <t>JCT200820</t>
  </si>
  <si>
    <t>JCT200821</t>
  </si>
  <si>
    <t>JCT200823</t>
  </si>
  <si>
    <t>JCT200852</t>
  </si>
  <si>
    <t>JCT200853</t>
  </si>
  <si>
    <t>JCT200854</t>
  </si>
  <si>
    <t>JCT200855</t>
  </si>
  <si>
    <t>JCT200915</t>
  </si>
  <si>
    <t>【2021/5生産終了】XEROX CT200915 ﾄﾅｰｶｰﾄﾘｯｼﾞ(3.5K)</t>
  </si>
  <si>
    <t>JCT200916</t>
  </si>
  <si>
    <t>【2021/5生産終了】XEROX CT200916 ﾄﾅｰｶｰﾄﾘｯｼﾞ(7.0K)</t>
  </si>
  <si>
    <t>JCT201086</t>
  </si>
  <si>
    <t>JCT201087</t>
  </si>
  <si>
    <t>JCT201088</t>
  </si>
  <si>
    <t>JCT201089</t>
  </si>
  <si>
    <t>JCT201090</t>
  </si>
  <si>
    <t>JCT201091</t>
  </si>
  <si>
    <t>JCT201092</t>
  </si>
  <si>
    <t>JCT201093</t>
  </si>
  <si>
    <t>JCT201125</t>
  </si>
  <si>
    <t>XEROX CT201125 ﾌﾞﾗｯｸ</t>
  </si>
  <si>
    <t>JCT201126</t>
  </si>
  <si>
    <t>XEROX CT201126 ｼｱﾝ</t>
  </si>
  <si>
    <t>JCT201127</t>
  </si>
  <si>
    <t>XEROX CT201127 ﾏｾﾞﾝﾀ</t>
  </si>
  <si>
    <t>JCT201128</t>
  </si>
  <si>
    <t>XEROX CT201128 ｲｴﾛｰ</t>
  </si>
  <si>
    <t>JCT201129</t>
  </si>
  <si>
    <t>XEROX CT201129 大容量ﾌﾞﾗｯｸ(15K)</t>
  </si>
  <si>
    <t>JCT201130</t>
  </si>
  <si>
    <t>XEROX CT201130 大容量ｼｱﾝ(12K)</t>
  </si>
  <si>
    <t>JCT201131</t>
  </si>
  <si>
    <t>XEROX CT201131 大容量ﾏｾﾞﾝﾀ(12K)</t>
  </si>
  <si>
    <t>JCT201132</t>
  </si>
  <si>
    <t>XEROX CT201132 大容量ｲｴﾛｰ(12K)</t>
  </si>
  <si>
    <t>JCT201199</t>
  </si>
  <si>
    <t>【2021/5生産終了】XEROX CT201199 ﾄﾅｰｶｰﾄﾘｯｼﾞ</t>
  </si>
  <si>
    <t>JCT201205</t>
  </si>
  <si>
    <t>XEROX CT201205 ﾌﾞﾗｯｸ</t>
  </si>
  <si>
    <t>JCT201206</t>
  </si>
  <si>
    <t>XEROX CT201206 ｼｱﾝ</t>
  </si>
  <si>
    <t>JCT201207</t>
  </si>
  <si>
    <t>XEROX CT201207 ﾏｾﾞﾝﾀ</t>
  </si>
  <si>
    <t>JCT201208</t>
  </si>
  <si>
    <t>XEROX CT201208 ｲｴﾛｰ</t>
  </si>
  <si>
    <t>JCT201225</t>
  </si>
  <si>
    <t>JCT201276</t>
  </si>
  <si>
    <t>-在庫限り終息- XEROX CT201276 大容量ﾌﾞﾗｯｸ(3K)</t>
  </si>
  <si>
    <t>JCT201360</t>
  </si>
  <si>
    <t>XEROX CT201360 ﾌﾞﾗｯｸ</t>
  </si>
  <si>
    <t>JCT201361</t>
  </si>
  <si>
    <t>XEROX CT201361 ｼｱﾝ</t>
  </si>
  <si>
    <t>JCT201362</t>
  </si>
  <si>
    <t>XEROX CT201362 ﾏｾﾞﾝﾀ</t>
  </si>
  <si>
    <t>JCT201363</t>
  </si>
  <si>
    <t>XEROX CT201363 ｲｴﾛｰ</t>
  </si>
  <si>
    <t>JCT201398</t>
  </si>
  <si>
    <t>JCT201399</t>
  </si>
  <si>
    <t>JCT201400</t>
  </si>
  <si>
    <t>JCT201401</t>
  </si>
  <si>
    <t>JCT201402</t>
  </si>
  <si>
    <t>JCT201403</t>
  </si>
  <si>
    <t>JCT201404</t>
  </si>
  <si>
    <t>JCT201405</t>
  </si>
  <si>
    <t>JCT201444</t>
  </si>
  <si>
    <t>XEROX CT201444 ﾌﾞﾗｯｸ</t>
  </si>
  <si>
    <t>JCT201445</t>
  </si>
  <si>
    <t>XEROX CT201445 ｼｱﾝ</t>
  </si>
  <si>
    <t>JCT201446</t>
  </si>
  <si>
    <t>XEROX CT201446 ﾏｾﾞﾝﾀ</t>
  </si>
  <si>
    <t>JCT201447</t>
  </si>
  <si>
    <t>XEROX CT201447 ｲｴﾛｰ</t>
  </si>
  <si>
    <t>JCT201582</t>
  </si>
  <si>
    <t>富士ﾌｲﾙﾑ  CT201582 ﾌﾞﾗｯｸ</t>
  </si>
  <si>
    <t>JCT201583</t>
  </si>
  <si>
    <t>富士ﾌｲﾙﾑ  CT201583 ｼｱﾝ</t>
  </si>
  <si>
    <t>JCT201584</t>
  </si>
  <si>
    <t>富士ﾌｲﾙﾑ  CT201584 ﾏｾﾞﾝﾀ</t>
  </si>
  <si>
    <t>JCT201585</t>
  </si>
  <si>
    <t>富士ﾌｲﾙﾑ  CT201585 ｲｴﾛｰ</t>
  </si>
  <si>
    <t>JCT201614</t>
  </si>
  <si>
    <t>XEROX CT201614 ﾌﾞﾗｯｸ</t>
  </si>
  <si>
    <t>JCT201615</t>
  </si>
  <si>
    <t>XEROX CT201615 ｼｱﾝ</t>
  </si>
  <si>
    <t>JCT201616</t>
  </si>
  <si>
    <t>XEROX CT201616 ﾏｾﾞﾝﾀ</t>
  </si>
  <si>
    <t>JCT201617</t>
  </si>
  <si>
    <t>XEROX CT201617 ｲｴﾛｰ</t>
  </si>
  <si>
    <t>JCT201688</t>
  </si>
  <si>
    <t>XEROX CT201688 ﾌﾞﾗｯｸ</t>
  </si>
  <si>
    <t>JCT201689</t>
  </si>
  <si>
    <t>XEROX CT201689 ｼｱﾝ</t>
  </si>
  <si>
    <t>JCT201690</t>
  </si>
  <si>
    <t>XEROX CT201690 ﾏｾﾞﾝﾀﾞ</t>
  </si>
  <si>
    <t>JCT201691</t>
  </si>
  <si>
    <t>XEROX CT201691 ｲｴﾛｰ</t>
  </si>
  <si>
    <t>JCT201696</t>
  </si>
  <si>
    <t>【2021/5生産終了】XEROX CT201696 ﾄﾅｰｶｰﾄﾘｯｼﾞ(3K)</t>
  </si>
  <si>
    <t>JCT201697</t>
  </si>
  <si>
    <t>【2021/5生産終了】XEROX CT201697 ﾄﾅｰｶｰﾄﾘｯｼﾞ(8K)</t>
  </si>
  <si>
    <t>JCT201732</t>
  </si>
  <si>
    <t>JCT201757</t>
  </si>
  <si>
    <t>JCT201758</t>
  </si>
  <si>
    <t>JCT201759</t>
  </si>
  <si>
    <t>JCT201760</t>
  </si>
  <si>
    <t>JCT201761</t>
  </si>
  <si>
    <t>JCT201762</t>
  </si>
  <si>
    <t>JCT201763</t>
  </si>
  <si>
    <t>JCT201764</t>
  </si>
  <si>
    <t>JCT201778</t>
  </si>
  <si>
    <t>XEROX CT201778</t>
  </si>
  <si>
    <t>JCT201779</t>
  </si>
  <si>
    <t>XEROX CT201779</t>
  </si>
  <si>
    <t>JCT201823</t>
  </si>
  <si>
    <t>JCT201824</t>
  </si>
  <si>
    <t>JCT201826</t>
  </si>
  <si>
    <t>XEROX CT201826 ﾄﾅｰｶｰﾄﾘｯｼﾞ</t>
  </si>
  <si>
    <t>JCT201916</t>
  </si>
  <si>
    <t>XEROX CT201916</t>
  </si>
  <si>
    <t>JCT20192</t>
  </si>
  <si>
    <t>JCT202050</t>
  </si>
  <si>
    <t>XEROX CT202050 ﾌﾞﾗｯｸ</t>
  </si>
  <si>
    <t>JCT202051</t>
  </si>
  <si>
    <t>XEROX CT202051 ｼｱﾝ</t>
  </si>
  <si>
    <t>JCT202052</t>
  </si>
  <si>
    <t>XEROX CT202052 ﾏｾﾞﾝﾀ</t>
  </si>
  <si>
    <t>JCT202053</t>
  </si>
  <si>
    <t>XEROX CT202053 ｲｴﾛｰ</t>
  </si>
  <si>
    <t>JCT202054</t>
  </si>
  <si>
    <t>XEROX CT202054 大容量ﾌﾞﾗｯｸ</t>
  </si>
  <si>
    <t>JCT202055</t>
  </si>
  <si>
    <t>XEROX CT202055 大容量ｼｱﾝ</t>
  </si>
  <si>
    <t>JCT202056</t>
  </si>
  <si>
    <t>XEROX CT202056 大容量ﾏｾﾞﾝﾀ</t>
  </si>
  <si>
    <t>JCT202057</t>
  </si>
  <si>
    <t>XEROX CT202057 大容量ｲｴﾛｰ</t>
  </si>
  <si>
    <t>JCT202073</t>
  </si>
  <si>
    <t>XEROX CT202073 ﾄﾅｰｶｰﾄﾘｯｼﾞ</t>
  </si>
  <si>
    <t>JCT202074</t>
  </si>
  <si>
    <t>XEROX CT202074 ﾄﾅｰｶｰﾄﾘｯｼﾞ</t>
  </si>
  <si>
    <t>JCT202077</t>
  </si>
  <si>
    <t>XEROX CT202077 ﾄﾅｰｶｰﾄﾘｯｼﾞ</t>
  </si>
  <si>
    <t>JCT202078</t>
  </si>
  <si>
    <t>XEROX CT202078 ﾄﾅｰｶｰﾄﾘｯｼﾞ</t>
  </si>
  <si>
    <t>JCT202085</t>
  </si>
  <si>
    <t>XEROX CT202085 ﾌﾞﾗｯｸ</t>
  </si>
  <si>
    <t>JCT202086</t>
  </si>
  <si>
    <t>XEROX CT202086 ｼｱﾝ</t>
  </si>
  <si>
    <t>JCT202087</t>
  </si>
  <si>
    <t>XEROX CT202087 ﾏｾﾞﾝﾀ</t>
  </si>
  <si>
    <t>JCT202088</t>
  </si>
  <si>
    <t>XEROX CT202088 ｲｴﾛｰ</t>
  </si>
  <si>
    <t>JCT202089</t>
  </si>
  <si>
    <t>XEROX CT202089 大容量ﾌﾞﾗｯｸ</t>
  </si>
  <si>
    <t>JCT202090</t>
  </si>
  <si>
    <t>XEROX CT202090 大容量ｼｱﾝ</t>
  </si>
  <si>
    <t>JCT202091</t>
  </si>
  <si>
    <t>XEROX CT202091 大容量ﾏｾﾞﾝﾀ</t>
  </si>
  <si>
    <t>JCT202092</t>
  </si>
  <si>
    <t>XEROX CT202092 大容量ｲｴﾛｰ</t>
  </si>
  <si>
    <t>JCT202334</t>
  </si>
  <si>
    <t>XEROX CT202334</t>
  </si>
  <si>
    <t>JCT202342</t>
  </si>
  <si>
    <t>XEROX CT202342 ﾄﾅｰｶｰﾄﾘｯｼﾞ</t>
  </si>
  <si>
    <t>JCT202368</t>
  </si>
  <si>
    <t>XEROX ﾄﾅｰｶｰﾄﾘｯｼﾞ CT202368 BK</t>
  </si>
  <si>
    <t>JCT202369</t>
  </si>
  <si>
    <t>XEROX ﾄﾅｰｶｰﾄﾘｯｼﾞ CT202369 C</t>
  </si>
  <si>
    <t>JCT202370</t>
  </si>
  <si>
    <t>XEROX ﾄﾅｰｶｰﾄﾘｯｼﾞ CT202370 M</t>
  </si>
  <si>
    <t>JCT202371</t>
  </si>
  <si>
    <t>XEROX ﾄﾅｰｶｰﾄﾘｯｼﾞ CT202371 Y</t>
  </si>
  <si>
    <t>JCT202400</t>
  </si>
  <si>
    <t>JCT202401</t>
  </si>
  <si>
    <t>JCT202402</t>
  </si>
  <si>
    <t>JCT202403</t>
  </si>
  <si>
    <t>JCT202451</t>
  </si>
  <si>
    <t>XEROX CT202451 ﾌﾞﾗｯｸ</t>
  </si>
  <si>
    <t>JCT202452</t>
  </si>
  <si>
    <t>XEROX CT202452 ｼｱﾝ</t>
  </si>
  <si>
    <t>JCT202453</t>
  </si>
  <si>
    <t>XEROX CT202453 ﾏｾﾞﾝﾀ</t>
  </si>
  <si>
    <t>JCT202454</t>
  </si>
  <si>
    <t>XEROX CT202454 ｲｴﾛｰ</t>
  </si>
  <si>
    <t>JCT202455</t>
  </si>
  <si>
    <t>XEROX CT202455 ﾌﾞﾗｯｸ2本</t>
  </si>
  <si>
    <t>JCT202456</t>
  </si>
  <si>
    <t>XEROX CT202456 ｼｱﾝ2本</t>
  </si>
  <si>
    <t>JCT202457</t>
  </si>
  <si>
    <t>XEROX CT202457 ﾏｾﾞﾝﾀ2本</t>
  </si>
  <si>
    <t>JCT202458</t>
  </si>
  <si>
    <t>XEROX CT202458 ｲｴﾛｰ2本</t>
  </si>
  <si>
    <t>JCT202459</t>
  </si>
  <si>
    <t>XEROX CT202459 ﾌﾞﾗｯｸ</t>
  </si>
  <si>
    <t>JCT202460</t>
  </si>
  <si>
    <t>XEROX CT202460 ｼｱﾝ</t>
  </si>
  <si>
    <t>JCT202461</t>
  </si>
  <si>
    <t>XEROX CT202461 ﾏｾﾞﾝﾀ</t>
  </si>
  <si>
    <t>JCT202462</t>
  </si>
  <si>
    <t>XEROX CT202462 ｲｴﾛｰ</t>
  </si>
  <si>
    <t>JCT202463</t>
  </si>
  <si>
    <t>XEROX CT202463 ﾌﾞﾗｯｸ2本</t>
  </si>
  <si>
    <t>JCT202464</t>
  </si>
  <si>
    <t>XEROX CT202464 ｼｱﾝ2本</t>
  </si>
  <si>
    <t>JCT202465</t>
  </si>
  <si>
    <t>XEROX CT202465 ﾏｾﾞﾝﾀ2本</t>
  </si>
  <si>
    <t>JCT202466</t>
  </si>
  <si>
    <t>XEROX CT202466 ｲｴﾛｰ2本</t>
  </si>
  <si>
    <t>JCT202505</t>
  </si>
  <si>
    <t>富士ﾌｨﾙﾑ CT202505</t>
  </si>
  <si>
    <t>JCT202630</t>
  </si>
  <si>
    <t>富士ﾌｲﾙﾑ CT202630 ﾌﾞﾗｯｸ</t>
  </si>
  <si>
    <t>JCT202631</t>
  </si>
  <si>
    <t>富士ﾌｲﾙﾑ CT202631 ｼｱﾝ</t>
  </si>
  <si>
    <t>JCT202632</t>
  </si>
  <si>
    <t>富士ﾌｲﾙﾑ CT202632 ﾏｾﾞﾝﾀ</t>
  </si>
  <si>
    <t>JCT202633</t>
  </si>
  <si>
    <t>富士ﾌｲﾙﾑ CT202633 ｲｴﾛｰ</t>
  </si>
  <si>
    <t>JCT202673</t>
  </si>
  <si>
    <t>XEROX CT202673 ﾌﾞﾗｯｸ</t>
  </si>
  <si>
    <t>JCT202674</t>
  </si>
  <si>
    <t>XEROX CT202674 ｼｱﾝ</t>
  </si>
  <si>
    <t>JCT202675</t>
  </si>
  <si>
    <t>XEROX CT202675 ﾏｾﾞﾝﾀ</t>
  </si>
  <si>
    <t>JCT202676</t>
  </si>
  <si>
    <t>XEROX CT202676 ｲｴﾛｰ</t>
  </si>
  <si>
    <t>JCT202677</t>
  </si>
  <si>
    <t>XEROX CT202677 ﾌﾞﾗｯｸ</t>
  </si>
  <si>
    <t>JCT202678</t>
  </si>
  <si>
    <t>XEROX CT202678 ｼｱﾝ</t>
  </si>
  <si>
    <t>JCT202679</t>
  </si>
  <si>
    <t>XEROX CT202679 ﾏｾﾞﾝﾀ</t>
  </si>
  <si>
    <t>JCT202680</t>
  </si>
  <si>
    <t>XEROX CT202680 ｲｴﾛｰ</t>
  </si>
  <si>
    <t>JCT202681</t>
  </si>
  <si>
    <t>XEROX CT202681 ﾌﾞﾗｯｸ大容量</t>
  </si>
  <si>
    <t>JCT202682</t>
  </si>
  <si>
    <t>XEROX CT202682 ｼｱﾝ大容量</t>
  </si>
  <si>
    <t>JCT202683</t>
  </si>
  <si>
    <t>XEROX CT202683 ﾏｾﾞﾝﾀ大容量</t>
  </si>
  <si>
    <t>JCT202684</t>
  </si>
  <si>
    <t>XEROX CT202684 ｲｴﾛｰ大容量</t>
  </si>
  <si>
    <t>JCT202728</t>
  </si>
  <si>
    <t>XEROX CT202728 ﾌﾞﾗｯｸ</t>
  </si>
  <si>
    <t>JCT202729</t>
  </si>
  <si>
    <t>XEROX CT202729 ｼｱﾝ</t>
  </si>
  <si>
    <t>JCT202730</t>
  </si>
  <si>
    <t>XEROX CT202730 ﾏｾﾞﾝﾀ</t>
  </si>
  <si>
    <t>JCT202731</t>
  </si>
  <si>
    <t>XEROX CT202731 ｲｴﾛｰ</t>
  </si>
  <si>
    <t>JCT203053</t>
  </si>
  <si>
    <t>XEROX CT203053 ﾌﾞﾗｯｸ</t>
  </si>
  <si>
    <t>JCT203054</t>
  </si>
  <si>
    <t>XEROX CT203054 ｼｱﾝ</t>
  </si>
  <si>
    <t>JCT203055</t>
  </si>
  <si>
    <t>XEROX CT203055 ﾏｾﾞﾝﾀ</t>
  </si>
  <si>
    <t>JCT203056</t>
  </si>
  <si>
    <t>XEROX CT203056 ｲｴﾛｰ</t>
  </si>
  <si>
    <t>JCT203057</t>
  </si>
  <si>
    <t>XEROX CT203057 大容量ﾌﾞﾗｯｸ</t>
  </si>
  <si>
    <t>JCT203058</t>
  </si>
  <si>
    <t>XEROX CT203058 大容量ｼｱﾝ</t>
  </si>
  <si>
    <t>JCT203059</t>
  </si>
  <si>
    <t>XEROX CT203059 大容量ﾏｾﾞﾝﾀ</t>
  </si>
  <si>
    <t>JCT203060</t>
  </si>
  <si>
    <t>XEROX CT203060 大容量ｲｴﾛｰ</t>
  </si>
  <si>
    <t>JCT203090</t>
  </si>
  <si>
    <t>XEROX CT203090 ﾄﾅｰｶｰﾄﾘｯｼﾞ</t>
  </si>
  <si>
    <t>JCT203091</t>
  </si>
  <si>
    <t>XEROX CT203091 ﾄﾅｰｶｰﾄﾘｯｼﾞ</t>
  </si>
  <si>
    <t>JCT203092</t>
  </si>
  <si>
    <t>XEROX CT203092 ﾄﾅｰｶｰﾄﾘｯｼﾞ</t>
  </si>
  <si>
    <t>JCT203113</t>
  </si>
  <si>
    <t>XEROX CT203113 ﾄﾅｰｶｰﾄﾘｯｼﾞ</t>
  </si>
  <si>
    <t>JCT203114</t>
  </si>
  <si>
    <t>XEROX CT203114 ﾄﾅｰｶｰﾄﾘｯｼﾞ</t>
  </si>
  <si>
    <t>JCT203138</t>
  </si>
  <si>
    <t>富士ﾌｲﾙﾑ  CT203138 ﾌﾞﾗｯｸ</t>
  </si>
  <si>
    <t>JCT203139</t>
  </si>
  <si>
    <t>富士ﾌｲﾙﾑ  CT203139 ｼｱﾝ</t>
  </si>
  <si>
    <t>JCT203140</t>
  </si>
  <si>
    <t>富士ﾌｲﾙﾑ  CT203140 ﾏｾﾞﾝﾀ</t>
  </si>
  <si>
    <t>JCT203141</t>
  </si>
  <si>
    <t>富士ﾌｲﾙﾑ  CT203141 ｲｴﾛｰ</t>
  </si>
  <si>
    <t>JCT203169</t>
  </si>
  <si>
    <t>XEROX CT203169 ﾌﾞﾗｯｸ</t>
  </si>
  <si>
    <t>JCT203170</t>
  </si>
  <si>
    <t>XEROX CT203170 ｼｱﾝ</t>
  </si>
  <si>
    <t>JCT203171</t>
  </si>
  <si>
    <t>XEROX CT203171 ﾏｾﾞﾝﾀ</t>
  </si>
  <si>
    <t>JCT203172</t>
  </si>
  <si>
    <t>XEROX CT203172 ｲｴﾛｰ</t>
  </si>
  <si>
    <t>JCT203173</t>
  </si>
  <si>
    <t>XEROX CT203173 ﾌﾞﾗｯｸ</t>
  </si>
  <si>
    <t>JCT203174</t>
  </si>
  <si>
    <t>XEROX CT203174 ｼｱﾝ</t>
  </si>
  <si>
    <t>JCT203175</t>
  </si>
  <si>
    <t>XEROX CT203175 ﾏｾﾞﾝﾀ</t>
  </si>
  <si>
    <t>JCT203176</t>
  </si>
  <si>
    <t>XEROX CT203176 ｲｴﾛｰ</t>
  </si>
  <si>
    <t>JCT203177</t>
  </si>
  <si>
    <t>XEROX CT203177 大容量ﾌﾞﾗｯｸ</t>
  </si>
  <si>
    <t>JCT203178</t>
  </si>
  <si>
    <t>XEROX CT203178 大容量ｼｱﾝ</t>
  </si>
  <si>
    <t>JCT203179</t>
  </si>
  <si>
    <t>XEROX CT203179 大容量ﾏｾﾞﾝﾀ</t>
  </si>
  <si>
    <t>JCT203180</t>
  </si>
  <si>
    <t>XEROX CT203180 大容量ｲｴﾛｰ</t>
  </si>
  <si>
    <t>JCT203203</t>
  </si>
  <si>
    <t>XEROX CT203203 ﾌﾞﾗｯｸ</t>
  </si>
  <si>
    <t>JCT203204</t>
  </si>
  <si>
    <t>XEROX CT203204 ｼｱﾝ</t>
  </si>
  <si>
    <t>JCT203205</t>
  </si>
  <si>
    <t>XEROX CT203205 ﾏｾﾞﾝﾀ</t>
  </si>
  <si>
    <t>JCT203206</t>
  </si>
  <si>
    <t>XEROX CT203206 ｲｴﾛｰ</t>
  </si>
  <si>
    <t>JCT203207</t>
  </si>
  <si>
    <t>XEROX CT203207 ﾌﾞﾗｯｸ</t>
  </si>
  <si>
    <t>JCT203208</t>
  </si>
  <si>
    <t>XEROX CT203208 ｼｱﾝ</t>
  </si>
  <si>
    <t>JCT203209</t>
  </si>
  <si>
    <t>XEROX CT203209 ﾏｾﾞﾝﾀ</t>
  </si>
  <si>
    <t>JCT203210</t>
  </si>
  <si>
    <t>XEROX CT203210 ｲｴﾛｰ</t>
  </si>
  <si>
    <t>JCT203211</t>
  </si>
  <si>
    <t>XEROX CT203211 ﾌﾞﾗｯｸ</t>
  </si>
  <si>
    <t>JCT203212</t>
  </si>
  <si>
    <t>XEROX CT203212 ｼｱﾝ</t>
  </si>
  <si>
    <t>JCT203213</t>
  </si>
  <si>
    <t>XEROX CT203213 ﾏｾﾞﾝﾀ</t>
  </si>
  <si>
    <t>JCT203214</t>
  </si>
  <si>
    <t>XEROX CT203214 ｲｴﾛｰ</t>
  </si>
  <si>
    <t>JCT203215</t>
  </si>
  <si>
    <t>XEROX CT203215 ﾌﾞﾗｯｸ</t>
  </si>
  <si>
    <t>JCT203216</t>
  </si>
  <si>
    <t>XEROX CT203216 ｼｱﾝ</t>
  </si>
  <si>
    <t>JCT203217</t>
  </si>
  <si>
    <t>XEROX CT203217 ﾏｾﾞﾝﾀ</t>
  </si>
  <si>
    <t>JCT203218</t>
  </si>
  <si>
    <t>XEROX CT203218 ｲｴﾛｰ</t>
  </si>
  <si>
    <t>JCT203313</t>
  </si>
  <si>
    <t>XEROX ﾄﾅｰｶｰﾄﾘｯｼﾞ CT203313 ﾌﾞﾗｯｸ</t>
  </si>
  <si>
    <t>JCT203314</t>
  </si>
  <si>
    <t>XEROX ﾄﾅｰｶｰﾄﾘｯｼﾞ CT203314 ｺﾞｰﾙﾄﾞ</t>
  </si>
  <si>
    <t>JCT203315</t>
  </si>
  <si>
    <t>XEROX ﾄﾅｰｶｰﾄﾘｯｼﾞ CT203315 ｼﾙﾊﾞｰ</t>
  </si>
  <si>
    <t>JCT203316</t>
  </si>
  <si>
    <t>XEROX ﾄﾅｰｶｰﾄﾘｯｼﾞ CT203316 ﾎﾜｲﾄ</t>
  </si>
  <si>
    <t>JCT203317</t>
  </si>
  <si>
    <t>XEROX ﾄﾅｰｶｰﾄﾘｯｼﾞ CT203317 ﾌﾞﾗｯｸ</t>
  </si>
  <si>
    <t>JCT203318</t>
  </si>
  <si>
    <t>XEROX ﾄﾅｰｶｰﾄﾘｯｼﾞ CT203318 ｺﾞｰﾙﾄﾞ</t>
  </si>
  <si>
    <t>JCT203319</t>
  </si>
  <si>
    <t>XEROX ﾄﾅｰｶｰﾄﾘｯｼﾞ CT203319 ｼﾙﾊﾞｰ</t>
  </si>
  <si>
    <t>JCT203320</t>
  </si>
  <si>
    <t>XEROX ﾄﾅｰｶｰﾄﾘｯｼﾞ CT203320 ﾎﾜｲﾄ</t>
  </si>
  <si>
    <t>JCT203334</t>
  </si>
  <si>
    <t>XEROX ﾄﾅｰｶｰﾄﾘｯｼﾞ CT203334 ﾌﾞﾗｯｸ</t>
  </si>
  <si>
    <t>JCT203335</t>
  </si>
  <si>
    <t>XEROX ﾄﾅｰｶｰﾄﾘｯｼﾞ CT203335 ｼｱﾝ</t>
  </si>
  <si>
    <t>JCT203336</t>
  </si>
  <si>
    <t>XEROX ﾄﾅｰｶｰﾄﾘｯｼﾞ CT203336 ﾏｾﾞﾝﾀ</t>
  </si>
  <si>
    <t>JCT203337</t>
  </si>
  <si>
    <t>XEROX ﾄﾅｰｶｰﾄﾘｯｼﾞ CT203337 ｲｴﾛｰ</t>
  </si>
  <si>
    <t>JCT203338</t>
  </si>
  <si>
    <t>XEROX ﾄﾅｰｶｰﾄﾘｯｼﾞ CT203338 ﾌﾞﾗｯｸ</t>
  </si>
  <si>
    <t>JCT203339</t>
  </si>
  <si>
    <t>XEROX ﾄﾅｰｶｰﾄﾘｯｼﾞ CT203339 ｼｱﾝ</t>
  </si>
  <si>
    <t>JCT203340</t>
  </si>
  <si>
    <t>XEROX ﾄﾅｰｶｰﾄﾘｯｼﾞ CT203340 ﾏｾﾞﾝﾀ</t>
  </si>
  <si>
    <t>JCT203341</t>
  </si>
  <si>
    <t>XEROX ﾄﾅｰｶｰﾄﾘｯｼﾞ CT203341 ｲｴﾛｰ</t>
  </si>
  <si>
    <t>JCT203363</t>
  </si>
  <si>
    <t>XEROX CT203363 ﾄﾅｰｶｰﾄﾘｯｼﾞ</t>
  </si>
  <si>
    <t>JCT203364</t>
  </si>
  <si>
    <t>XEROX CT203364 ﾄﾅｰｶｰﾄﾘｯｼﾞ</t>
  </si>
  <si>
    <t>JCT203410</t>
  </si>
  <si>
    <t>XEROX ﾄﾅｰｶｰﾄﾘｯｼﾞ CT203410 ﾌﾞﾗｯｸ</t>
  </si>
  <si>
    <t>JCT203411</t>
  </si>
  <si>
    <t>XEROX ﾄﾅｰｶｰﾄﾘｯｼﾞ CT203411 ｼｱﾝ</t>
  </si>
  <si>
    <t>JCT203412</t>
  </si>
  <si>
    <t>XEROX ﾄﾅｰｶｰﾄﾘｯｼﾞ CT203412 ﾏｾﾞﾝﾀ</t>
  </si>
  <si>
    <t>JCT203413</t>
  </si>
  <si>
    <t>XEROX ﾄﾅｰｶｰﾄﾘｯｼﾞ CT203413 ｲｴﾛｰ</t>
  </si>
  <si>
    <t>JCT203418</t>
  </si>
  <si>
    <t>XEROX ﾄﾅｰｶｰﾄﾘｯｼﾞ CT203418 ﾌﾞﾗｯｸ</t>
  </si>
  <si>
    <t>JCT203419</t>
  </si>
  <si>
    <t>XEROX ﾄﾅｰｶｰﾄﾘｯｼﾞ CT203419 ｼｱﾝ</t>
  </si>
  <si>
    <t>JCT203420</t>
  </si>
  <si>
    <t>XEROX ﾄﾅｰｶｰﾄﾘｯｼﾞ CT203420 ﾏｾﾞﾝﾀ</t>
  </si>
  <si>
    <t>JCT203421</t>
  </si>
  <si>
    <t>XEROX ﾄﾅｰｶｰﾄﾘｯｼﾞ CT203421 ｲｴﾛｰ</t>
  </si>
  <si>
    <t>JCT203446</t>
  </si>
  <si>
    <t>富士ﾌｲﾙﾑ ﾄﾅｰｶｰﾄﾘｯｼﾞ CT203446 ﾌﾞﾗｯｸ</t>
  </si>
  <si>
    <t>JCT203447</t>
  </si>
  <si>
    <t>富士ﾌｲﾙﾑ ﾄﾅｰｶｰﾄﾘｯｼﾞ CT203447 ｼｱﾝ</t>
  </si>
  <si>
    <t>JCT203448</t>
  </si>
  <si>
    <t>富士ﾌｲﾙﾑ ﾄﾅｰｶｰﾄﾘｯｼﾞ CT203448 ﾏｾﾞﾝﾀ</t>
  </si>
  <si>
    <t>JCT203449</t>
  </si>
  <si>
    <t>富士ﾌｲﾙﾑ ﾄﾅｰｶｰﾄﾘｯｼﾞ CT203449 ｲｴﾛｰ</t>
  </si>
  <si>
    <t>JCT203481</t>
  </si>
  <si>
    <t>XEROX CT203481</t>
  </si>
  <si>
    <t>JCT203523</t>
  </si>
  <si>
    <t>XEROX CT203523</t>
  </si>
  <si>
    <t>JCT203526</t>
  </si>
  <si>
    <t>XEROX CT203526</t>
  </si>
  <si>
    <t>JCT203532</t>
  </si>
  <si>
    <t>富士フィルム　CT203532 BK</t>
  </si>
  <si>
    <t>JCT203533</t>
  </si>
  <si>
    <t>富士フィルム　CT203533 C</t>
  </si>
  <si>
    <t>JCT203534</t>
  </si>
  <si>
    <t>富士フィルム　CT203534 M</t>
  </si>
  <si>
    <t>JCT203535</t>
  </si>
  <si>
    <t>富士フィルム　CT203535 Y</t>
  </si>
  <si>
    <t>JCT203536</t>
  </si>
  <si>
    <t>富士フィルム　CT203536 BK</t>
  </si>
  <si>
    <t>JCT203537</t>
  </si>
  <si>
    <t>富士フィルム　CT203537 C</t>
  </si>
  <si>
    <t>JCT203538</t>
  </si>
  <si>
    <t>富士フィルム　CT203538 M</t>
  </si>
  <si>
    <t>JCT203539</t>
  </si>
  <si>
    <t>富士フィルム　CT203539 Y</t>
  </si>
  <si>
    <t>JCT203549</t>
  </si>
  <si>
    <t>XEROX CT203549</t>
  </si>
  <si>
    <t>JCT203576</t>
  </si>
  <si>
    <t>富士フィルム　CT203576 BK</t>
  </si>
  <si>
    <t>JCT203577</t>
  </si>
  <si>
    <t>富士フィルム　CT203577 C</t>
  </si>
  <si>
    <t>JCT203578</t>
  </si>
  <si>
    <t>富士フィルム　CT203578 M</t>
  </si>
  <si>
    <t>JCT203579</t>
  </si>
  <si>
    <t>富士フィルム　CT203579 Y</t>
  </si>
  <si>
    <t>JCT203652</t>
  </si>
  <si>
    <t>富士ﾌｨﾙﾑ CT203652 BK</t>
  </si>
  <si>
    <t>JCT203653</t>
  </si>
  <si>
    <t>富士ﾌｨﾙﾑ CT203653 C</t>
  </si>
  <si>
    <t>JCT203654</t>
  </si>
  <si>
    <t>富士ﾌｨﾙﾑ CT203654 M</t>
  </si>
  <si>
    <t>JCT203655</t>
  </si>
  <si>
    <t>富士ﾌｨﾙﾑ CT203655 Y</t>
  </si>
  <si>
    <t>JCT203656</t>
  </si>
  <si>
    <t>富士ﾌｨﾙﾑ CT203656 BK</t>
  </si>
  <si>
    <t>JCT203657</t>
  </si>
  <si>
    <t>富士ﾌｨﾙﾑ CT203657 C</t>
  </si>
  <si>
    <t>JCT203658</t>
  </si>
  <si>
    <t>富士ﾌｨﾙﾑ CT203658 M</t>
  </si>
  <si>
    <t>JCT203659</t>
  </si>
  <si>
    <t>富士ﾌｨﾙﾑ CT203659 Y</t>
  </si>
  <si>
    <t>JCT203667</t>
  </si>
  <si>
    <t>富士ﾌｨﾙﾑ CT203667</t>
  </si>
  <si>
    <t>JCT203668</t>
  </si>
  <si>
    <t>富士ﾌｨﾙﾑ CT203668</t>
  </si>
  <si>
    <t>JCT2037004CL</t>
  </si>
  <si>
    <t>富士ﾌｲﾙﾑ ﾄﾅｰｶｰﾄﾘｯｼﾞ CT203700/203701/203702/203703　4色ｾｯﾄ</t>
  </si>
  <si>
    <t>JCT203883</t>
  </si>
  <si>
    <t>富士ﾌｲﾙﾑ  CT203883 BK</t>
  </si>
  <si>
    <t>JCT203884</t>
  </si>
  <si>
    <t>富士ﾌｲﾙﾑ  CT203884 C</t>
  </si>
  <si>
    <t>JCT203885</t>
  </si>
  <si>
    <t>富士ﾌｲﾙﾑ  CT203885 M</t>
  </si>
  <si>
    <t>JCT203886</t>
  </si>
  <si>
    <t>富士ﾌｲﾙﾑ  CT203886 Y</t>
  </si>
  <si>
    <t>JCT203887</t>
  </si>
  <si>
    <t>富士ﾌｲﾙﾑ  CT203887 BK</t>
  </si>
  <si>
    <t>JCT203888</t>
  </si>
  <si>
    <t>富士ﾌｲﾙﾑ  CT203888 C</t>
  </si>
  <si>
    <t>JCT203889</t>
  </si>
  <si>
    <t>富士ﾌｲﾙﾑ  CT203889 M</t>
  </si>
  <si>
    <t>JCT203890</t>
  </si>
  <si>
    <t>富士ﾌｲﾙﾑ  CT203890 Y</t>
  </si>
  <si>
    <t>JCT203923</t>
  </si>
  <si>
    <t>富士ﾌｲﾙﾑ  CT203923</t>
  </si>
  <si>
    <t>JCT203924</t>
  </si>
  <si>
    <t>富士ﾌｲﾙﾑ  CT203924</t>
  </si>
  <si>
    <t>JCT203925</t>
  </si>
  <si>
    <t>富士ﾌｲﾙﾑ  CT203925</t>
  </si>
  <si>
    <t>JCT203966</t>
  </si>
  <si>
    <t>富士ﾌｲﾙﾑ ﾄﾅｰｶｰﾄﾘｯｼﾞ CT203966 BK</t>
  </si>
  <si>
    <t>JCT203967</t>
  </si>
  <si>
    <t>富士ﾌｲﾙﾑ ﾄﾅｰｶｰﾄﾘｯｼﾞ CT203967 C</t>
  </si>
  <si>
    <t>JCT203968</t>
  </si>
  <si>
    <t>富士ﾌｲﾙﾑ ﾄﾅｰｶｰﾄﾘｯｼﾞ CT203968 M</t>
  </si>
  <si>
    <t>JCT203969</t>
  </si>
  <si>
    <t>富士ﾌｲﾙﾑ ﾄﾅｰｶｰﾄﾘｯｼﾞ CT203969 Y</t>
  </si>
  <si>
    <t>JCT203970</t>
  </si>
  <si>
    <t>富士ﾌｲﾙﾑ ﾄﾅｰｶｰﾄﾘｯｼﾞ CT203970 BK</t>
  </si>
  <si>
    <t>JCT203971</t>
  </si>
  <si>
    <t>富士ﾌｲﾙﾑ ﾄﾅｰｶｰﾄﾘｯｼﾞ CT203971 C</t>
  </si>
  <si>
    <t>JCT203972</t>
  </si>
  <si>
    <t>富士ﾌｲﾙﾑ ﾄﾅｰｶｰﾄﾘｯｼﾞ CT203972 M</t>
  </si>
  <si>
    <t>JCT203973</t>
  </si>
  <si>
    <t>富士ﾌｲﾙﾑ ﾄﾅｰｶｰﾄﾘｯｼﾞ CT203973 Y</t>
  </si>
  <si>
    <t>JCT203995</t>
  </si>
  <si>
    <t>富士ﾌｲﾙﾑ ﾄﾅｰｶｰﾄﾘｯｼﾞ CT203995</t>
  </si>
  <si>
    <t>JCT203996</t>
  </si>
  <si>
    <t>富士ﾌｲﾙﾑ ﾄﾅｰｶｰﾄﾘｯｼﾞ CT203996</t>
  </si>
  <si>
    <t>JCT204316</t>
  </si>
  <si>
    <t>富士ﾌｲﾙﾑ CT204316</t>
  </si>
  <si>
    <t>JCT204317</t>
  </si>
  <si>
    <t>富士ﾌｲﾙﾑ CT204317</t>
  </si>
  <si>
    <t>JCT350101</t>
  </si>
  <si>
    <t>JCT350193</t>
  </si>
  <si>
    <t>JCT350244</t>
  </si>
  <si>
    <t>JCT350245</t>
  </si>
  <si>
    <t>JCT350246</t>
  </si>
  <si>
    <t>【2021/5生産終了】XEROX CT350246 ﾄﾅｰｶｰﾄﾘｯｼﾞ(6K)</t>
  </si>
  <si>
    <t>JCT350247</t>
  </si>
  <si>
    <t>【2021/5生産終了】XEROX CT350247 ﾄﾅｰｶｰﾄﾘｯｼﾞ(10K)</t>
  </si>
  <si>
    <t>JCT350327</t>
  </si>
  <si>
    <t>【2021/5生産終了】XEROX CT350327 ﾄﾅｰｶｰﾄﾘｯｼﾞ(17K)</t>
  </si>
  <si>
    <t>JCT350359</t>
  </si>
  <si>
    <t>JCT350410</t>
  </si>
  <si>
    <t>XEROX CT350410 ﾄﾞﾗﾑｶｰﾄﾘｯｼﾞ</t>
  </si>
  <si>
    <t>JCT350411</t>
  </si>
  <si>
    <t>XEROX CT350411 転写ﾛｰﾙﾄﾅｰｶﾄﾘｯｼﾞ</t>
  </si>
  <si>
    <t>JCT350460</t>
  </si>
  <si>
    <t>XEROX CT350460 ﾄﾞﾗﾑｶｰﾄﾘｯｼﾞﾌﾞﾗｯｸ</t>
  </si>
  <si>
    <t>JCT350461</t>
  </si>
  <si>
    <t>XEROX CT350461 ﾄﾞﾗﾑｶｰﾄﾘｯｼﾞｶﾗｰ(C/M/Y)</t>
  </si>
  <si>
    <t>JCT350508</t>
  </si>
  <si>
    <t>【2021/5生産終了】XEROX CT350508 ﾄﾞﾗﾑｶｰﾄﾘｯｼﾞ</t>
  </si>
  <si>
    <t>JCT350515</t>
  </si>
  <si>
    <t>XEROX CT350515 ﾄﾅｰｶｰﾄﾘｯｼﾞ</t>
  </si>
  <si>
    <t>JCT350516</t>
  </si>
  <si>
    <t>XEROX CT350516 ﾄﾅｰｶｰﾄﾘｯｼﾞ(14K)</t>
  </si>
  <si>
    <t>JCT350588</t>
  </si>
  <si>
    <t>JCT350589</t>
  </si>
  <si>
    <t>JCT350590</t>
  </si>
  <si>
    <t>JCT350591</t>
  </si>
  <si>
    <t>JCT350615</t>
  </si>
  <si>
    <t>XEROX CT350615 ﾄﾞﾗﾑｶｰﾄﾘｯｼﾞ</t>
  </si>
  <si>
    <t>JCT350738</t>
  </si>
  <si>
    <t>XEROX CT350738 ﾄﾞﾗﾑｶｰﾄﾘｯｼﾞ 21/5末廃番予定</t>
  </si>
  <si>
    <t>JCT350760</t>
  </si>
  <si>
    <t>XEROX CT350760 ﾄﾅｰｶｰﾄﾘｯｼﾞ</t>
  </si>
  <si>
    <t>JCT350761</t>
  </si>
  <si>
    <t>XEROX CT350761 ﾄﾅｰｶｰﾄﾘｯｼﾞ</t>
  </si>
  <si>
    <t>JCT350765</t>
  </si>
  <si>
    <t>JCT350767</t>
  </si>
  <si>
    <t>JCT350796</t>
  </si>
  <si>
    <t>XEROX CT350796 ﾄﾅｰｶｰﾄﾘｯｼﾞ2本ｾｯﾄ</t>
  </si>
  <si>
    <t>JCT350812</t>
  </si>
  <si>
    <t>XEROX CT350812 ﾄﾞﾗﾑｶｰﾄﾘｯｼﾞﾌﾞﾗｯｸ</t>
  </si>
  <si>
    <t>JCT350813</t>
  </si>
  <si>
    <t>XEROX CT350813 ﾄﾞﾗﾑｶｰﾄﾘｯｼﾞｶﾗｰ(C/M/Y)</t>
  </si>
  <si>
    <t>JCT350823</t>
  </si>
  <si>
    <t>JCT350824</t>
  </si>
  <si>
    <t>JCT350825</t>
  </si>
  <si>
    <t>JCT350826</t>
  </si>
  <si>
    <t>JCT350850</t>
  </si>
  <si>
    <t>XEROX ﾄﾞﾗﾑｶｰﾄﾘｯｼﾞ CT350850</t>
  </si>
  <si>
    <t>JCT350865</t>
  </si>
  <si>
    <t>XEROX ﾄﾞﾗﾑｶｰﾄﾘｯｼﾞ CT350865 BK</t>
  </si>
  <si>
    <t>JCT350866</t>
  </si>
  <si>
    <t>XEROX ﾄﾞﾗﾑｶｰﾄﾘｯｼﾞ CT350866</t>
  </si>
  <si>
    <t>JCT350871</t>
  </si>
  <si>
    <t>XEROX CT350871 ﾄﾅｰｶｰﾄﾘｯｼﾞ</t>
  </si>
  <si>
    <t>JCT350872</t>
  </si>
  <si>
    <t>XEROX CT350872 ﾄﾅｰｶｰﾄﾘｯｼﾞ(10K)</t>
  </si>
  <si>
    <t>JCT350877</t>
  </si>
  <si>
    <t>XEROX ﾄﾞﾗﾑｶｰﾄﾘｯｼﾞ CT350877(CT350850/4本ｾｯﾄ)</t>
  </si>
  <si>
    <t>JCT350904</t>
  </si>
  <si>
    <t>XEROX CT350904 ﾄﾞﾗﾑｶｰﾄﾘｯｼﾞ(K/C/M/Y)</t>
  </si>
  <si>
    <t>JCT350906</t>
  </si>
  <si>
    <t>【2021/5生産終了】XEROX CT350906 ﾄﾞﾗﾑｶｰﾄﾘｯｼﾞ</t>
  </si>
  <si>
    <t>JCT350920</t>
  </si>
  <si>
    <t>[取扱不可]XEROX CT350920 ﾄﾞﾗﾑｶｰﾄﾘｯｼﾞ</t>
  </si>
  <si>
    <t>JCT350921</t>
  </si>
  <si>
    <t>JCT350945</t>
  </si>
  <si>
    <t>XEROX CT350945 ﾄﾞﾗﾑｶｰﾄﾘｯｼﾞ</t>
  </si>
  <si>
    <t>JCT350988</t>
  </si>
  <si>
    <t>XEROX CT350988 ﾄﾞﾗﾑｶｰﾄﾘｯｼﾞ(K/C/M/Y）</t>
  </si>
  <si>
    <t>JCT350995</t>
  </si>
  <si>
    <t>XEROX CT350995 ﾄﾞﾗﾑｶｰﾄﾘｯｼﾞ</t>
  </si>
  <si>
    <t>JCT350997</t>
  </si>
  <si>
    <t>XEROX CT350997 ﾄﾞﾗﾑｶｰﾄﾘｯｼﾞ</t>
  </si>
  <si>
    <t>JCT351000</t>
  </si>
  <si>
    <t>XEROX CT351000 ﾄﾞﾗﾑｶｰﾄﾘｯｼﾞ</t>
  </si>
  <si>
    <t>JCT351053</t>
  </si>
  <si>
    <t>XEROX CT351053</t>
  </si>
  <si>
    <t>JCT351057</t>
  </si>
  <si>
    <t>XEROX CT351057</t>
  </si>
  <si>
    <t>JCT351060</t>
  </si>
  <si>
    <t>XEROX CT351060 ﾄﾞﾗﾑｶｰﾄﾘｯｼﾞ</t>
  </si>
  <si>
    <t>JCT351082</t>
  </si>
  <si>
    <t>XEROX ﾄﾞﾗﾑｶｰﾄﾘｯｼﾞ CT351082 BK</t>
  </si>
  <si>
    <t>JCT351083</t>
  </si>
  <si>
    <t>XEROX ﾄﾞﾗﾑｶｰﾄﾘｯｼﾞ CT351083 C</t>
  </si>
  <si>
    <t>JCT351084</t>
  </si>
  <si>
    <t>XEROX ﾄﾞﾗﾑｶｰﾄﾘｯｼﾞ CT351084 M</t>
  </si>
  <si>
    <t>JCT351085</t>
  </si>
  <si>
    <t>XEROX ﾄﾞﾗﾑｶｰﾄﾘｯｼﾞ CT351085 Y</t>
  </si>
  <si>
    <t>JCT351104</t>
  </si>
  <si>
    <t>XEROX CT351104 ﾄﾞﾗﾑ</t>
  </si>
  <si>
    <t>JCT351110</t>
  </si>
  <si>
    <t>XEROX CT351110 ﾌﾞﾗｯｸ</t>
  </si>
  <si>
    <t>JCT351111</t>
  </si>
  <si>
    <t>XEROX CT351111 ｼｱﾝ</t>
  </si>
  <si>
    <t>JCT351112</t>
  </si>
  <si>
    <t>XEROX CT351112 ﾏｾﾞﾝﾀ</t>
  </si>
  <si>
    <t>JCT351113</t>
  </si>
  <si>
    <t>XEROX CT351113 ｲｴﾛｰ</t>
  </si>
  <si>
    <t>JCT351149</t>
  </si>
  <si>
    <t>XEROX CT351149 ﾌﾞﾗｯｸ</t>
  </si>
  <si>
    <t>JCT351150</t>
  </si>
  <si>
    <t>XEROX CT351150 ｼｱﾝ</t>
  </si>
  <si>
    <t>JCT351151</t>
  </si>
  <si>
    <t>XEROX CT351151 ﾏｾﾞﾝﾀ</t>
  </si>
  <si>
    <t>JCT351152</t>
  </si>
  <si>
    <t>XEROX CT351152 ｲｴﾛｰ</t>
  </si>
  <si>
    <t>JCT351166</t>
  </si>
  <si>
    <t>XEROX CT351166 ﾄﾞﾗﾑｶｰﾄﾘｯｼﾞ</t>
  </si>
  <si>
    <t>JCT351167</t>
  </si>
  <si>
    <t>XEROX CT351167 ﾄﾞﾗﾑｶｰﾄﾘｯｼﾞ</t>
  </si>
  <si>
    <t>JCT351175</t>
  </si>
  <si>
    <t>XEROX CT351175 ﾄﾞﾗﾑｶｰﾄﾘｯｼﾞ</t>
  </si>
  <si>
    <t>JCT351200</t>
  </si>
  <si>
    <t>XEROX ﾄﾞﾗﾑｶｰﾄﾘｯｼﾞ CT351200 ﾌﾞﾗｯｸ</t>
  </si>
  <si>
    <t>JCT351201</t>
  </si>
  <si>
    <t>XEROX ﾄﾞﾗﾑｶｰﾄﾘｯｼﾞ CT351201 ｺﾞｰﾙﾄﾞ</t>
  </si>
  <si>
    <t>JCT351202</t>
  </si>
  <si>
    <t>XEROX ﾄﾞﾗﾑｶｰﾄﾘｯｼﾞ CT351202 ｼﾙﾊﾞｰ</t>
  </si>
  <si>
    <t>JCT351203</t>
  </si>
  <si>
    <t>XEROX ﾄﾞﾗﾑｶｰﾄﾘｯｼﾞ CT351203 ﾎﾜｲﾄ</t>
  </si>
  <si>
    <t>JCT351216</t>
  </si>
  <si>
    <t>XEROX ﾄﾞﾗﾑｶｰﾄﾘｯｼﾞ CT351216 ﾌﾞﾗｯｸ</t>
  </si>
  <si>
    <t>JCT351217</t>
  </si>
  <si>
    <t>XEROX ﾄﾞﾗﾑｶｰﾄﾘｯｼﾞ CT351217 ｼｱﾝ</t>
  </si>
  <si>
    <t>JCT351218</t>
  </si>
  <si>
    <t>XEROX ﾄﾞﾗﾑｶｰﾄﾘｯｼﾞ CT351218 ﾏｾﾞﾝﾀ</t>
  </si>
  <si>
    <t>JCT351219</t>
  </si>
  <si>
    <t>XEROX ﾄﾞﾗﾑｶｰﾄﾘｯｼﾞ CT351219 ｲｴﾛｰ</t>
  </si>
  <si>
    <t>JCT351229</t>
  </si>
  <si>
    <t>XEROX CT351229 ﾄﾞﾗﾑｶｰﾄﾘｯｼﾞ</t>
  </si>
  <si>
    <t>JCT351237</t>
  </si>
  <si>
    <t>XEROX ﾄﾞﾗﾑｶｰﾄﾘｯｼﾞ CT351237</t>
  </si>
  <si>
    <t>JCT351259</t>
  </si>
  <si>
    <t>XEROX CT351259 ﾄﾅｰｶｰﾄﾘｯｼﾞ</t>
  </si>
  <si>
    <t>JCT351260</t>
  </si>
  <si>
    <t>XEROX CT351260 ﾄﾅｰｶｰﾄﾘｯｼﾞ</t>
  </si>
  <si>
    <t>JCT351261</t>
  </si>
  <si>
    <t>XEROX CT351261 ﾄﾅｰｶｰﾄﾘｯｼﾞ</t>
  </si>
  <si>
    <t>JCT351262</t>
  </si>
  <si>
    <t>XEROX CT351262 ﾄﾅｰｶｰﾄﾘｯｼﾞ</t>
  </si>
  <si>
    <t>JCT351280</t>
  </si>
  <si>
    <t>XEROX CT351280</t>
  </si>
  <si>
    <t>JCT351281</t>
  </si>
  <si>
    <t>XEROX CT351281</t>
  </si>
  <si>
    <t>JCT351283</t>
  </si>
  <si>
    <t>XEROX CT351283 ﾄﾅｰｶｰﾄﾘｯｼﾞ</t>
  </si>
  <si>
    <t>JCT351284</t>
  </si>
  <si>
    <t>XEROX CT351284 ﾄﾅｰｶｰﾄﾘｯｼﾞ</t>
  </si>
  <si>
    <t>JCT351285</t>
  </si>
  <si>
    <t>XEROX CT351285 ﾄﾅｰｶｰﾄﾘｯｼﾞ</t>
  </si>
  <si>
    <t>JCT351286</t>
  </si>
  <si>
    <t>XEROX CT351286 ﾄﾅｰｶｰﾄﾘｯｼﾞ</t>
  </si>
  <si>
    <t>JCT351307</t>
  </si>
  <si>
    <t>富士フィルム　CT351307 ﾄﾞﾗﾑｶｰﾄﾘｯｼﾞ(YMCK)</t>
  </si>
  <si>
    <t>JCT351311</t>
  </si>
  <si>
    <t>富士ﾌｨﾙﾑ CT351311 ﾄﾞﾗﾑｶｰﾄﾘｯｼﾞ</t>
  </si>
  <si>
    <t>JCT351336</t>
  </si>
  <si>
    <t>富士ﾌｨﾙﾑ CT351336 BK</t>
  </si>
  <si>
    <t>JCT351337</t>
  </si>
  <si>
    <t>富士ﾌｨﾙﾑ CT351337 C</t>
  </si>
  <si>
    <t>JCT351338</t>
  </si>
  <si>
    <t>富士ﾌｨﾙﾑ CT351338 M</t>
  </si>
  <si>
    <t>JCT351339</t>
  </si>
  <si>
    <t>富士ﾌｨﾙﾑ CT351339 Y</t>
  </si>
  <si>
    <t>JCT351342</t>
  </si>
  <si>
    <t>富士ﾌｨﾙﾑ CT351342</t>
  </si>
  <si>
    <t>JCT351356</t>
  </si>
  <si>
    <t>富士ﾌｨﾙﾑ CT351356 ﾄﾞﾗﾑｶｰﾄﾘｯｼﾞ</t>
  </si>
  <si>
    <t>JCT351369</t>
  </si>
  <si>
    <t>富士ﾌｨﾙﾑ CT351369</t>
  </si>
  <si>
    <t>JCT351380</t>
  </si>
  <si>
    <t>富士ﾌｨﾙﾑ CT351380 ﾄﾞﾗﾑ</t>
  </si>
  <si>
    <t>JCT351381</t>
  </si>
  <si>
    <t>富士ﾌｨﾙﾑ CT351381 ﾄﾞﾗﾑ</t>
  </si>
  <si>
    <t>JCT351394</t>
  </si>
  <si>
    <t>富士ﾌｨﾙﾑ CT351394 ﾄﾞﾗﾑ BK</t>
  </si>
  <si>
    <t>JCT351395</t>
  </si>
  <si>
    <t>富士ﾌｨﾙﾑ CT351395 ﾄﾞﾗﾑ C</t>
  </si>
  <si>
    <t>JCT351396</t>
  </si>
  <si>
    <t>富士ﾌｨﾙﾑ CT351396 ﾄﾞﾗﾑ M</t>
  </si>
  <si>
    <t>JCT351397</t>
  </si>
  <si>
    <t>富士ﾌｨﾙﾑ CT351397 ﾄﾞﾗﾑ Y</t>
  </si>
  <si>
    <t>JCT351407</t>
  </si>
  <si>
    <t>XEROX CT351407 ﾄﾞﾗﾑｶｰﾄﾘｯｼﾞ</t>
  </si>
  <si>
    <t>JCT351442</t>
  </si>
  <si>
    <t>富士ﾌｲﾙﾑ CT351442</t>
  </si>
  <si>
    <t>JCW2200C</t>
  </si>
  <si>
    <t>RICOH MPｶｰﾄﾘｯｼﾞ ｼｱﾝ CW2200 600204</t>
  </si>
  <si>
    <t>JCW2200HI</t>
  </si>
  <si>
    <t>RICOH 廃ｲﾝｸﾎﾞｯｸｽ  CW2200 315509</t>
  </si>
  <si>
    <t>JCW2200K</t>
  </si>
  <si>
    <t>RICOH MPｶｰﾄﾘｯｼﾞ ﾌﾞﾗｯｸCW2200 600203</t>
  </si>
  <si>
    <t>JCW2200M</t>
  </si>
  <si>
    <t>RICOH MPｶｰﾄﾘｯｼﾞ ﾏｾﾞﾝﾀ CW2200 600205</t>
  </si>
  <si>
    <t>JCW2200Y</t>
  </si>
  <si>
    <t>RICOH MPｶｰﾄﾘｯｼﾞ ｲｴﾛｰ CW2200 600206</t>
  </si>
  <si>
    <t>JCWAA0361</t>
  </si>
  <si>
    <t>XEROX CWAA0361 回収ﾎﾞﾄﾙ</t>
  </si>
  <si>
    <t>JCWAA0455</t>
  </si>
  <si>
    <t>XEROX ﾎﾁｷｽ針(3PCS) CWAA0455</t>
  </si>
  <si>
    <t>JCWAA0491</t>
  </si>
  <si>
    <t>JCWAA0501</t>
  </si>
  <si>
    <t>XEROX ﾎﾁｷｽ針(4PCS) CWAA0501</t>
  </si>
  <si>
    <t>JCWAA0540</t>
  </si>
  <si>
    <t>XEROX ﾎﾁｷｽ針(3PCS) CWAA0540</t>
  </si>
  <si>
    <t>JCWAA0554</t>
  </si>
  <si>
    <t>XEROX CWAA0554 ﾄﾅｰ回収ﾎﾞﾄﾙ</t>
  </si>
  <si>
    <t>JCWAA0671</t>
  </si>
  <si>
    <t>XEROX ﾎｯﾁｷｽ針ﾀｲﾌﾟXF(4PCS) CWAA0671</t>
  </si>
  <si>
    <t>JCWAA0728</t>
  </si>
  <si>
    <t>XEROX ﾎｯﾁｷｽ針(4PCS) CWAA0728</t>
  </si>
  <si>
    <t>JCWAA0729</t>
  </si>
  <si>
    <t>XEROX CWAA0729 回収ﾎﾞﾄﾙ</t>
  </si>
  <si>
    <t>JCWAA0731</t>
  </si>
  <si>
    <t>XEROX CWAA0731 ﾄﾅｰ回収ﾎﾞﾄﾙ</t>
  </si>
  <si>
    <t>JCWAA0749</t>
  </si>
  <si>
    <t>XEROX ﾎﾁｷｽ針(4PCS) CWAA0749</t>
  </si>
  <si>
    <t>JCWAA0766</t>
  </si>
  <si>
    <t>JCWAA0773</t>
  </si>
  <si>
    <t>XEROX CWAA0773 ﾄﾅｰ回収ﾎﾞﾄﾙ</t>
  </si>
  <si>
    <t>JCWAA0777</t>
  </si>
  <si>
    <t>XEROX CWAA0777 回収ﾎﾞﾄﾙ</t>
  </si>
  <si>
    <t>JCWAA0787</t>
  </si>
  <si>
    <t>XEROX CWAA0787 定着ﾕﾆｯﾄ</t>
  </si>
  <si>
    <t>JCWAA0843</t>
  </si>
  <si>
    <t>XEROX CWAA0843 ﾄﾅｰ回収ﾎﾞﾄﾙ</t>
  </si>
  <si>
    <t>JCWAA0855</t>
  </si>
  <si>
    <t>XEROX ﾎｯﾁｷｽ針ﾀｲﾌﾟXH(3PCS) CWAA0855</t>
  </si>
  <si>
    <t>JCWAA0856</t>
  </si>
  <si>
    <t>XEROX ﾎｯﾁｷｽ針 ﾀｲﾌﾟXE CWAA0856</t>
  </si>
  <si>
    <t>JCWAA0869</t>
  </si>
  <si>
    <t>JCWAA0885</t>
  </si>
  <si>
    <t>XEROX CWAA0885</t>
  </si>
  <si>
    <t>JCWAA0901</t>
  </si>
  <si>
    <t>XEROX CWAA0901 ﾄﾅｰ回収ﾎﾞﾄﾙ</t>
  </si>
  <si>
    <t>JCWAA0902</t>
  </si>
  <si>
    <t>XEROX CWAA0902</t>
  </si>
  <si>
    <t>JCWAA0915</t>
  </si>
  <si>
    <t>XEROX CWAA0915 ﾄﾅｰ回収ﾎﾞﾄﾙ</t>
  </si>
  <si>
    <t>JCWAA0922</t>
  </si>
  <si>
    <t>XEROX ﾎﾁｷｽ針(4PCS) CWAA0922</t>
  </si>
  <si>
    <t>JCWAA0966</t>
  </si>
  <si>
    <t>XEROX CWAA0966 回収ﾎﾞﾄﾙ</t>
  </si>
  <si>
    <t>JCWAA0973</t>
  </si>
  <si>
    <t>富士フィルム　CWAA0973</t>
  </si>
  <si>
    <t>JCWAA0983</t>
  </si>
  <si>
    <t>XEROX CWAA0983 ﾄﾅｰ回収ﾎﾞﾄﾙ</t>
  </si>
  <si>
    <t>JCWAA1003</t>
  </si>
  <si>
    <t>富士フィルム　CWAA1003</t>
  </si>
  <si>
    <t>JCWAA1014</t>
  </si>
  <si>
    <t>富士フィルム　CWAA1014</t>
  </si>
  <si>
    <t>JCWAA1051</t>
  </si>
  <si>
    <t>富士ﾌｲﾙﾑ　CWAA1051</t>
  </si>
  <si>
    <t>JCWT300CL</t>
  </si>
  <si>
    <t>brother 廃ﾄﾅｰﾎﾞｯｸｽ WT-300CL</t>
  </si>
  <si>
    <t>JCWTX201</t>
  </si>
  <si>
    <t>CANON ﾒﾝﾃﾅﾝｽｶｰﾄﾘｯｼﾞ WT-X201  9756B001</t>
  </si>
  <si>
    <t>JCZ130A</t>
  </si>
  <si>
    <t>HP HP711 CZ130A ｼｱﾝ 29ml</t>
  </si>
  <si>
    <t>JCZ131A</t>
  </si>
  <si>
    <t>HP HP711 CZ131A ﾏｾﾞﾝﾀ 29ml</t>
  </si>
  <si>
    <t>JCZ132A</t>
  </si>
  <si>
    <t>HP HP711 CZ132A ｲｴﾛｰ 29ml</t>
  </si>
  <si>
    <t>JCZ134A</t>
  </si>
  <si>
    <t>HP HP711 CZ134A ｲﾝｸｶｰﾄﾘｯｼﾞ ｼｱﾝ 29ml×3個ﾊﾟｯｸ</t>
  </si>
  <si>
    <t>JCZ135A</t>
  </si>
  <si>
    <t>HP HP711 CZ135A ｲﾝｸｶｰﾄﾘｯｼﾞ ﾏｾﾞﾝﾀ 29ml×3個ﾊﾟｯｸ</t>
  </si>
  <si>
    <t>JCZ136A</t>
  </si>
  <si>
    <t>HP HP711 CZ136A ｲﾝｸｶｰﾄﾘｯｼﾞ ｲｴﾛｰ 29ml×3個ﾊﾟｯｸ</t>
  </si>
  <si>
    <t>JD7H14A</t>
  </si>
  <si>
    <t>HP ﾄﾗﾝｽﾌｧｰｷｯﾄ D7H14A</t>
  </si>
  <si>
    <t>JD8J07A</t>
  </si>
  <si>
    <t>HP 980 ｲﾝｸｶｰﾄﾘｯｼﾞ D8J07A ｼｱﾝ</t>
  </si>
  <si>
    <t>JD8J08A</t>
  </si>
  <si>
    <t>HP 980 ｲﾝｸｶｰﾄﾘｯｼﾞ D8J08A ﾏｾﾞﾝﾀ</t>
  </si>
  <si>
    <t>JD8J09A</t>
  </si>
  <si>
    <t>HP 980 ｲﾝｸｶｰﾄﾘｯｼﾞ D8J09A ｲｴﾛｰ</t>
  </si>
  <si>
    <t>JD8J10A</t>
  </si>
  <si>
    <t>HP 980 ｲﾝｸｶｰﾄﾘｯｼﾞ D8J10A 黒</t>
  </si>
  <si>
    <t>JDC375BK</t>
  </si>
  <si>
    <t>RICOH ﾄﾞﾗﾑﾕﾆｯﾄ ﾌﾞﾗｯｸ P C375  514978</t>
  </si>
  <si>
    <t>JDC375C</t>
  </si>
  <si>
    <t>RICOH ﾄﾞﾗﾑﾕﾆｯﾄ ｶﾗｰ P C375  514979</t>
  </si>
  <si>
    <t>JDCL117C</t>
  </si>
  <si>
    <t>富士通 ﾄﾞﾗﾑｶｰﾄﾘｯｼﾞCL117 ｼｱﾝ</t>
  </si>
  <si>
    <t>JDCL117K</t>
  </si>
  <si>
    <t>富士通 ﾄﾞﾗﾑｶｰﾄﾘｯｼﾞCL117 ﾌﾞﾗｯｸ</t>
  </si>
  <si>
    <t>JDCL117M</t>
  </si>
  <si>
    <t>富士通 ﾄﾞﾗﾑｶｰﾄﾘｯｼﾞCL117 ﾏｾﾞﾝﾀ</t>
  </si>
  <si>
    <t>JDCL117Y</t>
  </si>
  <si>
    <t>富士通 ﾄﾞﾗﾑｶｰﾄﾘｯｼﾞCL117 ｲｴﾛｰ</t>
  </si>
  <si>
    <t>JDCMC1600</t>
  </si>
  <si>
    <t>ｺﾆｶﾐﾉﾙﾀ  DCMC1600 ｲﾒｰｼﾞﾝｸﾞｶｰﾄﾘｯｼﾞ</t>
  </si>
  <si>
    <t>JDE1004</t>
  </si>
  <si>
    <t>-終息-Panasonic DE-1004 FAX用ﾄﾅｰ</t>
  </si>
  <si>
    <t>JDE1005</t>
  </si>
  <si>
    <t>JDK0780AJP</t>
  </si>
  <si>
    <t>ﾑﾗﾃｯｸ V-780 DK0780AJP ﾄﾞﾗﾑ</t>
  </si>
  <si>
    <t>JDK1241</t>
  </si>
  <si>
    <t>京セラ DK-1241</t>
  </si>
  <si>
    <t>JDK20B</t>
  </si>
  <si>
    <t>ﾑﾗﾃｯｸ V730/850 DK20B ﾄﾞﾗﾑ</t>
  </si>
  <si>
    <t>JDK3680CAJP</t>
  </si>
  <si>
    <t>ﾑﾗﾃｯｸ DK3680C AJP ﾄﾞﾗﾑ</t>
  </si>
  <si>
    <t>JDK3680KAJP</t>
  </si>
  <si>
    <t>ﾑﾗﾃｯｸ DK3680K AJP ﾄﾞﾗﾑ</t>
  </si>
  <si>
    <t>JDK3680MAJP</t>
  </si>
  <si>
    <t>ﾑﾗﾃｯｸ DK3680M AJP ﾄﾞﾗﾑ</t>
  </si>
  <si>
    <t>JDK3680YAJP</t>
  </si>
  <si>
    <t>ﾑﾗﾃｯｸ DK3680Y AJP ﾄﾞﾗﾑ</t>
  </si>
  <si>
    <t>JDK5180AJP</t>
  </si>
  <si>
    <t>ﾑﾗﾃｯｸ DK5180AJP ﾄﾞﾗﾑ ※保守加入の場合注意</t>
  </si>
  <si>
    <t>JDK86B</t>
  </si>
  <si>
    <t>ﾑﾗﾃｯｸ V860 DK86B ﾄﾞﾗﾑ</t>
  </si>
  <si>
    <t>JDP3100T</t>
  </si>
  <si>
    <t>XEROX DP3100 定着器 604K64856</t>
  </si>
  <si>
    <t>JDPK3800</t>
  </si>
  <si>
    <t>富士通 ﾘﾎﾞﾝｶｾｯﾄ DPK3800 黒(2) 0327610</t>
  </si>
  <si>
    <t>JDPK3800SAB</t>
  </si>
  <si>
    <t>富士通 ｻﾌﾞｶｾｯﾄ DPK3800 黒(2) 0327620</t>
  </si>
  <si>
    <t>JDR-C3BC</t>
  </si>
  <si>
    <t>OKI DR-C3BC</t>
  </si>
  <si>
    <t>JDR-C3BK</t>
  </si>
  <si>
    <t>OKI DR-C3BK</t>
  </si>
  <si>
    <t>JDR-C3BM</t>
  </si>
  <si>
    <t>OKI DR-C3BM</t>
  </si>
  <si>
    <t>JDR-C3BY</t>
  </si>
  <si>
    <t>OKI DR-C3BY</t>
  </si>
  <si>
    <t>JDR-C4CC</t>
  </si>
  <si>
    <t>OKI DR-C4CC</t>
  </si>
  <si>
    <t>JDR-C4CK</t>
  </si>
  <si>
    <t>OKI DR-C4CK</t>
  </si>
  <si>
    <t>JDR-C4CM</t>
  </si>
  <si>
    <t>OKI DR-C4CM</t>
  </si>
  <si>
    <t>JDR-C4CY</t>
  </si>
  <si>
    <t>OKI DR-C4CY</t>
  </si>
  <si>
    <t>JDR-C4DC</t>
  </si>
  <si>
    <t>OKI DR-C4DC</t>
  </si>
  <si>
    <t>JDR-C4DK</t>
  </si>
  <si>
    <t>OKI DR-C4DK</t>
  </si>
  <si>
    <t>JDR-C4DM</t>
  </si>
  <si>
    <t>OKI DR-C4DM</t>
  </si>
  <si>
    <t>JDR-C4DY</t>
  </si>
  <si>
    <t>OKI DR-C4DY</t>
  </si>
  <si>
    <t>JDR029</t>
  </si>
  <si>
    <t>CANON ﾄﾞﾗﾑｶｰﾄﾘｯｼﾞ029　4371B003</t>
  </si>
  <si>
    <t>JDR036</t>
  </si>
  <si>
    <t>CANON ﾄﾞﾗﾑﾕﾆｯﾄ 036</t>
  </si>
  <si>
    <t>JDR038BK</t>
  </si>
  <si>
    <t>CANON ﾄﾞﾗﾑﾕﾆｯﾄ038 ﾌﾞﾗｯｸ</t>
  </si>
  <si>
    <t>JDR038CR</t>
  </si>
  <si>
    <t>CANON ﾄﾞﾗﾑﾕﾆｯﾄ038 ｶﾗｰ</t>
  </si>
  <si>
    <t>JDR051</t>
  </si>
  <si>
    <t>CANON ﾄﾞﾗﾑｶｰﾄﾘｯｼﾞ 051　2170C001</t>
  </si>
  <si>
    <t>JDR053</t>
  </si>
  <si>
    <t>CANON ﾄﾞﾗﾑｶｰﾄﾘｯｼﾞ053 2178C001</t>
  </si>
  <si>
    <t>JDR20J</t>
  </si>
  <si>
    <t>brother ﾄﾞﾗﾑﾕﾆｯﾄ DR-20J</t>
  </si>
  <si>
    <t>JDR21J</t>
  </si>
  <si>
    <t>brother ﾄﾞﾗﾑﾕﾆｯﾄ DR-21J</t>
  </si>
  <si>
    <t>JDR22J</t>
  </si>
  <si>
    <t>brother ﾄﾞﾗﾑﾕﾆｯﾄ DR-22J</t>
  </si>
  <si>
    <t>JDR23J</t>
  </si>
  <si>
    <t>brother ﾄﾞﾗﾑﾕﾆｯﾄ DR-23J</t>
  </si>
  <si>
    <t>JDR24J</t>
  </si>
  <si>
    <t>brother ﾄﾞﾗﾑｶｰﾄﾘｯｼﾞ DR-24J</t>
  </si>
  <si>
    <t>JDR291CL</t>
  </si>
  <si>
    <t>brother ﾄﾞﾗﾑｶｰﾄﾘｯｼﾞ DR-291CL</t>
  </si>
  <si>
    <t>JDR291CL-CMY</t>
  </si>
  <si>
    <t>brother ﾄﾞﾗﾑｶｰﾄﾘｯｼﾞ DR-291CL-CMY</t>
  </si>
  <si>
    <t>JDR291CLBK</t>
  </si>
  <si>
    <t>brother ﾄﾞﾗﾑｶｰﾄﾘｯｼﾞ DR-291CL-BK</t>
  </si>
  <si>
    <t>JDR293CL</t>
  </si>
  <si>
    <t>brother ﾄﾞﾗﾑｶｰﾄﾘｯｼﾞ DR-293CL</t>
  </si>
  <si>
    <t>JDR299CL</t>
  </si>
  <si>
    <t>brother ﾄﾞﾗﾑｶｰﾄﾘｯｼﾞ DR-299CL</t>
  </si>
  <si>
    <t>JDR299CL4PK</t>
  </si>
  <si>
    <t>brother ﾄﾞﾗﾑｶｰﾄﾘｯｼﾞ DR-299CL 4PK</t>
  </si>
  <si>
    <t>JDR301</t>
  </si>
  <si>
    <t>CANON ﾄﾞﾗﾑｶｰﾄﾘｯｼﾞ301</t>
  </si>
  <si>
    <t>JDR31J</t>
  </si>
  <si>
    <t>brother ﾄﾞﾗﾑｶｰﾄﾘｯｼﾞ DR-31J</t>
  </si>
  <si>
    <t>JDR32J</t>
  </si>
  <si>
    <t>brother  ﾄﾞﾗﾑｶｰﾄﾘｯｼﾞ DR32J</t>
  </si>
  <si>
    <t>JDR390CL</t>
  </si>
  <si>
    <t>brother ﾄﾞﾗﾑｶｰﾄﾘｯｼﾞ DR-390CL 4色一体型</t>
  </si>
  <si>
    <t>JDR391CL</t>
  </si>
  <si>
    <t>brother  ﾄﾞﾗﾑｶｰﾄﾘｯｼﾞ  DR-391CL</t>
  </si>
  <si>
    <t>JDR41J</t>
  </si>
  <si>
    <t>-終息-brother ﾄﾞﾗﾑｶｰﾄﾘｯｼﾞ DR-41J</t>
  </si>
  <si>
    <t>JDR4500</t>
  </si>
  <si>
    <t>JDR491CL</t>
  </si>
  <si>
    <t>brother ﾄﾞﾗﾑｶｰﾄﾘｯｼﾞ DR-491CL</t>
  </si>
  <si>
    <t>JDR502BK</t>
  </si>
  <si>
    <t>JDR502C</t>
  </si>
  <si>
    <t>-終息-CANON ﾄﾞﾗﾑｶｰﾄﾘｯｼﾞ502 C</t>
  </si>
  <si>
    <t>JDR502LBK</t>
  </si>
  <si>
    <t>CANON ﾄﾞﾗﾑｶｰﾄﾘｯｼﾞ502 L BK 6168C001</t>
  </si>
  <si>
    <t>JDR502LC</t>
  </si>
  <si>
    <t>CANON ﾄﾞﾗﾑｶｰﾄﾘｯｼﾞ502 L C 6167C001</t>
  </si>
  <si>
    <t>JDR502LM</t>
  </si>
  <si>
    <t>CANON ﾄﾞﾗﾑｶｰﾄﾘｯｼﾞ502 L M 6166C001</t>
  </si>
  <si>
    <t>JDR502LY</t>
  </si>
  <si>
    <t>CANON ﾄﾞﾗﾑｶｰﾄﾘｯｼﾞ502 L Y 6165C001</t>
  </si>
  <si>
    <t>JDR502M</t>
  </si>
  <si>
    <t>JDR502Y</t>
  </si>
  <si>
    <t>JDR51J</t>
  </si>
  <si>
    <t>brother ﾄﾞﾗﾑｶｰﾄﾘｯｼﾞ DR-51J</t>
  </si>
  <si>
    <t>JDR60J</t>
  </si>
  <si>
    <t>brother ﾄﾞﾗﾑｶｰﾄﾘｯｼﾞ DR-60J</t>
  </si>
  <si>
    <t>JDR70J</t>
  </si>
  <si>
    <t>brother  ﾄﾞﾗﾑｶｰﾄﾘｯｼﾞ DR70J</t>
  </si>
  <si>
    <t>JDRC4BC</t>
  </si>
  <si>
    <t>OKI DR-C4BC</t>
  </si>
  <si>
    <t>JDRC4BK</t>
  </si>
  <si>
    <t>OKI DR-C4BK</t>
  </si>
  <si>
    <t>JDRC4BM</t>
  </si>
  <si>
    <t>OKI DR-C4BM</t>
  </si>
  <si>
    <t>JDRC4BY</t>
  </si>
  <si>
    <t>OKI DR-C4BY</t>
  </si>
  <si>
    <t>JDRC4EC</t>
  </si>
  <si>
    <t>OKI DR-C4EC</t>
  </si>
  <si>
    <t>JDRC4EK</t>
  </si>
  <si>
    <t>OKI DR-C4EK</t>
  </si>
  <si>
    <t>JDRC4EM</t>
  </si>
  <si>
    <t>OKI DR-C4EM</t>
  </si>
  <si>
    <t>JDRC4EY</t>
  </si>
  <si>
    <t>OKI DR-C4EY</t>
  </si>
  <si>
    <t>JDRC4FC</t>
  </si>
  <si>
    <t>OKI DR-C4FC</t>
  </si>
  <si>
    <t>JDRC4FK</t>
  </si>
  <si>
    <t>OKI DR-C4FK</t>
  </si>
  <si>
    <t>JDRC4FM</t>
  </si>
  <si>
    <t>OKI DR-C4FM</t>
  </si>
  <si>
    <t>JDRC4FY</t>
  </si>
  <si>
    <t>OKI DR-C4FY</t>
  </si>
  <si>
    <t>JDRM3A</t>
  </si>
  <si>
    <t>OKI DR-M3A</t>
  </si>
  <si>
    <t>JDRM4A</t>
  </si>
  <si>
    <t>OKI DR-M4A</t>
  </si>
  <si>
    <t>JDRNPG67</t>
  </si>
  <si>
    <t>CANON ﾄﾞﾗﾑｶｰﾄﾘｯｼﾞ NPG-67 各色共通</t>
  </si>
  <si>
    <t>JDRP6000</t>
  </si>
  <si>
    <t>RICOH ﾄﾞﾗﾑﾕﾆｯﾄP6000 514315</t>
  </si>
  <si>
    <t>JDUO8</t>
  </si>
  <si>
    <t>RICOH Satelio DUOｲﾝｷ8　613728</t>
  </si>
  <si>
    <t>JDXC20HB</t>
  </si>
  <si>
    <t>-在庫限り-SHARP DX-C20HB 廃ﾄﾅｰBOX</t>
  </si>
  <si>
    <t>JDXC20TB</t>
  </si>
  <si>
    <t>SHARP DX-C20TB ﾌﾞﾗｯｸ</t>
  </si>
  <si>
    <t>JDXC20TC</t>
  </si>
  <si>
    <t>SHARP DX-C20TC ｼｱﾝ</t>
  </si>
  <si>
    <t>JDXC20TM</t>
  </si>
  <si>
    <t>SHARP DX-C20TM ﾏｾﾞﾝﾀ</t>
  </si>
  <si>
    <t>JDXC20TY</t>
  </si>
  <si>
    <t>SHARP DX-C20TY ｲｴﾛｰ</t>
  </si>
  <si>
    <t>JDXC31JTB</t>
  </si>
  <si>
    <t>SHARP DX-C31JTB ﾌﾞﾗｯｸ</t>
  </si>
  <si>
    <t>JDXC31JTC</t>
  </si>
  <si>
    <t>SHARP DX-C31JTC ｼｱﾝ</t>
  </si>
  <si>
    <t>JDXC31JTM</t>
  </si>
  <si>
    <t>SHARP DX-C31JTM ﾏｾﾞﾝﾀ</t>
  </si>
  <si>
    <t>JDXC31JTY</t>
  </si>
  <si>
    <t>SHARP DX-C31JTY ｲｴﾛｰ</t>
  </si>
  <si>
    <t>JDXJT20BA</t>
  </si>
  <si>
    <t>SHARP DX-JT20BA ﾌﾞﾗｯｸ</t>
  </si>
  <si>
    <t>JDXJT20CA</t>
  </si>
  <si>
    <t>SHARP DX-JT20CA ｼｱﾝ</t>
  </si>
  <si>
    <t>JDXJT20MA</t>
  </si>
  <si>
    <t>SHARP DX-JT20MA ﾏｾﾞﾝﾀ</t>
  </si>
  <si>
    <t>JDXJT20YA</t>
  </si>
  <si>
    <t>SHARP DX-JT20YA ｲｴﾛｰ</t>
  </si>
  <si>
    <t>JDXUM3B</t>
  </si>
  <si>
    <t>OKI 両面印刷ﾕﾆｯﾄ DXU-M3B</t>
  </si>
  <si>
    <t>JE30</t>
  </si>
  <si>
    <t>-終息-CANON ｶｰﾄﾘｯｼﾞE30  1491A001</t>
  </si>
  <si>
    <t>JE3300HI</t>
  </si>
  <si>
    <t>RICOH GX廃ｲﾝｸﾎﾞｯｸｽﾀｲﾌﾟ e3300 【515737】  純正品</t>
  </si>
  <si>
    <t>JE5500HI</t>
  </si>
  <si>
    <t>RICOH GX廃ｲﾝｸﾎﾞｯｸｽﾀｲﾌﾟ e5500  515738</t>
  </si>
  <si>
    <t>JEBK</t>
  </si>
  <si>
    <t>CANON ｶｰﾄﾘｯｼﾞE  1492A001</t>
  </si>
  <si>
    <t>JEC3400H</t>
  </si>
  <si>
    <t>RICOH ECﾄﾅｰｶｰﾄﾘｯｼﾞ　3400H　【308722】</t>
  </si>
  <si>
    <t>JEC4200</t>
  </si>
  <si>
    <t>RICOH ECﾄﾅｰｶﾄﾘｯｼﾞ4200　【308636】</t>
  </si>
  <si>
    <t>JEC4200H</t>
  </si>
  <si>
    <t>RICOH ECﾄﾅｰｶﾄﾘｯｼﾞ4200H　【308637】</t>
  </si>
  <si>
    <t>JEC6100</t>
  </si>
  <si>
    <t>RICOH  ECﾄﾅｰｶｰﾄﾞﾘｯｼﾞ6100　【308677】</t>
  </si>
  <si>
    <t>JEC6100H</t>
  </si>
  <si>
    <t>RICOH  ECﾄﾅｰｶｰﾄﾞﾘｯｼﾞ6100H　【308678】</t>
  </si>
  <si>
    <t>JEC85A</t>
  </si>
  <si>
    <t>RICOH 【EC】ﾄﾅｰﾀｲﾌﾟ85A　315362</t>
  </si>
  <si>
    <t>JEC85B</t>
  </si>
  <si>
    <t>RICOH 【EC】ﾄﾅｰﾀｲﾌﾟ85B　315361</t>
  </si>
  <si>
    <t>JEF1650B</t>
  </si>
  <si>
    <t>NEC ｲﾝｸｶｾｯﾄ EF-1650B (黒)</t>
  </si>
  <si>
    <t>JEF1650R</t>
  </si>
  <si>
    <t>NEC ｲﾝｸｶｾｯﾄ EF-1650R (赤)</t>
  </si>
  <si>
    <t>JEF3467T</t>
  </si>
  <si>
    <t>NEC PR-LF310用 LL80Wﾄﾅｰ 4本/箱 EF-3467T</t>
  </si>
  <si>
    <t>JEF3468</t>
  </si>
  <si>
    <t>NEC N3974-01用ﾄﾅｰｶｰﾄﾘｯｼﾞ EF-3468</t>
  </si>
  <si>
    <t>JEF3469</t>
  </si>
  <si>
    <t>NEC N3974-01用ﾄﾅｰｶｰﾄﾘｯｼﾞ EF-3469</t>
  </si>
  <si>
    <t>JEF4615D</t>
  </si>
  <si>
    <t>-在庫限り終息-NEC  NG-155361-001(EF-4615D)</t>
  </si>
  <si>
    <t>JEF4615TL</t>
  </si>
  <si>
    <t>-在庫限り終息-NEC  NG-155360-001(EF-4615TL)</t>
  </si>
  <si>
    <t>JEP22</t>
  </si>
  <si>
    <t>CANON EP-22 ﾄﾅｰｶｰﾄﾘｯｼﾞ</t>
  </si>
  <si>
    <t>JEP25</t>
  </si>
  <si>
    <t>CANON EP-25 ﾄﾅｰｶｰﾄﾘｯｼﾞ</t>
  </si>
  <si>
    <t>JEP26</t>
  </si>
  <si>
    <t>CANON EP-26 ﾄﾅｰｶｰﾄﾘｯｼﾞ【在庫限り終息】</t>
  </si>
  <si>
    <t>JEP32</t>
  </si>
  <si>
    <t>-終息-CANON EP-32 ﾄﾅｰｶｰﾄﾘｯｼﾞ</t>
  </si>
  <si>
    <t>JEP62</t>
  </si>
  <si>
    <t>CANON EP-62 ﾄﾅｰｶｰﾄﾘｯｼﾞ【在庫限り終息】</t>
  </si>
  <si>
    <t>JEP66</t>
  </si>
  <si>
    <t>CANON EP-66 ﾄﾅｰｶｰﾄﾘｯｼﾞ【在庫限り終息】</t>
  </si>
  <si>
    <t>JEP72</t>
  </si>
  <si>
    <t>CANON EP-72 ﾄﾅｰｶｰﾄﾘｯｼﾞ【在庫限り終息】</t>
  </si>
  <si>
    <t>JEPC-M3B1</t>
  </si>
  <si>
    <t>OKI EPC-M3B1</t>
  </si>
  <si>
    <t>JEPC-M3B2</t>
  </si>
  <si>
    <t>OKI EPC-M3B2</t>
  </si>
  <si>
    <t>JEPC-M3C1</t>
  </si>
  <si>
    <t>OKI EPC-M3C1</t>
  </si>
  <si>
    <t>JEPC-M3C2</t>
  </si>
  <si>
    <t>OKI EPC-M3C2</t>
  </si>
  <si>
    <t>JEPC-M3C3</t>
  </si>
  <si>
    <t>OKI EPC-M3C3</t>
  </si>
  <si>
    <t>JEPMB1</t>
  </si>
  <si>
    <t>EPSON EPMB1 ﾒﾝﾃﾅﾝｽﾎﾞｯｸｽ</t>
  </si>
  <si>
    <t>JEPPP6424</t>
  </si>
  <si>
    <t>EPSON 普通紙ﾛｰﾙ &lt;薄手&gt; 24ｲﾝﾁﾛｰﾙ EPPP6424 610mm×50m 2ｲﾝﾁ紙管 1箱 2本入り</t>
  </si>
  <si>
    <t>JEPPP64A0</t>
  </si>
  <si>
    <t>EPSON 普通紙ﾛｰﾙ  &lt;薄手&gt;EPPP64A0 A0ﾛｰﾙ 841mm×50m 1箱(2本)</t>
  </si>
  <si>
    <t>JEPPP9024</t>
  </si>
  <si>
    <t>EPSON 普通紙ﾛｰﾙ &lt;厚手&gt; 24ｲﾝﾁﾛｰﾙ EPPP9024 610mm×50m 1箱 2本入り</t>
  </si>
  <si>
    <t>JEPPP9036</t>
  </si>
  <si>
    <t>EPSON 普通紙ﾛｰﾙ &lt;厚手&gt; EPPP9036 2本入り</t>
  </si>
  <si>
    <t>JEPPP90A0</t>
  </si>
  <si>
    <t>EPSON 普通紙ﾛｰﾙ &lt;厚手&gt;A0ｻｲｽﾞ EPPP90A0 841mm×50m 1箱 2本入</t>
  </si>
  <si>
    <t>JEPPP90A1</t>
  </si>
  <si>
    <t>EPSON 普通紙ﾛｰﾙ &lt;厚手&gt;A1ｻｲｽﾞ EPPP90A1 2本入</t>
  </si>
  <si>
    <t>JEPPP90A2</t>
  </si>
  <si>
    <t>EPSON 普通紙ﾛｰﾙ &lt;厚手&gt;A2ｻｲｽﾞ EPPP90A2 2本入</t>
  </si>
  <si>
    <t>JEPPP90B0</t>
  </si>
  <si>
    <t>EPSON 普通紙ﾛｰﾙ &lt;厚手&gt;B0ｻｲｽﾞ EPPP90B0 2本入</t>
  </si>
  <si>
    <t>JERC22B</t>
  </si>
  <si>
    <t>EPSON ﾘﾎﾞﾝｶｾｯﾄ ERC-22B</t>
  </si>
  <si>
    <t>JERC31B</t>
  </si>
  <si>
    <t>EPSON ｲﾝｸﾘﾎﾞﾝｶｾｯﾄ ERC-31B 黒</t>
  </si>
  <si>
    <t>JEWM638T</t>
  </si>
  <si>
    <t>EPSON EW-M638T ｴｺﾀﾝｸ搭載ﾓﾃﾞﾙ A4ｶﾗｰｲﾝｸｼﾞｪｯﾄ複合機  本体ｶﾗｰ白</t>
  </si>
  <si>
    <t>JEWMB1</t>
  </si>
  <si>
    <t>EPSON EWMB1 ﾒﾝﾃﾅﾝｽﾎﾞｯｸｽ</t>
  </si>
  <si>
    <t>JEWMB2</t>
  </si>
  <si>
    <t>EPSON EWMB2 ﾒﾝﾃﾅﾝｽﾎﾞｯｸｽ</t>
  </si>
  <si>
    <t>JEWMB3</t>
  </si>
  <si>
    <t>EPSON EWMB3 ﾒﾝﾃﾅﾝｽﾎﾞｯｸｽ</t>
  </si>
  <si>
    <t>JEX1LR</t>
  </si>
  <si>
    <t>富士通 ﾘﾎﾞﾝｶｾｯﾄ EX1(L) 0325850</t>
  </si>
  <si>
    <t>JEX1LS</t>
  </si>
  <si>
    <t>富士通 ｻﾌﾞｶｾｯﾄ EX1(L) 0325860</t>
  </si>
  <si>
    <t>JF2110</t>
  </si>
  <si>
    <t>RICOH Proﾄﾅｰ F2110 ﾀｲﾌﾟB　600619</t>
  </si>
  <si>
    <t>JF2120A</t>
  </si>
  <si>
    <t>RICOH ﾄﾅｰ F2120 ﾀｲﾌﾟA 6本/箱</t>
  </si>
  <si>
    <t>JF2120B</t>
  </si>
  <si>
    <t>RICOH ﾄﾅｰ F2120 ﾀｲﾌﾟB 2本/箱</t>
  </si>
  <si>
    <t>JF2120FU</t>
  </si>
  <si>
    <t>RICOH 定着ｸﾘｰﾅｰ F2120</t>
  </si>
  <si>
    <t>JF2AEA3</t>
  </si>
  <si>
    <t>RISO ﾏｽﾀｰ FⅡﾀｲﾌﾟAE A3 2本/箱(5箱ｾｯﾄ)</t>
  </si>
  <si>
    <t>JF2ASA3</t>
  </si>
  <si>
    <t>RISO ﾏｽﾀｰ FⅡﾀｲﾌﾟAS A3 2本/箱(5箱ｾｯﾄ)</t>
  </si>
  <si>
    <t>JF2BEB4</t>
  </si>
  <si>
    <t>RISO ﾏｽﾀｰ FⅡﾀｲﾌﾟBE B4 2本/箱(5箱ｾｯﾄ)</t>
  </si>
  <si>
    <t>JF2BSB4</t>
  </si>
  <si>
    <t>RISO ﾏｽﾀｰ FⅡﾀｲﾌﾟBS B4 2本/箱(5箱ｾｯﾄ)</t>
  </si>
  <si>
    <t>JF2G76A</t>
  </si>
  <si>
    <t>HP ﾒﾝﾃﾅﾝｽｷｯﾄ (M605/M606) F2G76A</t>
  </si>
  <si>
    <t>JF2HG</t>
  </si>
  <si>
    <t>RISO ﾏｽﾀｰ FⅡﾀｲﾌﾟHG 2本/箱(5箱ｾｯﾄ)</t>
  </si>
  <si>
    <t>JF2HGK</t>
  </si>
  <si>
    <t>RISO ｲﾝｸ FⅡﾀｲﾌﾟHG 黒 2本/箱(5箱ｾｯﾄ)</t>
  </si>
  <si>
    <t>JF2K</t>
  </si>
  <si>
    <t>RISO ｲﾝｸ FⅡﾀｲﾌﾟ 黒 2本/箱(5箱ｾｯﾄ)</t>
  </si>
  <si>
    <t>JF9J65A</t>
  </si>
  <si>
    <t>HP HP728 F9J65A ｲｴﾛｰ 130ml</t>
  </si>
  <si>
    <t>JF9J66A</t>
  </si>
  <si>
    <t>HP HP728 F9J66A ﾏｾﾞﾝﾀ 130ml</t>
  </si>
  <si>
    <t>JF9J67A</t>
  </si>
  <si>
    <t>HP HP728 F9J67A ｼｱﾝ 130ml</t>
  </si>
  <si>
    <t>JF9J76A</t>
  </si>
  <si>
    <t>HP HP727 F9J76A ｼｱﾝ 300ml</t>
  </si>
  <si>
    <t>JF9J77A</t>
  </si>
  <si>
    <t>HP HP727 F9J77A ﾏｾﾞﾝﾀ 300ml</t>
  </si>
  <si>
    <t>JF9J78A</t>
  </si>
  <si>
    <t>HP HP727 F9J78A ｲｴﾛｰ 300ml</t>
  </si>
  <si>
    <t>JF9J86A</t>
  </si>
  <si>
    <t>HP HP744 F9J86A ﾌｫﾄﾌﾞﾗｯｸ/ｼｱﾝ ﾌﾟﾘﾝﾄﾍｯﾄﾞ</t>
  </si>
  <si>
    <t>JF9J87A</t>
  </si>
  <si>
    <t>HP HP744 F9J87A ﾏｾﾞﾝﾀ/ｲｴﾛｰ ﾌﾟﾘﾝﾄﾍｯﾄﾞ</t>
  </si>
  <si>
    <t>JF9J88A</t>
  </si>
  <si>
    <t>HP HP744 F9J88A ﾏｯﾄﾌﾞﾗｯｸ/ｸﾛﾏﾃｨｯｸﾚｯﾄﾞ ﾌﾟﾘﾝﾄﾍｯﾄﾞ</t>
  </si>
  <si>
    <t>JF9K01A</t>
  </si>
  <si>
    <t>HP HP745 F9K01A ｲﾝｸｶｰﾄﾘｯｼﾞ ﾏｾﾞﾝﾀ 300ml</t>
  </si>
  <si>
    <t>JF9K02A</t>
  </si>
  <si>
    <t>HP HP745 F9K02A ｲﾝｸｶｰﾄﾘｯｼﾞ ｲｴﾛｰ300ml</t>
  </si>
  <si>
    <t>JF9K03A</t>
  </si>
  <si>
    <t>HP HP745 F9K03A ｲﾝｸｶｰﾄﾘｯｼﾞ ｼｱﾝ 300ml</t>
  </si>
  <si>
    <t>JF9K04A</t>
  </si>
  <si>
    <t>HP HP745 F9K04A ｲﾝｸｶｰﾄﾘｯｼﾞ ﾌｫﾄﾌﾞﾗｯｸ 300ml</t>
  </si>
  <si>
    <t>JF9K05A</t>
  </si>
  <si>
    <t>HP HP745 F9K05A ｲﾝｸｶｰﾄﾘｯｼﾞ ﾏｯﾄﾌﾞﾗｯｸ 300ml</t>
  </si>
  <si>
    <t>JF9K06A</t>
  </si>
  <si>
    <t>HP HP745 F9K06A ｲﾝｸｶｰﾄﾘｯｼﾞ ｸﾛﾏﾃｨｯｸﾚｯﾄﾞ 300ml</t>
  </si>
  <si>
    <t>JF9K15A</t>
  </si>
  <si>
    <t>HP HP728 F9K15A ｲｴﾛｰ 300ml</t>
  </si>
  <si>
    <t>JF9K16A</t>
  </si>
  <si>
    <t>HP HP728 F9K16A ﾏｾﾞﾝﾀ 300ml</t>
  </si>
  <si>
    <t>JF9K17A</t>
  </si>
  <si>
    <t>HP HP728 F9K17A ｼｱﾝ 300ml</t>
  </si>
  <si>
    <t>JFKA1</t>
  </si>
  <si>
    <t>CANON ﾕｰｻﾞﾒﾝﾃﾅﾝｽｷｯﾄ FUSER KIT FK-A1  0942C003</t>
  </si>
  <si>
    <t>jFM1A745000</t>
  </si>
  <si>
    <t>CANON FM1-A745-000　定着器(LBP8710用)(直送不可)</t>
  </si>
  <si>
    <t>JFP500</t>
  </si>
  <si>
    <t>RICOH ﾚｰｻﾞｰﾌﾟﾘﾝﾀｰ P 500【514201】</t>
  </si>
  <si>
    <t>JFSP3700</t>
  </si>
  <si>
    <t>RICOH ﾚｰｻﾞｰﾌﾟﾘﾝﾀｰ SP 3700【513823】</t>
  </si>
  <si>
    <t>JFUS-C3E</t>
  </si>
  <si>
    <t>OKI FUS-C3E(定着器ﾕﾆｯﾄ)</t>
  </si>
  <si>
    <t>JFUS-C3F</t>
  </si>
  <si>
    <t>OKI FUS-C3F 定着器ﾕﾆｯﾄ</t>
  </si>
  <si>
    <t>JFUS-C4H</t>
  </si>
  <si>
    <t>OKI FUS-C4H</t>
  </si>
  <si>
    <t>JFUS-C4J</t>
  </si>
  <si>
    <t>OKI FUS-C4J　定着器ﾕﾆｯﾄ</t>
  </si>
  <si>
    <t>JFUS-C4K</t>
  </si>
  <si>
    <t>OKI FUS-C4K　定着器ユニット</t>
  </si>
  <si>
    <t>JFUS-C4M</t>
  </si>
  <si>
    <t>OKI FUS-C4M 定着器ﾕﾆｯﾄ</t>
  </si>
  <si>
    <t>JFUS-C4S</t>
  </si>
  <si>
    <t>OKI FUS-C4S</t>
  </si>
  <si>
    <t>JFUSC3G</t>
  </si>
  <si>
    <t>OKI FUS-C3G 定着器ﾕﾆｯﾄ</t>
  </si>
  <si>
    <t>JFUSC3R</t>
  </si>
  <si>
    <t>OKI FUS-C3R 定着器ﾕﾆｯﾄ</t>
  </si>
  <si>
    <t>JFUSC3T</t>
  </si>
  <si>
    <t>OKI FUS-C3T 定着器ﾕﾆｯﾄ</t>
  </si>
  <si>
    <t>JFUSC4E</t>
  </si>
  <si>
    <t>-終息-OKI FUS-C4E(定着器ﾕﾆｯﾄ)</t>
  </si>
  <si>
    <t>JFUSC4L</t>
  </si>
  <si>
    <t>OKI FUS-C4L　定着器ﾕﾆｯﾄ</t>
  </si>
  <si>
    <t>JFUSC4R</t>
  </si>
  <si>
    <t>OKI FUS-C4R 定着器ﾕﾆｯﾄ</t>
  </si>
  <si>
    <t>JFX12</t>
  </si>
  <si>
    <t>CANON FX-12 ｶｰﾄﾘｯｼﾞ　1153B003</t>
  </si>
  <si>
    <t>JFX13</t>
  </si>
  <si>
    <t>-終息-CANON FX-13 ｶｰﾄﾘｯｼﾞ　3178B001</t>
  </si>
  <si>
    <t>JFX3</t>
  </si>
  <si>
    <t>CANON FX-3 ｶｰﾄﾘｯｼﾞ</t>
  </si>
  <si>
    <t>JFX4</t>
  </si>
  <si>
    <t>CANON FX-4 ｶｰﾄﾘｯｼﾞ</t>
  </si>
  <si>
    <t>JFX7</t>
  </si>
  <si>
    <t>CANON FX-7 ｶｰﾄﾘｯｼﾞ【在庫限り終息】</t>
  </si>
  <si>
    <t>JFX9</t>
  </si>
  <si>
    <t>CANON FX-9 ｶｰﾄﾘｯｼﾞ　0263B003</t>
  </si>
  <si>
    <t>JFXV</t>
  </si>
  <si>
    <t>CANON FX-V ｶｰﾄﾘｯｼﾞ【在庫限り終息】</t>
  </si>
  <si>
    <t>JGC21C</t>
  </si>
  <si>
    <t>RICOH GC21C 【515628】純正品</t>
  </si>
  <si>
    <t>JGC21CH</t>
  </si>
  <si>
    <t>RICOH GC21CH 【515632】純正品</t>
  </si>
  <si>
    <t>JGC21CS</t>
  </si>
  <si>
    <t>RICOH GC21CS  純正品</t>
  </si>
  <si>
    <t>JGC21K</t>
  </si>
  <si>
    <t>RICOH GC21K 【515627】純正品</t>
  </si>
  <si>
    <t>JGC21KH</t>
  </si>
  <si>
    <t>RICOH GC21KH 【515631】純正品</t>
  </si>
  <si>
    <t>JGC21KS</t>
  </si>
  <si>
    <t>RICOH GC21KS  純正品</t>
  </si>
  <si>
    <t>JGC21M</t>
  </si>
  <si>
    <t>RICOH GC21M 【515629】純正品</t>
  </si>
  <si>
    <t>JGC21MH</t>
  </si>
  <si>
    <t>RICOH GC21MH 【515633】純正品</t>
  </si>
  <si>
    <t>JGC21MS</t>
  </si>
  <si>
    <t>RICOH GC21MS  純正品</t>
  </si>
  <si>
    <t>JGC21Y</t>
  </si>
  <si>
    <t>RICOH GC21Y 【515630】純正品</t>
  </si>
  <si>
    <t>JGC21YH</t>
  </si>
  <si>
    <t>RICOH GC21YH 【515634】純正品</t>
  </si>
  <si>
    <t>JGC21YS</t>
  </si>
  <si>
    <t>RICOH GC21YS  純正品</t>
  </si>
  <si>
    <t>JGC31C</t>
  </si>
  <si>
    <t>RICOH GC31C 【515744】 純正品</t>
  </si>
  <si>
    <t>JGC31CH</t>
  </si>
  <si>
    <t>RICOH GC31CH 【515748】</t>
  </si>
  <si>
    <t>JGC31CS</t>
  </si>
  <si>
    <t>RICOH GC31CS 【515740】　GXe3300用 純正品</t>
  </si>
  <si>
    <t>JGC31K</t>
  </si>
  <si>
    <t>RICOH GC31K 【515743】 純正品</t>
  </si>
  <si>
    <t>JGC31KH</t>
  </si>
  <si>
    <t>RICOH GC31KH 【515747】</t>
  </si>
  <si>
    <t>JGC31KS</t>
  </si>
  <si>
    <t>RICOH GC31KS 【515739】 純正品</t>
  </si>
  <si>
    <t>JGC31M</t>
  </si>
  <si>
    <t>RICOH GC31M 【515745】 純正品</t>
  </si>
  <si>
    <t>JGC31MH</t>
  </si>
  <si>
    <t>RICOH GC31MH 【515749】</t>
  </si>
  <si>
    <t>JGC31MS</t>
  </si>
  <si>
    <t>RICOH GC31MS 【515741】　GXe3300用 純正品</t>
  </si>
  <si>
    <t>JGC31Y</t>
  </si>
  <si>
    <t>RICOH GC31Y 【515746】 純正品</t>
  </si>
  <si>
    <t>JGC31YH</t>
  </si>
  <si>
    <t>RICOH GC31YH 【515750】</t>
  </si>
  <si>
    <t>JGC31YS</t>
  </si>
  <si>
    <t>RICOH GC31YS 【515742】　GXe3300用 純正品</t>
  </si>
  <si>
    <t>JGC41C</t>
  </si>
  <si>
    <t>RICOH GC41C 【515808】純正品</t>
  </si>
  <si>
    <t>JGC41CH</t>
  </si>
  <si>
    <t>RICOH GC41CH 純正品【515826】</t>
  </si>
  <si>
    <t>JGC41CS</t>
  </si>
  <si>
    <t>RICOH GC41CS 【515812】純正品</t>
  </si>
  <si>
    <t>JGC41K</t>
  </si>
  <si>
    <t>RICOH GC41K 【515807】純正品</t>
  </si>
  <si>
    <t>JGC41KH</t>
  </si>
  <si>
    <t>RICOH GC41KH 純正品【515825】</t>
  </si>
  <si>
    <t>JGC41KS</t>
  </si>
  <si>
    <t>RICOH GC41KS 【515811】純正品</t>
  </si>
  <si>
    <t>JGC41M</t>
  </si>
  <si>
    <t>RICOH GC41M 【515809】純正品</t>
  </si>
  <si>
    <t>JGC41MH</t>
  </si>
  <si>
    <t>RICOH GC41MH 純正品【515827】</t>
  </si>
  <si>
    <t>JGC41MS</t>
  </si>
  <si>
    <t>RICOH GC41MS 【515813】純正品</t>
  </si>
  <si>
    <t>JGC41Y</t>
  </si>
  <si>
    <t>RICOH GC41Y 【515810】純正品</t>
  </si>
  <si>
    <t>JGC41YH</t>
  </si>
  <si>
    <t>RICOH GC41YH 純正品【515828】</t>
  </si>
  <si>
    <t>JGC41YS</t>
  </si>
  <si>
    <t>RICOH GC41YS 【515814】純正品</t>
  </si>
  <si>
    <t>JGC42C</t>
  </si>
  <si>
    <t>RICOH GC42C ｼｱﾝ</t>
  </si>
  <si>
    <t>JGC42CH</t>
  </si>
  <si>
    <t>RICOH GC42CH ｼｱﾝ</t>
  </si>
  <si>
    <t>JGC42K</t>
  </si>
  <si>
    <t>RICOH GC42K ﾌﾞﾗｯｸ</t>
  </si>
  <si>
    <t>JGC42KH</t>
  </si>
  <si>
    <t>RICOH GC42KH ﾌﾞﾗｯｸ</t>
  </si>
  <si>
    <t>JGC42M</t>
  </si>
  <si>
    <t>RICOH GC42M ﾏｾﾞﾝﾀﾞ</t>
  </si>
  <si>
    <t>JGC42MH</t>
  </si>
  <si>
    <t>RICOH GC42MH ﾏｾﾞﾝﾀﾞ</t>
  </si>
  <si>
    <t>JGC42Y</t>
  </si>
  <si>
    <t>RICOH GC42Y ｲｴﾛｰ</t>
  </si>
  <si>
    <t>JGC42YH</t>
  </si>
  <si>
    <t>RICOH GC42YH ｲｴﾛｰ</t>
  </si>
  <si>
    <t>JGC43C</t>
  </si>
  <si>
    <t>RICOH GC43C ｼｱﾝ 515947</t>
  </si>
  <si>
    <t>JGC43CS</t>
  </si>
  <si>
    <t>RICOH GC43CS ｼｱﾝ 515943</t>
  </si>
  <si>
    <t>JGC43K</t>
  </si>
  <si>
    <t>RICOH GC43K ﾌﾞﾗｯｸ 515946</t>
  </si>
  <si>
    <t>JGC43KS</t>
  </si>
  <si>
    <t>RICOH GC43KS ﾌﾞﾗｯｸ 515942</t>
  </si>
  <si>
    <t>JGC43M</t>
  </si>
  <si>
    <t>RICOH GC43M ﾏｾﾞﾝﾀ 515948</t>
  </si>
  <si>
    <t>JGC43MS</t>
  </si>
  <si>
    <t>RICOH GC43MS ﾏｾﾞﾝﾀ 515944</t>
  </si>
  <si>
    <t>JGC43Y</t>
  </si>
  <si>
    <t>RICOH GC43Y ｲｴﾛｰ 515949</t>
  </si>
  <si>
    <t>JGC43YS</t>
  </si>
  <si>
    <t>RICOH GC43YS ｲｴﾛｰ 515945</t>
  </si>
  <si>
    <t>JGE5DSC</t>
  </si>
  <si>
    <t>JGE5DSCZ</t>
  </si>
  <si>
    <t>JGE5DSK</t>
  </si>
  <si>
    <t>JGE5DSKZ</t>
  </si>
  <si>
    <t>JGE5DSM</t>
  </si>
  <si>
    <t>JGE5DSMZ</t>
  </si>
  <si>
    <t>JGE5DSY</t>
  </si>
  <si>
    <t>JGE5DSYZ</t>
  </si>
  <si>
    <t>JGE5TSCZ</t>
  </si>
  <si>
    <t>JGE5TSKZ</t>
  </si>
  <si>
    <t>JGE5TSMZ</t>
  </si>
  <si>
    <t>JGE5TSYZ</t>
  </si>
  <si>
    <t>JGE6-TSC-G</t>
  </si>
  <si>
    <t>JGE6-TSM-G</t>
  </si>
  <si>
    <t>JGE6-TSY-G</t>
  </si>
  <si>
    <t>JGI31C</t>
  </si>
  <si>
    <t>CANON ｲﾝｸﾎﾞﾄﾙ GI-31C 4540C001</t>
  </si>
  <si>
    <t>JGI31M</t>
  </si>
  <si>
    <t>CANON ｲﾝｸﾎﾞﾄﾙ GI-31M 4541C001</t>
  </si>
  <si>
    <t>JGI31PGBK</t>
  </si>
  <si>
    <t>CANON ｲﾝｸﾎﾞﾄﾙ GI-31PGBK【4527C001】</t>
  </si>
  <si>
    <t>JGI31Y</t>
  </si>
  <si>
    <t>CANON ｲﾝｸﾎﾞﾄﾙ GI-31Y 4542C001</t>
  </si>
  <si>
    <t>JGI35BK</t>
  </si>
  <si>
    <t>CANON ｲﾝｸﾎﾞﾄﾙ GI-35BK 6284C001   0227263</t>
  </si>
  <si>
    <t>JGI35C</t>
  </si>
  <si>
    <t>CANON ｲﾝｸﾎﾞﾄﾙ GI-35C 6281C001   0227270</t>
  </si>
  <si>
    <t>JGI35M</t>
  </si>
  <si>
    <t>CANON ｲﾝｸﾎﾞﾄﾙ GI-35M 6282C001   0227287</t>
  </si>
  <si>
    <t>JGI35Y</t>
  </si>
  <si>
    <t>CANON ｲﾝｸﾎﾞﾄﾙ GI-35Y 6283C001   0227294</t>
  </si>
  <si>
    <t>JGI36BK</t>
  </si>
  <si>
    <t>CANON ｲﾝｸﾎﾞﾄﾙ  GI-36BK 4410C001</t>
  </si>
  <si>
    <t>JGI36C</t>
  </si>
  <si>
    <t>CANON ｲﾝｸﾎﾞﾄﾙ  GI-36C 4424C001</t>
  </si>
  <si>
    <t>JGI36M</t>
  </si>
  <si>
    <t>CANON ｲﾝｸﾎﾞﾄﾙ  GI-36M 4425C001</t>
  </si>
  <si>
    <t>JGI36Y</t>
  </si>
  <si>
    <t>CANON ｲﾝｸﾎﾞﾄﾙ  GI-36Y 4426C001</t>
  </si>
  <si>
    <t>JGJIC5C</t>
  </si>
  <si>
    <t>EPSON ｲﾝｸｶｰﾄﾘｯｼﾞ GJIC5C ｼｱﾝ</t>
  </si>
  <si>
    <t>JGJIC5K</t>
  </si>
  <si>
    <t>EPSON ｲﾝｸｶｰﾄﾘｯｼﾞ GJIC5K ﾌﾞﾗｯｸ</t>
  </si>
  <si>
    <t>JGJIC5M</t>
  </si>
  <si>
    <t>EPSON ｲﾝｸｶｰﾄﾘｯｼﾞ GJIC5M ﾏｾﾞﾝﾀ</t>
  </si>
  <si>
    <t>JGJIC5Y</t>
  </si>
  <si>
    <t>EPSON ｲﾝｸｶｰﾄﾘｯｼﾞ GJIC5Y ｲｴﾛｰ</t>
  </si>
  <si>
    <t>JGJIC7C</t>
  </si>
  <si>
    <t>EPSON ｲﾝｸｶｰﾄﾘｯｼﾞ GJIC7C ｼｱﾝ</t>
  </si>
  <si>
    <t>JGJIC7K</t>
  </si>
  <si>
    <t>EPSON ｲﾝｸｶｰﾄﾘｯｼﾞ GJIC7K ﾌﾞﾗｯｸ</t>
  </si>
  <si>
    <t>JGJIC7LC</t>
  </si>
  <si>
    <t>EPSON ｲﾝｸｶｰﾄﾘｯｼﾞ GJIC7LC ﾗｲﾄｼｱﾝ</t>
  </si>
  <si>
    <t>JGJIC7LM</t>
  </si>
  <si>
    <t>EPSON ｲﾝｸｶｰﾄﾘｯｼﾞ GJIC7LM ﾗｲﾄﾏｾﾞﾝﾀ</t>
  </si>
  <si>
    <t>JGJIC7M</t>
  </si>
  <si>
    <t>EPSON ｲﾝｸｶｰﾄﾘｯｼﾞ GJIC7M ﾏｾﾞﾝﾀ</t>
  </si>
  <si>
    <t>JGJIC7Y</t>
  </si>
  <si>
    <t>EPSON ｲﾝｸｶｰﾄﾘｯｼﾞ GJIC7Y ｲｴﾛｰ</t>
  </si>
  <si>
    <t>JGJIC8CL</t>
  </si>
  <si>
    <t>EPSON ｲﾝｸｶｰﾄﾘｯｼﾞ GJIC8CL ｼｱﾝ</t>
  </si>
  <si>
    <t>JGJIC8KL</t>
  </si>
  <si>
    <t>EPSON ｲﾝｸｶｰﾄﾘｯｼﾞ GJIC8KL ﾌﾞﾗｯｸ</t>
  </si>
  <si>
    <t>JGJIC8ML</t>
  </si>
  <si>
    <t>EPSON ｲﾝｸｶｰﾄﾘｯｼﾞ GJIC8ML ﾏｾﾞﾝﾀ</t>
  </si>
  <si>
    <t>JGJIC8YL</t>
  </si>
  <si>
    <t>EPSON ｲﾝｸｶｰﾄﾘｯｼﾞ GJIC8YL ｲｴﾛｰ</t>
  </si>
  <si>
    <t>JGJMB730</t>
  </si>
  <si>
    <t>EPSON ﾒﾝﾃﾅﾝｽﾎﾞｯｸｽ GJMB730</t>
  </si>
  <si>
    <t>JGL101A320</t>
  </si>
  <si>
    <t>CANON写真紙光沢ｺﾞｰﾙﾄﾞA3 20枚GL-101A320 2310B008</t>
  </si>
  <si>
    <t>JHARC</t>
  </si>
  <si>
    <t>EPSON ｲﾝｸﾎﾞﾄﾙ ﾊﾘﾈｽﾞﾐ HAR-C ｼｱﾝ</t>
  </si>
  <si>
    <t>JHARM</t>
  </si>
  <si>
    <t>EPSON ｲﾝｸﾎﾞﾄﾙ ﾊﾘﾈｽﾞﾐ HAR-M ﾏｾﾞﾝﾀ</t>
  </si>
  <si>
    <t>JHARY</t>
  </si>
  <si>
    <t>EPSON ｲﾝｸﾎﾞﾄﾙ ﾊﾘﾈｽﾞﾐ HAR-Y ｲｴﾛｰ</t>
  </si>
  <si>
    <t>JHNAC</t>
  </si>
  <si>
    <t>EPSON ｲﾝｸﾎﾞﾄﾙ ﾊｰﾓﾆｶ HNA-C ｼｱﾝ</t>
  </si>
  <si>
    <t>JHNAM</t>
  </si>
  <si>
    <t>EPSON ｲﾝｸﾎﾞﾄﾙ ﾊｰﾓﾆｶ HNA-M ﾏｾﾞﾝﾀ</t>
  </si>
  <si>
    <t>JHNAPB</t>
  </si>
  <si>
    <t>EPSON ｲﾝｸﾎﾞﾄﾙ ﾊｰﾓﾆｶ HNA-PB ﾌｫﾄﾌﾞﾗｯｸ</t>
  </si>
  <si>
    <t>JHNAY</t>
  </si>
  <si>
    <t>EPSON ｲﾝｸﾎﾞﾄﾙ ﾊｰﾓﾆｶ HNA-Y ｲｴﾛｰ</t>
  </si>
  <si>
    <t>JHP11C4810A</t>
  </si>
  <si>
    <t>HP C4810A  HP11ﾌﾟﾘﾝﾄﾍｯﾄﾞ 黒</t>
  </si>
  <si>
    <t>JHP3ED51A</t>
  </si>
  <si>
    <t>HP HP730B 3ED51A ｲﾝｸｶｰﾄﾘｯｼﾞ ﾏｯﾄﾌﾞﾗｯｸ 300ml</t>
  </si>
  <si>
    <t>JHP416AW2040A</t>
  </si>
  <si>
    <t>HP HP416Aﾄﾅｰｶｰﾄﾘｯｼﾞ 黒 W2040A</t>
  </si>
  <si>
    <t>JHP416AW2041A</t>
  </si>
  <si>
    <t>HP HP416Aﾄﾅｰｶｰﾄﾘｯｼﾞ ｼｱﾝ W2041A</t>
  </si>
  <si>
    <t>JHP416AW2042A</t>
  </si>
  <si>
    <t>HP HP416Aﾄﾅｰｶｰﾄﾘｯｼﾞ ｲｴﾛｰ W2042A</t>
  </si>
  <si>
    <t>JHP416AW2043A</t>
  </si>
  <si>
    <t>HP HP416Aﾄﾅｰｶｰﾄﾘｯｼﾞ ﾏｾﾞﾝﾀ W2043A</t>
  </si>
  <si>
    <t>JHP498N0A</t>
  </si>
  <si>
    <t>HP HP739 498N0A ﾌﾟﾘﾝﾄﾍｯﾄﾞ交換ｷｯﾄ</t>
  </si>
  <si>
    <t>JHP498N5A</t>
  </si>
  <si>
    <t>HP HP738 498N5A ｲﾝｸｶｰﾄﾘｯｼﾞ ｼｱﾝ 130ml</t>
  </si>
  <si>
    <t>JHP498N6A</t>
  </si>
  <si>
    <t>HP HP738 498N6A ｲﾝｸｶｰﾄﾘｯｼﾞ ﾏｾﾞﾝﾀ 130ml</t>
  </si>
  <si>
    <t>JHP498N7A</t>
  </si>
  <si>
    <t>HP HP738 498N7A ｲﾝｸｶｰﾄﾘｯｼﾞ ｲｴﾛｰ 130ml</t>
  </si>
  <si>
    <t>JHP498P6A</t>
  </si>
  <si>
    <t>HP HP738B 498P6A ｲﾝｸｶｰﾄﾘｯｼﾞ ﾌﾞﾗｯｸ 300ml</t>
  </si>
  <si>
    <t>JHP76XCF276X</t>
  </si>
  <si>
    <t>HP HP76X ﾄﾅｰｶｰﾄﾘｯｼﾞ 黒 大容量 CF276X</t>
  </si>
  <si>
    <t>JHPC375</t>
  </si>
  <si>
    <t>RICOH 廃ﾄﾅｰﾎﾞﾄﾙ P C375　514980</t>
  </si>
  <si>
    <t>JHPPCProOne440</t>
  </si>
  <si>
    <t>HP ProOne 440 G9 All-in-One/CT NEW</t>
  </si>
  <si>
    <t>JHSMC</t>
  </si>
  <si>
    <t>EPSON ｲﾝｸﾎﾞﾄﾙ ﾊｻﾐ HSM-C ｼｱﾝ</t>
  </si>
  <si>
    <t>JHSMM</t>
  </si>
  <si>
    <t>EPSON ｲﾝｸﾎﾞﾄﾙ ﾊｻﾐ HSM-M ﾏｾﾞﾝﾀ</t>
  </si>
  <si>
    <t>JHSMY</t>
  </si>
  <si>
    <t>EPSON ｲﾝｸﾎﾞﾄﾙ ﾊｻﾐ HSM-Y ｲｴﾛｰ</t>
  </si>
  <si>
    <t>JIB02CA</t>
  </si>
  <si>
    <t>EPSON ｲﾝｸｶｰﾄﾘｯｼﾞ IB02CA ｼｱﾝ</t>
  </si>
  <si>
    <t>JIB02CB</t>
  </si>
  <si>
    <t>EPSON ｲﾝｸｶｰﾄﾘｯｼﾞ IB02CB ｼｱﾝ</t>
  </si>
  <si>
    <t>JIB02KA</t>
  </si>
  <si>
    <t>EPSON ｲﾝｸｶｰﾄﾘｯｼﾞ IB02KA ﾌﾞﾗｯｸ</t>
  </si>
  <si>
    <t>JIB02KB</t>
  </si>
  <si>
    <t>EPSON ｲﾝｸｶｰﾄﾘｯｼﾞ IB02KB ﾌﾞﾗｯｸ</t>
  </si>
  <si>
    <t>JIB02MA</t>
  </si>
  <si>
    <t>EPSON ｲﾝｸｶｰﾄﾘｯｼﾞ IB02MA ﾏｾﾞﾝﾀ</t>
  </si>
  <si>
    <t>JIB02MB</t>
  </si>
  <si>
    <t>EPSON ｲﾝｸｶｰﾄﾘｯｼﾞ IB02MB ﾏｾﾞﾝﾀ</t>
  </si>
  <si>
    <t>JIB02YA</t>
  </si>
  <si>
    <t>EPSON ｲﾝｸｶｰﾄﾘｯｼﾞ IB02YA ｲｴﾛｰ</t>
  </si>
  <si>
    <t>JIB02YB</t>
  </si>
  <si>
    <t>EPSON ｲﾝｸｶｰﾄﾘｯｼﾞ IB02YB ｲｴﾛｰ</t>
  </si>
  <si>
    <t>JIB06CA</t>
  </si>
  <si>
    <t>EPSON ｲﾝｸｶｰﾄﾘｯｼﾞ IB06CA ｼｱﾝ</t>
  </si>
  <si>
    <t>JIB06CL5A</t>
  </si>
  <si>
    <t>EPSON ｲﾝｸｶｰﾄﾘｯｼﾞ IB06CL5A 5色ﾊﾟｯｸ</t>
  </si>
  <si>
    <t>JIB06KA</t>
  </si>
  <si>
    <t>EPSON ｲﾝｸｶｰﾄﾘｯｼﾞ IB06KA ﾌﾞﾗｯｸ</t>
  </si>
  <si>
    <t>JIB06MA</t>
  </si>
  <si>
    <t>EPSON ｲﾝｸｶｰﾄﾘｯｼﾞ IB06MA ﾏｾﾞﾝﾀ</t>
  </si>
  <si>
    <t>JIB06YA</t>
  </si>
  <si>
    <t>EPSON ｲﾝｸｶｰﾄﾘｯｼﾞ IB06YA ｲｴﾛｰ</t>
  </si>
  <si>
    <t>JIB07CA</t>
  </si>
  <si>
    <t>EPSON ｲﾝｸｶｰﾄﾘｯｼﾞ IB07CA ｼｱﾝ</t>
  </si>
  <si>
    <t>JIB07CB</t>
  </si>
  <si>
    <t>EPSON ｲﾝｸｶｰﾄﾘｯｼﾞ IB07CB ｼｱﾝ</t>
  </si>
  <si>
    <t>JIB07CL4A</t>
  </si>
  <si>
    <t>EPSON ｲﾝｸｶｰﾄﾘｯｼﾞ IB07CL4A</t>
  </si>
  <si>
    <t>JIB07CL4B</t>
  </si>
  <si>
    <t>EPSON ｲﾝｸｶｰﾄﾘｯｼﾞ IB07CL4B</t>
  </si>
  <si>
    <t>JIB07KA</t>
  </si>
  <si>
    <t>EPSON ｲﾝｸｶｰﾄﾘｯｼﾞ IB07KA ﾌﾞﾗｯｸ</t>
  </si>
  <si>
    <t>JIB07KB</t>
  </si>
  <si>
    <t>EPSON ｲﾝｸｶｰﾄﾘｯｼﾞ IB07KB ﾌﾞﾗｯｸ</t>
  </si>
  <si>
    <t>JIB07MA</t>
  </si>
  <si>
    <t>EPSON ｲﾝｸｶｰﾄﾘｯｼﾞ IB07MA ﾏｾﾞﾝﾀ</t>
  </si>
  <si>
    <t>JIB07MB</t>
  </si>
  <si>
    <t>EPSON ｲﾝｸｶｰﾄﾘｯｼﾞ IB07MB ﾏｾﾞﾝﾀ</t>
  </si>
  <si>
    <t>JIB07YA</t>
  </si>
  <si>
    <t>EPSON ｲﾝｸｶｰﾄﾘｯｼﾞ IB07YA ｲｴﾛｰ</t>
  </si>
  <si>
    <t>JIB07YB</t>
  </si>
  <si>
    <t>EPSON ｲﾝｸｶｰﾄﾘｯｼﾞ IB07YB ｲｴﾛｰ</t>
  </si>
  <si>
    <t>JIB09CL4A</t>
  </si>
  <si>
    <t>EPSON ｲﾝｸｶｰﾄﾘｯｼﾞ IB09CL4A 4色ﾊﾟｯｸ</t>
  </si>
  <si>
    <t>JIB09CL4B</t>
  </si>
  <si>
    <t>EPSON ｲﾝｸｶｰﾄﾘｯｼﾞ IB09CL4B 4色ﾊﾟｯｸ大容量</t>
  </si>
  <si>
    <t>JIB10CA</t>
  </si>
  <si>
    <t>EPSON ｲﾝｸｶｰﾄﾘｯｼﾞ IB10CA ｼｱﾝ</t>
  </si>
  <si>
    <t>JIB10CL4A</t>
  </si>
  <si>
    <t>EPSON ｲﾝｸｶｰﾄﾘｯｼﾞ IB10CL4A</t>
  </si>
  <si>
    <t>JIB10KA</t>
  </si>
  <si>
    <t>EPSON ｲﾝｸｶｰﾄﾘｯｼﾞ IB10KA ﾌﾞﾗｯｸ</t>
  </si>
  <si>
    <t>JIB10MA</t>
  </si>
  <si>
    <t>EPSON ｲﾝｸｶｰﾄﾘｯｼﾞ IB10MA ﾏｾﾞﾝﾀ</t>
  </si>
  <si>
    <t>JIB10YA</t>
  </si>
  <si>
    <t>EPSON ｲﾝｸｶｰﾄﾘｯｼﾞ IB10YA ｲｴﾛｰ</t>
  </si>
  <si>
    <t>JIB15CA</t>
  </si>
  <si>
    <t>EPSON ｲﾝｸｶｰﾄﾘｯｼﾞ IB15CA ｼｱﾝ</t>
  </si>
  <si>
    <t>JIB15CB</t>
  </si>
  <si>
    <t>EPSON ｲﾝｸｶｰﾄﾘｯｼﾞ IB15CB ｼｱﾝ</t>
  </si>
  <si>
    <t>JIB15KA</t>
  </si>
  <si>
    <t>EPSON ｲﾝｸｶｰﾄﾘｯｼﾞ IB15KA ﾌﾞﾗｯｸ</t>
  </si>
  <si>
    <t>JIB15KB</t>
  </si>
  <si>
    <t>EPSON ｲﾝｸｶｰﾄﾘｯｼﾞ IB15KB ﾌﾞﾗｯｸ</t>
  </si>
  <si>
    <t>JIB15MA</t>
  </si>
  <si>
    <t>EPSON ｲﾝｸｶｰﾄﾘｯｼﾞ IB15MA ﾏｾﾞﾝﾀ</t>
  </si>
  <si>
    <t>JIB15MB</t>
  </si>
  <si>
    <t>EPSON ｲﾝｸｶｰﾄﾘｯｼﾞ IB15MB ﾏｾﾞﾝﾀ</t>
  </si>
  <si>
    <t>JIB15YA</t>
  </si>
  <si>
    <t>EPSON ｲﾝｸｶｰﾄﾘｯｼﾞ IB15YA ｲｴﾛｰ</t>
  </si>
  <si>
    <t>JIB15YB</t>
  </si>
  <si>
    <t>EPSON ｲﾝｸｶｰﾄﾘｯｼﾞ IB15YB ｲｴﾛｰ</t>
  </si>
  <si>
    <t>JIBCI7EBK</t>
  </si>
  <si>
    <t>CANON ｲﾝｸﾀﾝｸ BCI-7eBK</t>
  </si>
  <si>
    <t>JIBCI7EC</t>
  </si>
  <si>
    <t>CANON ｲﾝｸﾀﾝｸ BCI-7eC</t>
  </si>
  <si>
    <t>JIBCI7EM</t>
  </si>
  <si>
    <t>CANON ｲﾝｸﾀﾝｸ BCI-7eM</t>
  </si>
  <si>
    <t>JIBCI7EPM</t>
  </si>
  <si>
    <t>CANON ｲﾝｸﾀﾝｸ BCI-7ePM</t>
  </si>
  <si>
    <t>JIBCI7ER</t>
  </si>
  <si>
    <t>CANON ｲﾝｸﾀﾝｸ BCI-7eR</t>
  </si>
  <si>
    <t>JIBCI7EY</t>
  </si>
  <si>
    <t>CANON ｲﾝｸﾀﾝｸ BCI-7eY</t>
  </si>
  <si>
    <t>JIBJIP170BK</t>
  </si>
  <si>
    <t>JIC10CL97</t>
  </si>
  <si>
    <t>EPSON ｲﾝｸｶｰﾄﾘｯｼﾞ 10色ﾊﾟｯｸ IC10CL97</t>
  </si>
  <si>
    <t>JIC41HI</t>
  </si>
  <si>
    <t>RICOH SG廃ｲﾝｸﾎﾞｯｸｽ IC41 【515819】</t>
  </si>
  <si>
    <t>JIC4CL6162B</t>
  </si>
  <si>
    <t>EPSON ｲﾝｸｶｰﾄﾘｯｼﾞ IC4CL6162B</t>
  </si>
  <si>
    <t>JIC4CL6165</t>
  </si>
  <si>
    <t>EPSON ｲﾝｸｶｰﾄﾘｯｼﾞ IC4CL6165B</t>
  </si>
  <si>
    <t>JIC4CL62A1</t>
  </si>
  <si>
    <t>EPSON ｲﾝｸｶｰﾄﾘｯｼﾞ IC4CL62A1</t>
  </si>
  <si>
    <t>JIC4CL69</t>
  </si>
  <si>
    <t>EPSON ｲﾝｸｶｰﾄﾘｯｼﾞ IC4CL69</t>
  </si>
  <si>
    <t>JIC4CL74</t>
  </si>
  <si>
    <t>EPSON ｲﾝｸｶｰﾄﾘｯｼﾞ IC4CL74</t>
  </si>
  <si>
    <t>JIC4CL76</t>
  </si>
  <si>
    <t>EPSON ｲﾝｸｶｰﾄﾘｯｼﾞ IC4CL76</t>
  </si>
  <si>
    <t>JIC4CL78</t>
  </si>
  <si>
    <t>EPSON ｲﾝｸｶｰﾄﾘｯｼﾞ IC4CL78</t>
  </si>
  <si>
    <t>JIC4CL84</t>
  </si>
  <si>
    <t>EPSON ｲﾝｸｶｰﾄﾘｯｼﾞ IC4CL84</t>
  </si>
  <si>
    <t>JIC4CL86</t>
  </si>
  <si>
    <t>EPSON ｲﾝｸｶｰﾄﾘｯｼﾞ IC4CL86</t>
  </si>
  <si>
    <t>JIC5CL59</t>
  </si>
  <si>
    <t>EPSON ｲﾝｸｶｰﾄﾘｯｼﾞ IC5CL59</t>
  </si>
  <si>
    <t>JIC6CL50</t>
  </si>
  <si>
    <t>EPSON ｲﾝｸｶｰﾄﾘｯｼﾞ IC6CL50</t>
  </si>
  <si>
    <t>JIC6CL50A2</t>
  </si>
  <si>
    <t>EPSON ｲﾝｸｶｰﾄﾘｯｼﾞ IC6CL50A2</t>
  </si>
  <si>
    <t>JIC6CL70</t>
  </si>
  <si>
    <t>EPSON ｲﾝｸｶｰﾄﾘｯｼﾞ IC6CL70</t>
  </si>
  <si>
    <t>JIC6CL70L</t>
  </si>
  <si>
    <t>EPSON ｲﾝｸｶｰﾄﾘｯｼﾞ IC6CL70L</t>
  </si>
  <si>
    <t>JIC6CL80</t>
  </si>
  <si>
    <t>EPSON ｲﾝｸｶｰﾄﾘｯｼﾞ IC6CL80</t>
  </si>
  <si>
    <t>JIC6CL80L</t>
  </si>
  <si>
    <t>EPSON ｲﾝｸｶｰﾄﾘｯｼﾞ IC6CL80L</t>
  </si>
  <si>
    <t>JIC6CL80M</t>
  </si>
  <si>
    <t>EPSON ｲﾝｸｶｰﾄﾘｯｼﾞ IC6CL80M</t>
  </si>
  <si>
    <t>JICBK36A</t>
  </si>
  <si>
    <t>EPSON ｲﾝｸｶｰﾄﾘｯｼﾞ ICBK36A</t>
  </si>
  <si>
    <t>JICBK50</t>
  </si>
  <si>
    <t>EPSON ｲﾝｸｶｰﾄﾘｯｼﾞ ICBK50</t>
  </si>
  <si>
    <t>JICBK52</t>
  </si>
  <si>
    <t>EPSON ｲﾝｸｶｰﾄﾘｯｼﾞ ICBK52</t>
  </si>
  <si>
    <t>JICBK54M</t>
  </si>
  <si>
    <t>EPSON ｲﾝｸｶｰﾄﾘｯｼﾞ ICBK54M</t>
  </si>
  <si>
    <t>JICBK57</t>
  </si>
  <si>
    <t>EPSON ｲﾝｸｶｰﾄﾘｯｼﾞ ICBK57</t>
  </si>
  <si>
    <t>JICBK58</t>
  </si>
  <si>
    <t>EPSON ｲﾝｸｶｰﾄﾘｯｼﾞ ICBK58</t>
  </si>
  <si>
    <t>JICBK59</t>
  </si>
  <si>
    <t>EPSON ｲﾝｸｶｰﾄﾘｯｼﾞ ICBK59</t>
  </si>
  <si>
    <t>JICBK60</t>
  </si>
  <si>
    <t>EPSON ｲﾝｸｶｰﾄﾘｯｼﾞ ICBK60</t>
  </si>
  <si>
    <t>JICBK61</t>
  </si>
  <si>
    <t>EPSON ｲﾝｸｶｰﾄﾘｯｼﾞ ICBK61A1</t>
  </si>
  <si>
    <t>JICBK62</t>
  </si>
  <si>
    <t>JICBK62A1</t>
  </si>
  <si>
    <t>EPSON ｲﾝｸｶｰﾄﾘｯｼﾞ ICBK62A1</t>
  </si>
  <si>
    <t>JICBK63</t>
  </si>
  <si>
    <t>EPSON ｲﾝｸｶｰﾄﾘｯｼﾞ ICBK63</t>
  </si>
  <si>
    <t>JICBK69</t>
  </si>
  <si>
    <t>EPSON ｲﾝｸｶｰﾄﾘｯｼﾞ ICBK69 ﾌﾞﾗｯｸ</t>
  </si>
  <si>
    <t>JICBK69L</t>
  </si>
  <si>
    <t>EPSON ｲﾝｸｶｰﾄﾘｯｼﾞ ICBK69L</t>
  </si>
  <si>
    <t>JICBK70</t>
  </si>
  <si>
    <t>EPSON ｲﾝｸｶｰﾄﾘｯｼﾞ ICBK70</t>
  </si>
  <si>
    <t>JICBK70L</t>
  </si>
  <si>
    <t>EPSON ｲﾝｸｶｰﾄﾘｯｼﾞ ICBK70L</t>
  </si>
  <si>
    <t>JICBK73</t>
  </si>
  <si>
    <t>EPSON ｲﾝｸｶｰﾄﾘｯｼﾞ ICBK73</t>
  </si>
  <si>
    <t>JICBK74</t>
  </si>
  <si>
    <t>EPSON ｲﾝｸｶｰﾄﾘｯｼﾞ ICBK74</t>
  </si>
  <si>
    <t>JICBK75</t>
  </si>
  <si>
    <t>EPSON ｲﾝｸｶｰﾄﾘｯｼﾞ ICBK75</t>
  </si>
  <si>
    <t>JICBK76</t>
  </si>
  <si>
    <t>EPSON ｲﾝｸｶｰﾄﾘｯｼﾞ ICBK76</t>
  </si>
  <si>
    <t>JICBK78</t>
  </si>
  <si>
    <t>EPSON ｲﾝｸｶｰﾄﾘｯｼﾞ ICBK78</t>
  </si>
  <si>
    <t>JICBK79A1</t>
  </si>
  <si>
    <t>EPSON ｲﾝｸｶｰﾄﾘｯｼﾞ ﾌﾞﾗｯｸ  ICBK79A1</t>
  </si>
  <si>
    <t>JICBK80</t>
  </si>
  <si>
    <t>EPSON ｲﾝｸｶｰﾄﾘｯｼﾞ ICBK80</t>
  </si>
  <si>
    <t>JICBK80L</t>
  </si>
  <si>
    <t>EPSON ｲﾝｸｶｰﾄﾘｯｼﾞ ICBK80L</t>
  </si>
  <si>
    <t>JICBK82</t>
  </si>
  <si>
    <t>EPSON ｲﾝｸｶｰﾄﾘｯｼﾞ ICBK82 ﾌﾞﾗｯｸ</t>
  </si>
  <si>
    <t>JICBK84</t>
  </si>
  <si>
    <t>EPSON ｲﾝｸｶｰﾄﾘｯｼﾞ ICBK84</t>
  </si>
  <si>
    <t>JICBK86</t>
  </si>
  <si>
    <t>EPSON ｲﾝｸｶｰﾄﾘｯｼﾞ ICBK86</t>
  </si>
  <si>
    <t>JICBK88A1</t>
  </si>
  <si>
    <t>EPSON ｲﾝｸｶｰﾄﾘｯｼﾞ ICBK88A1</t>
  </si>
  <si>
    <t>JICBK90L</t>
  </si>
  <si>
    <t>EPSON ｲﾝｸｶｰﾄﾘｯｼﾞ ICBK90L</t>
  </si>
  <si>
    <t>JICBK91M</t>
  </si>
  <si>
    <t>EPSON ｲﾝｸｶｰﾄﾘｯｼﾞ ICBK91M</t>
  </si>
  <si>
    <t>JICBK92L</t>
  </si>
  <si>
    <t>ﾘｻｲｸﾙｲﾝｸ ICBK92L</t>
  </si>
  <si>
    <t>JICBK93L</t>
  </si>
  <si>
    <t>EPSON ｲﾝｸｶｰﾄﾘｯｼﾞ ICBK93L</t>
  </si>
  <si>
    <t>JICBK93M</t>
  </si>
  <si>
    <t>EPSON ｲﾝｸｶｰﾄﾘｯｼﾞ ICBK93M</t>
  </si>
  <si>
    <t>JICBK95L</t>
  </si>
  <si>
    <t>EPSON ｲﾝｸｶｰﾄﾘｯｼﾞ ICBK95L</t>
  </si>
  <si>
    <t>JICBK95M</t>
  </si>
  <si>
    <t>EPSON ｲﾝｸｶｰﾄﾘｯｼﾞ ICBK95M</t>
  </si>
  <si>
    <t>JICBK96</t>
  </si>
  <si>
    <t>EPSON ｲﾝｸｶｰﾄﾘｯｼﾞ ICBK96 ﾌｫﾄﾌﾞﾗｯｸ</t>
  </si>
  <si>
    <t>JICBK97</t>
  </si>
  <si>
    <t>EPSON ｲﾝｸｶｰﾄﾘｯｼﾞ ﾌｫﾄﾌﾞﾗｯｸ ICBK97</t>
  </si>
  <si>
    <t>JICC24A</t>
  </si>
  <si>
    <t>EPSON ｲﾝｸｶｰﾄﾘｯｼﾞ ICC24A</t>
  </si>
  <si>
    <t>JICC36A</t>
  </si>
  <si>
    <t>EPSON ｲﾝｸｶｰﾄﾘｯｼﾞ ICC36A</t>
  </si>
  <si>
    <t>JICC41A</t>
  </si>
  <si>
    <t>JICC50</t>
  </si>
  <si>
    <t>EPSON ｲﾝｸｶｰﾄﾘｯｼﾞ ICC50</t>
  </si>
  <si>
    <t>JICC52</t>
  </si>
  <si>
    <t>EPSON ｲﾝｸｶｰﾄﾘｯｼﾞ ICC52</t>
  </si>
  <si>
    <t>JICC54M</t>
  </si>
  <si>
    <t>EPSON ｲﾝｸｶｰﾄﾘｯｼﾞ ICC54M</t>
  </si>
  <si>
    <t>JICC57</t>
  </si>
  <si>
    <t>EPSON ｲﾝｸｶｰﾄﾘｯｼﾞ ICC57</t>
  </si>
  <si>
    <t>JICC58</t>
  </si>
  <si>
    <t>EPSON ｲﾝｸｶｰﾄﾘｯｼﾞ ICC58</t>
  </si>
  <si>
    <t>JICC59</t>
  </si>
  <si>
    <t>EPSON ｲﾝｸｶｰﾄﾘｯｼﾞ ICC59</t>
  </si>
  <si>
    <t>JICC60</t>
  </si>
  <si>
    <t>EPSON ｲﾝｸｶｰﾄﾘｯｼﾞ ICC60</t>
  </si>
  <si>
    <t>JICC62</t>
  </si>
  <si>
    <t>JICC62A1</t>
  </si>
  <si>
    <t>EPSON ｲﾝｸｶｰﾄﾘｯｼﾞ ICC62A1</t>
  </si>
  <si>
    <t>JICC63</t>
  </si>
  <si>
    <t>EPSON ｲﾝｸｶｰﾄﾘｯｼﾞ ICC63</t>
  </si>
  <si>
    <t>JICC65</t>
  </si>
  <si>
    <t>EPSON ｲﾝｸｶｰﾄﾘｯｼﾞ ICC65A1</t>
  </si>
  <si>
    <t>JICC69</t>
  </si>
  <si>
    <t>EPSON ｲﾝｸｶｰﾄﾘｯｼﾞ ICC69 ｼｱﾝ</t>
  </si>
  <si>
    <t>JICC70</t>
  </si>
  <si>
    <t>EPSON ｲﾝｸｶｰﾄﾘｯｼﾞ ICC70</t>
  </si>
  <si>
    <t>JICC70L</t>
  </si>
  <si>
    <t>EPSON ｲﾝｸｶｰﾄﾘｯｼﾞ ICC70L</t>
  </si>
  <si>
    <t>JICC74</t>
  </si>
  <si>
    <t>EPSON ｲﾝｸｶｰﾄﾘｯｼﾞ ICC74</t>
  </si>
  <si>
    <t>JICC75</t>
  </si>
  <si>
    <t>EPSON ｲﾝｸｶｰﾄﾘｯｼﾞ ICC75</t>
  </si>
  <si>
    <t>JICC76</t>
  </si>
  <si>
    <t>EPSON ｲﾝｸｶｰﾄﾘｯｼﾞ ICC76</t>
  </si>
  <si>
    <t>JICC78</t>
  </si>
  <si>
    <t>EPSON ｲﾝｸｶｰﾄﾘｯｼﾞ ICC78</t>
  </si>
  <si>
    <t>JICC79A1</t>
  </si>
  <si>
    <t>EPSON ｲﾝｸｶｰﾄﾘｯｼﾞ ｼｱﾝ  ICC79A1</t>
  </si>
  <si>
    <t>JICC80</t>
  </si>
  <si>
    <t>EPSON ｲﾝｸｶｰﾄﾘｯｼﾞ ICC80</t>
  </si>
  <si>
    <t>JICC80L</t>
  </si>
  <si>
    <t>EPSON ｲﾝｸｶｰﾄﾘｯｼﾞ ICC80L</t>
  </si>
  <si>
    <t>JICC84</t>
  </si>
  <si>
    <t>EPSON ｲﾝｸｶｰﾄﾘｯｼﾞ ICC84</t>
  </si>
  <si>
    <t>JICC88A1</t>
  </si>
  <si>
    <t>EPSON ｲﾝｸｶｰﾄﾘｯｼﾞ ICC88A1</t>
  </si>
  <si>
    <t>JICC90M</t>
  </si>
  <si>
    <t>EPSON ｲﾝｸｶｰﾄﾘｯｼﾞ ICC90M</t>
  </si>
  <si>
    <t>JICC92L</t>
  </si>
  <si>
    <t>ﾘｻｲｸﾙｲﾝｸ ICC92L</t>
  </si>
  <si>
    <t>JICC92M</t>
  </si>
  <si>
    <t>EPSON ｲﾝｸｶｰﾄﾘｯｼﾞ ICC92M</t>
  </si>
  <si>
    <t>JICC93L</t>
  </si>
  <si>
    <t>EPSON ｲﾝｸｶｰﾄﾘｯｼﾞ ICC93L</t>
  </si>
  <si>
    <t>JICC93M</t>
  </si>
  <si>
    <t>EPSON ｲﾝｸｶｰﾄﾘｯｼﾞ ICC93M</t>
  </si>
  <si>
    <t>JICC97</t>
  </si>
  <si>
    <t>EPSON ｲﾝｸｶｰﾄﾘｯｼﾞｼｱﾝ ICC97</t>
  </si>
  <si>
    <t>JICCL81</t>
  </si>
  <si>
    <t>EPSON ｲﾝｸｶｰﾄﾘｯｼﾞ ICCL81</t>
  </si>
  <si>
    <t>JICCL82</t>
  </si>
  <si>
    <t>EPSON ｲﾝｸｶｰﾄﾘｯｼﾞ ICCL82 ｶﾗｰ</t>
  </si>
  <si>
    <t>JICCVK36A</t>
  </si>
  <si>
    <t>EPSON ｲﾝｸｶｰﾄﾘｯｼﾞ ICCVK36A</t>
  </si>
  <si>
    <t>JICDBL97</t>
  </si>
  <si>
    <t>EPSON ｲﾝｸｶｰﾄﾘｯｼﾞ ﾃﾞｨｰﾌﾟﾌﾞﾙｰ ICDBL97</t>
  </si>
  <si>
    <t>JICGL88A1</t>
  </si>
  <si>
    <t>EPSON ｲﾝｸｶｰﾄﾘｯｼﾞ ICGL88A1 ｸﾞﾛｽｵﾌﾟﾃｨﾏｲｻﾞ</t>
  </si>
  <si>
    <t>JICGR57</t>
  </si>
  <si>
    <t>EPSON ｲﾝｸｶｰﾄﾘｯｼﾞ ICGR57</t>
  </si>
  <si>
    <t>JICGR58</t>
  </si>
  <si>
    <t>EPSON ｲﾝｸｶｰﾄﾘｯｼﾞ ICGR58</t>
  </si>
  <si>
    <t>JICGR63</t>
  </si>
  <si>
    <t>EPSON ｲﾝｸｶｰﾄﾘｯｼﾞ ICGR63</t>
  </si>
  <si>
    <t>JICGY36A</t>
  </si>
  <si>
    <t>EPSON ｲﾝｸｶｰﾄﾘｯｼﾞ ICGY36A</t>
  </si>
  <si>
    <t>JICGY52</t>
  </si>
  <si>
    <t>EPSON ｲﾝｸｶｰﾄﾘｯｼﾞ ICVGY52</t>
  </si>
  <si>
    <t>JICGY57</t>
  </si>
  <si>
    <t>EPSON ｲﾝｸｶｰﾄﾘｯｼﾞ ICGY57</t>
  </si>
  <si>
    <t>JICGY58</t>
  </si>
  <si>
    <t>EPSON ｲﾝｸｶｰﾄﾘｯｼﾞ ICGY58</t>
  </si>
  <si>
    <t>JICGY60</t>
  </si>
  <si>
    <t>EPSON ｲﾝｸｶｰﾄﾘｯｼﾞ ICGY60</t>
  </si>
  <si>
    <t>JICGY63</t>
  </si>
  <si>
    <t>EPSON ｲﾝｸｶｰﾄﾘｯｼﾞ ICGY63</t>
  </si>
  <si>
    <t>JICGY79A1</t>
  </si>
  <si>
    <t>EPSON ｲﾝｸｶｰﾄﾘｯｼﾞ ｸﾞﾚｰ  ICGY79A1</t>
  </si>
  <si>
    <t>jICGY97</t>
  </si>
  <si>
    <t>EPSON ｲﾝｸｶｰﾄﾘｯｼﾞ ｸﾞﾚｰ ICGY97</t>
  </si>
  <si>
    <t>JICLC36A</t>
  </si>
  <si>
    <t>EPSON ｲﾝｸｶｰﾄﾘｯｼﾞ ICLC36A</t>
  </si>
  <si>
    <t>JICLC50</t>
  </si>
  <si>
    <t>EPSON ｲﾝｸｶｰﾄﾘｯｼﾞ ICLC50</t>
  </si>
  <si>
    <t>JICLC52</t>
  </si>
  <si>
    <t>EPSON ｲﾝｸｶｰﾄﾘｯｼﾞ ICLC52</t>
  </si>
  <si>
    <t>JICLC57</t>
  </si>
  <si>
    <t>EPSON ｲﾝｸｶｰﾄﾘｯｼﾞ ICLC57</t>
  </si>
  <si>
    <t>JICLC58</t>
  </si>
  <si>
    <t>EPSON ｲﾝｸｶｰﾄﾘｯｼﾞ ICLC58</t>
  </si>
  <si>
    <t>JICLC60</t>
  </si>
  <si>
    <t>EPSON ｲﾝｸｶｰﾄﾘｯｼﾞ ICLC60</t>
  </si>
  <si>
    <t>JICLC63</t>
  </si>
  <si>
    <t>EPSON ｲﾝｸｶｰﾄﾘｯｼﾞ ICLC63</t>
  </si>
  <si>
    <t>JICLC70</t>
  </si>
  <si>
    <t>EPSON ｲﾝｸｶｰﾄﾘｯｼﾞ ICLC70</t>
  </si>
  <si>
    <t>JICLC70L</t>
  </si>
  <si>
    <t>EPSON ｲﾝｸｶｰﾄﾘｯｼﾞ ICLC70L</t>
  </si>
  <si>
    <t>JICLC79A1</t>
  </si>
  <si>
    <t>EPSON ｲﾝｸｶｰﾄﾘｯｼﾞ ﾗｲﾄｼｱﾝ  ICLC79A1</t>
  </si>
  <si>
    <t>JICLC80</t>
  </si>
  <si>
    <t>EPSON ｲﾝｸｶｰﾄﾘｯｼﾞ ICLC80</t>
  </si>
  <si>
    <t>JICLC80L</t>
  </si>
  <si>
    <t>EPSON ｲﾝｸｶｰﾄﾘｯｼﾞ ICLC80L</t>
  </si>
  <si>
    <t>JICLC97</t>
  </si>
  <si>
    <t>EPSON ｲﾝｸｶｰﾄﾘｯｼﾞ ﾗｲﾄｼｱﾝ ICLC97</t>
  </si>
  <si>
    <t>JICLGY36A</t>
  </si>
  <si>
    <t>EPSON ｲﾝｸｶｰﾄﾘｯｼﾞ ICLGY36A</t>
  </si>
  <si>
    <t>JICLGY52</t>
  </si>
  <si>
    <t>EPSON ｲﾝｸｶｰﾄﾘｯｼﾞ ICLGY52</t>
  </si>
  <si>
    <t>JICLGY57</t>
  </si>
  <si>
    <t>EPSON ｲﾝｸｶｰﾄﾘｯｼﾞ ICLGY57</t>
  </si>
  <si>
    <t>JICLGY58</t>
  </si>
  <si>
    <t>EPSON ｲﾝｸｶｰﾄﾘｯｼﾞ ICLGY58</t>
  </si>
  <si>
    <t>JICLGY60</t>
  </si>
  <si>
    <t>EPSON ｲﾝｸｶｰﾄﾘｯｼﾞ ICLGY60</t>
  </si>
  <si>
    <t>JICLGY63</t>
  </si>
  <si>
    <t>EPSON ｲﾝｸｶｰﾄﾘｯｼﾞ ICLGY63</t>
  </si>
  <si>
    <t>JICLGY79A1</t>
  </si>
  <si>
    <t>EPSON ｲﾝｸｶｰﾄﾘｯｼﾞ ﾗｲﾄｸﾞﾚｰ  ICLGY79A1</t>
  </si>
  <si>
    <t>JICLM36A</t>
  </si>
  <si>
    <t>EPSON ｲﾝｸｶｰﾄﾘｯｼﾞ ICLM36A</t>
  </si>
  <si>
    <t>JICLM50</t>
  </si>
  <si>
    <t>EPSON ｲﾝｸｶｰﾄﾘｯｼﾞ ICLM50</t>
  </si>
  <si>
    <t>JICLM70</t>
  </si>
  <si>
    <t>EPSON ｲﾝｸｶｰﾄﾘｯｼﾞ ICLM70</t>
  </si>
  <si>
    <t>JICLM70L</t>
  </si>
  <si>
    <t>EPSON ｲﾝｸｶｰﾄﾘｯｼﾞ ICLM70L</t>
  </si>
  <si>
    <t>JICLM80</t>
  </si>
  <si>
    <t>EPSON ｲﾝｸｶｰﾄﾘｯｼﾞ ICLM80</t>
  </si>
  <si>
    <t>JICLM80L</t>
  </si>
  <si>
    <t>EPSON ｲﾝｸｶｰﾄﾘｯｼﾞ ICLM80L</t>
  </si>
  <si>
    <t>JICM24A</t>
  </si>
  <si>
    <t>EPSON ｲﾝｸｶｰﾄﾘｯｼﾞ ICM24A</t>
  </si>
  <si>
    <t>JICM36A</t>
  </si>
  <si>
    <t>EPSON ｲﾝｸｶｰﾄﾘｯｼﾞ ICM36A</t>
  </si>
  <si>
    <t>JICM41A</t>
  </si>
  <si>
    <t>JICM50</t>
  </si>
  <si>
    <t>EPSON ｲﾝｸｶｰﾄﾘｯｼﾞ ICM50</t>
  </si>
  <si>
    <t>JICM54M</t>
  </si>
  <si>
    <t>EPSON ｲﾝｸｶｰﾄﾘｯｼﾞ ICM54M</t>
  </si>
  <si>
    <t>JICM59</t>
  </si>
  <si>
    <t>EPSON ｲﾝｸｶｰﾄﾘｯｼﾞ ICM59</t>
  </si>
  <si>
    <t>JICM62</t>
  </si>
  <si>
    <t>JICM62A1</t>
  </si>
  <si>
    <t>EPSON ｲﾝｸｶｰﾄﾘｯｼﾞ ICM62A1</t>
  </si>
  <si>
    <t>JICM65</t>
  </si>
  <si>
    <t>EPSON ｲﾝｸｶｰﾄﾘｯｼﾞ ICM65A1</t>
  </si>
  <si>
    <t>JICM69</t>
  </si>
  <si>
    <t>EPSON ｲﾝｸｶｰﾄﾘｯｼﾞ ICM69 ﾏｾﾞﾝﾀ</t>
  </si>
  <si>
    <t>JICM70</t>
  </si>
  <si>
    <t>EPSON ｲﾝｸｶｰﾄﾘｯｼﾞ ICM70</t>
  </si>
  <si>
    <t>JICM70L</t>
  </si>
  <si>
    <t>EPSON ｲﾝｸｶｰﾄﾘｯｼﾞ ICM70L</t>
  </si>
  <si>
    <t>JICM74</t>
  </si>
  <si>
    <t>EPSON ｲﾝｸｶｰﾄﾘｯｼﾞ ICM74</t>
  </si>
  <si>
    <t>JICM75</t>
  </si>
  <si>
    <t>EPSON ｲﾝｸｶｰﾄﾘｯｼﾞ ICM75</t>
  </si>
  <si>
    <t>JICM76</t>
  </si>
  <si>
    <t>EPSON ｲﾝｸｶｰﾄﾘｯｼﾞ ICM76</t>
  </si>
  <si>
    <t>JICM78</t>
  </si>
  <si>
    <t>EPSON ｲﾝｸｶｰﾄﾘｯｼﾞ ICM78</t>
  </si>
  <si>
    <t>JICM80</t>
  </si>
  <si>
    <t>EPSON ｲﾝｸｶｰﾄﾘｯｼﾞ ICM80</t>
  </si>
  <si>
    <t>JICM80L</t>
  </si>
  <si>
    <t>EPSON ｲﾝｸｶｰﾄﾘｯｼﾞ ICM80L</t>
  </si>
  <si>
    <t>JICM84</t>
  </si>
  <si>
    <t>EPSON ｲﾝｸｶｰﾄﾘｯｼﾞ ICM84</t>
  </si>
  <si>
    <t>JICM88A1</t>
  </si>
  <si>
    <t>EPSON ｲﾝｸｶｰﾄﾘｯｼﾞ ICM88A1</t>
  </si>
  <si>
    <t>JICM90M</t>
  </si>
  <si>
    <t>EPSON ｲﾝｸｶｰﾄﾘｯｼﾞ ICM90M</t>
  </si>
  <si>
    <t>JICM92L</t>
  </si>
  <si>
    <t>ﾘｻｲｸﾙｲﾝｸ ICM92L</t>
  </si>
  <si>
    <t>JICM92M</t>
  </si>
  <si>
    <t>EPSON ｲﾝｸｶｰﾄﾘｯｼﾞ ICM92M</t>
  </si>
  <si>
    <t>JICM93L</t>
  </si>
  <si>
    <t>EPSON ｲﾝｸｶｰﾄﾘｯｼﾞ ICM93L</t>
  </si>
  <si>
    <t>JICM93M</t>
  </si>
  <si>
    <t>EPSON ｲﾝｸｶｰﾄﾘｯｼﾞ ICM93M</t>
  </si>
  <si>
    <t>JICMB24A</t>
  </si>
  <si>
    <t>EPSON ｲﾝｸｶｰﾄﾘｯｼﾞ ICMB24A</t>
  </si>
  <si>
    <t>JICMB41A</t>
  </si>
  <si>
    <t>JICMB52</t>
  </si>
  <si>
    <t>EPSON ｲﾝｸｶｰﾄﾘｯｼﾞ ICMB52</t>
  </si>
  <si>
    <t>JICMB57</t>
  </si>
  <si>
    <t>EPSON ｲﾝｸｶｰﾄﾘｯｼﾞ ICMB57</t>
  </si>
  <si>
    <t>JICMB58</t>
  </si>
  <si>
    <t>EPSON ｲﾝｸｶｰﾄﾘｯｼﾞ ICMB58</t>
  </si>
  <si>
    <t>JICMB60</t>
  </si>
  <si>
    <t>EPSON ｲﾝｸｶｰﾄﾘｯｼﾞ ICMB60</t>
  </si>
  <si>
    <t>JICMB63</t>
  </si>
  <si>
    <t>EPSON ｲﾝｸｶｰﾄﾘｯｼﾞ ICMB63</t>
  </si>
  <si>
    <t>JICMB79A1</t>
  </si>
  <si>
    <t>EPSON ｲﾝｸｶｰﾄﾘｯｼﾞ ﾏｯﾄﾌﾞﾗｯｸ  ICMB79A1</t>
  </si>
  <si>
    <t>JICMB97</t>
  </si>
  <si>
    <t>EPSON ｲﾝｸｶｰﾄﾘｯｼﾞﾏｯﾄﾌﾞﾗｯｸ ICMB97</t>
  </si>
  <si>
    <t>JICMT1</t>
  </si>
  <si>
    <t>EPSON ﾒﾝﾃﾅﾝｽﾀﾝｸ ICMT1</t>
  </si>
  <si>
    <t>JICOR57</t>
  </si>
  <si>
    <t>EPSON ｲﾝｸｶｰﾄﾘｯｼﾞ ICOR57</t>
  </si>
  <si>
    <t>JICOR58</t>
  </si>
  <si>
    <t>EPSON ｲﾝｸｶｰﾄﾘｯｼﾞ ICOR58</t>
  </si>
  <si>
    <t>JICOR63</t>
  </si>
  <si>
    <t>EPSON ｲﾝｸｶｰﾄﾘｯｼﾞ ICOR63</t>
  </si>
  <si>
    <t>JICOR88A1</t>
  </si>
  <si>
    <t>EPSON ｲﾝｸｶｰﾄﾘｯｼﾞ ICOR88A1</t>
  </si>
  <si>
    <t>JICVLM36A</t>
  </si>
  <si>
    <t>EPSON ｲﾝｸｶｰﾄﾘｯｼﾞ ICVLM36A</t>
  </si>
  <si>
    <t>JICVLM52</t>
  </si>
  <si>
    <t>EPSON ｲﾝｸｶｰﾄﾘｯｼﾞ ICVLM52</t>
  </si>
  <si>
    <t>JICVLM57</t>
  </si>
  <si>
    <t>EPSON ｲﾝｸｶｰﾄﾘｯｼﾞ ICVLM57</t>
  </si>
  <si>
    <t>JICVLM58</t>
  </si>
  <si>
    <t>EPSON ｲﾝｸｶｰﾄﾘｯｼﾞ ICVLM58</t>
  </si>
  <si>
    <t>JICVLM60</t>
  </si>
  <si>
    <t>EPSON ｲﾝｸｶｰﾄﾘｯｼﾞ ICVLM60</t>
  </si>
  <si>
    <t>JICVLM63</t>
  </si>
  <si>
    <t>EPSON ｲﾝｸｶｰﾄﾘｯｼﾞ ICVLM63</t>
  </si>
  <si>
    <t>JICVLM79A1</t>
  </si>
  <si>
    <t>EPSON ｲﾝｸｶｰﾄﾘｯｼﾞ ﾋﾞﾋﾞｯﾄﾗｲﾄﾏｾﾞﾝﾀ  ICVLM79A1</t>
  </si>
  <si>
    <t>JICVLM97</t>
  </si>
  <si>
    <t>EPSON ｲﾝｸｶｰﾄﾘｯｼﾞ ﾋﾞﾋﾞｯﾄﾗｲﾄﾏｾﾞﾝﾀ  ICVLM97</t>
  </si>
  <si>
    <t>JICVM36A</t>
  </si>
  <si>
    <t>EPSON ｲﾝｸｶｰﾄﾘｯｼﾞ ICVM36A</t>
  </si>
  <si>
    <t>JICVM52</t>
  </si>
  <si>
    <t>EPSON ｲﾝｸｶｰﾄﾘｯｼﾞ ICVM52</t>
  </si>
  <si>
    <t>JICVM57</t>
  </si>
  <si>
    <t>EPSON ｲﾝｸｶｰﾄﾘｯｼﾞ ICVM57</t>
  </si>
  <si>
    <t>JICVM58</t>
  </si>
  <si>
    <t>EPSON ｲﾝｸｶｰﾄﾘｯｼﾞ ICVM58</t>
  </si>
  <si>
    <t>JICVM60</t>
  </si>
  <si>
    <t>EPSON ｲﾝｸｶｰﾄﾘｯｼﾞ ICVM60</t>
  </si>
  <si>
    <t>JICVM63</t>
  </si>
  <si>
    <t>EPSON ｲﾝｸｶｰﾄﾘｯｼﾞ ICVM63</t>
  </si>
  <si>
    <t>JICVM79A1</t>
  </si>
  <si>
    <t>EPSON ｲﾝｸｶｰﾄﾘｯｼﾞ ﾏｾﾞﾝﾀ  ICVM79A1</t>
  </si>
  <si>
    <t>JICVM97</t>
  </si>
  <si>
    <t>EPSON ｲﾝｸｶｰﾄﾘｯｼﾞ ﾋﾞﾋﾞｯﾄﾞﾏｾﾞﾝﾀ ICVM97</t>
  </si>
  <si>
    <t>JICWCLL</t>
  </si>
  <si>
    <t>EPSON ｸﾘｰﾆﾝｸﾞ液 ICWCLL</t>
  </si>
  <si>
    <t>JICWW57</t>
  </si>
  <si>
    <t>EPSON ｲﾝｸｶｰﾄﾘｯｼﾞ ICWW57</t>
  </si>
  <si>
    <t>JICY24A</t>
  </si>
  <si>
    <t>EPSON ｲﾝｸｶｰﾄﾘｯｼﾞ ICY24A</t>
  </si>
  <si>
    <t>JICY36A</t>
  </si>
  <si>
    <t>EPSON ｲﾝｸｶｰﾄﾘｯｼﾞ ICY36A</t>
  </si>
  <si>
    <t>JICY41A</t>
  </si>
  <si>
    <t>JICY50</t>
  </si>
  <si>
    <t>EPSON ｲﾝｸｶｰﾄﾘｯｼﾞ ICY50</t>
  </si>
  <si>
    <t>JICY52</t>
  </si>
  <si>
    <t>EPSON ｲﾝｸｶｰﾄﾘｯｼﾞ ICY52</t>
  </si>
  <si>
    <t>JICY54M</t>
  </si>
  <si>
    <t>EPSON ｲﾝｸｶｰﾄﾘｯｼﾞ ICY54M</t>
  </si>
  <si>
    <t>JICY57</t>
  </si>
  <si>
    <t>EPSON ｲﾝｸｶｰﾄﾘｯｼﾞ ICY57</t>
  </si>
  <si>
    <t>JICY58</t>
  </si>
  <si>
    <t>EPSON ｲﾝｸｶｰﾄﾘｯｼﾞ ICY58</t>
  </si>
  <si>
    <t>JICY59</t>
  </si>
  <si>
    <t>EPSON ｲﾝｸｶｰﾄﾘｯｼﾞ ICY59</t>
  </si>
  <si>
    <t>JICY60</t>
  </si>
  <si>
    <t>EPSON ｲﾝｸｶｰﾄﾘｯｼﾞ ICY60</t>
  </si>
  <si>
    <t>JICY62</t>
  </si>
  <si>
    <t>JICY62A1</t>
  </si>
  <si>
    <t>EPSON ｲﾝｸｶｰﾄﾘｯｼﾞ ICY62A1</t>
  </si>
  <si>
    <t>JICY63</t>
  </si>
  <si>
    <t>EPSON ｲﾝｸｶｰﾄﾘｯｼﾞ ICY63</t>
  </si>
  <si>
    <t>JICY65</t>
  </si>
  <si>
    <t>EPSON ｲﾝｸｶｰﾄﾘｯｼﾞ ICY65A1</t>
  </si>
  <si>
    <t>JICY69</t>
  </si>
  <si>
    <t>EPSON ｲﾝｸｶｰﾄﾘｯｼﾞ ICY69 ｲｴﾛｰ</t>
  </si>
  <si>
    <t>JICY70</t>
  </si>
  <si>
    <t>EPSON ｲﾝｸｶｰﾄﾘｯｼﾞ ICY70</t>
  </si>
  <si>
    <t>JICY70L</t>
  </si>
  <si>
    <t>EPSON ｲﾝｸｶｰﾄﾘｯｼﾞ ICY70L</t>
  </si>
  <si>
    <t>JICY74</t>
  </si>
  <si>
    <t>EPSON ｲﾝｸｶｰﾄﾘｯｼﾞ ICY74</t>
  </si>
  <si>
    <t>JICY75</t>
  </si>
  <si>
    <t>EPSON ｲﾝｸｶｰﾄﾘｯｼﾞ ICY75</t>
  </si>
  <si>
    <t>JICY76</t>
  </si>
  <si>
    <t>EPSON ｲﾝｸｶｰﾄﾘｯｼﾞ ICY76</t>
  </si>
  <si>
    <t>JICY78</t>
  </si>
  <si>
    <t>EPSON ｲﾝｸｶｰﾄﾘｯｼﾞ ICY78</t>
  </si>
  <si>
    <t>JICY79A1</t>
  </si>
  <si>
    <t>EPSON ｲﾝｸｶｰﾄﾘｯｼﾞ ｲｴﾛｰ  ICY79A1</t>
  </si>
  <si>
    <t>JICY80</t>
  </si>
  <si>
    <t>EPSON ｲﾝｸｶｰﾄﾘｯｼﾞ ICY80</t>
  </si>
  <si>
    <t>JICY80L</t>
  </si>
  <si>
    <t>EPSON ｲﾝｸｶｰﾄﾘｯｼﾞ ICY80L</t>
  </si>
  <si>
    <t>JICY84</t>
  </si>
  <si>
    <t>EPSON ｲﾝｸｶｰﾄﾘｯｼﾞ ICY84</t>
  </si>
  <si>
    <t>JICY88A1</t>
  </si>
  <si>
    <t>EPSON ｲﾝｸｶｰﾄﾘｯｼﾞ ICY88A1</t>
  </si>
  <si>
    <t>JICY90M</t>
  </si>
  <si>
    <t>EPSON ｲﾝｸｶｰﾄﾘｯｼﾞ ICY90M</t>
  </si>
  <si>
    <t>JICY92L</t>
  </si>
  <si>
    <t>ﾘｻｲｸﾙｲﾝｸ ICY92L</t>
  </si>
  <si>
    <t>JICY92M</t>
  </si>
  <si>
    <t>EPSON ｲﾝｸｶｰﾄﾘｯｼﾞ ICY92M</t>
  </si>
  <si>
    <t>JICY93L</t>
  </si>
  <si>
    <t>EPSON ｲﾝｸｶｰﾄﾘｯｼﾞ ICY93L</t>
  </si>
  <si>
    <t>JICY93M</t>
  </si>
  <si>
    <t>EPSON ｲﾝｸｶｰﾄﾘｯｼﾞ ICY93M</t>
  </si>
  <si>
    <t>JICY97</t>
  </si>
  <si>
    <t>EPSON ｲﾝｸｶｰﾄﾘｯｼﾞｲｴﾛｰ ICY97</t>
  </si>
  <si>
    <t>JID-C3CC</t>
  </si>
  <si>
    <t>[終息]OKI ID-C3CC ｼｱﾝ(ML9800/9600用)</t>
  </si>
  <si>
    <t>JID-C3CK</t>
  </si>
  <si>
    <t>[終息]OKI ID-C3CK ﾌﾞﾗｯｸ(ML9800/9600用)</t>
  </si>
  <si>
    <t>JID-C3CM</t>
  </si>
  <si>
    <t>[終息]OKI ID-C3CM ﾏｾﾞﾝﾀﾞ(ML9800/9600用)</t>
  </si>
  <si>
    <t>JID-C3CY</t>
  </si>
  <si>
    <t>[終息]OKI ID-C3CY ｲｴﾛｰ(ML9800/9600用)</t>
  </si>
  <si>
    <t>JID-C3EC</t>
  </si>
  <si>
    <t>OKI ID-C3EC</t>
  </si>
  <si>
    <t>JID-C3EK</t>
  </si>
  <si>
    <t>OKI ID-C3EK</t>
  </si>
  <si>
    <t>JID-C3EM</t>
  </si>
  <si>
    <t>OKI ID-C3EM</t>
  </si>
  <si>
    <t>JID-C3EY</t>
  </si>
  <si>
    <t>OKI ID-C3EY</t>
  </si>
  <si>
    <t>JID-C3FC</t>
  </si>
  <si>
    <t>[在庫限り終息] OKI ID-C3FC</t>
  </si>
  <si>
    <t>JID-C3FK</t>
  </si>
  <si>
    <t>[在庫限り終息] OKI ID-C3FK</t>
  </si>
  <si>
    <t>JID-C3FM</t>
  </si>
  <si>
    <t>[在庫限り終息] OKI ID-C3FM</t>
  </si>
  <si>
    <t>JID-C3FY</t>
  </si>
  <si>
    <t>[在庫限り終息] OKI ID-C3FY</t>
  </si>
  <si>
    <t>JID-C3HC</t>
  </si>
  <si>
    <t>OKI ID-C3HC ｲﾒｰｼﾞﾄﾞﾗﾑ(ｼｱﾝ)</t>
  </si>
  <si>
    <t>JID-C3HK</t>
  </si>
  <si>
    <t>OKI ID-C3HK ｲﾒｰｼﾞﾄﾞﾗﾑ(ﾌﾞﾗｯｸ)</t>
  </si>
  <si>
    <t>JID-C3HM</t>
  </si>
  <si>
    <t>OKI ID-C3HM ｲﾒｰｼﾞﾄﾞﾗﾑ(ﾏｾﾞﾝﾀ)</t>
  </si>
  <si>
    <t>JID-C3HY</t>
  </si>
  <si>
    <t>OKI ID-C3HY ｲﾒｰｼﾞﾄﾞﾗﾑ(ｲｴﾛｰ)</t>
  </si>
  <si>
    <t>JID-C3KC</t>
  </si>
  <si>
    <t>OKI ID-C3KC</t>
  </si>
  <si>
    <t>JID-C3KK</t>
  </si>
  <si>
    <t>OKI ID-C3KK</t>
  </si>
  <si>
    <t>JID-C3KM</t>
  </si>
  <si>
    <t>OKI ID-C3KM</t>
  </si>
  <si>
    <t>JID-C3KY</t>
  </si>
  <si>
    <t>OKI ID-C3KY</t>
  </si>
  <si>
    <t>JID-C3MC</t>
  </si>
  <si>
    <t>OKI ID-C3MC</t>
  </si>
  <si>
    <t>JID-C3MK</t>
  </si>
  <si>
    <t>OKI ID-C3MK</t>
  </si>
  <si>
    <t>JID-C3MM</t>
  </si>
  <si>
    <t>OKI ID-C3MM</t>
  </si>
  <si>
    <t>JID-C3MY</t>
  </si>
  <si>
    <t>OKI ID-C3MY</t>
  </si>
  <si>
    <t>JID-C3RC</t>
  </si>
  <si>
    <t>OKI ID-C3RC</t>
  </si>
  <si>
    <t>JID-C3RK</t>
  </si>
  <si>
    <t>OKI ID-C3RK</t>
  </si>
  <si>
    <t>JID-C3RM</t>
  </si>
  <si>
    <t>OKI ID-C3RM</t>
  </si>
  <si>
    <t>JID-C3RSC</t>
  </si>
  <si>
    <t>OKI ID-C3RSC</t>
  </si>
  <si>
    <t>JID-C3RSW</t>
  </si>
  <si>
    <t>OKI ID-C3RSW</t>
  </si>
  <si>
    <t>JID-C3RY</t>
  </si>
  <si>
    <t>OKI ID-C3RY</t>
  </si>
  <si>
    <t>JID-C4DC</t>
  </si>
  <si>
    <t>-終息-OKI ID-C4DC</t>
  </si>
  <si>
    <t>JID-C4DK</t>
  </si>
  <si>
    <t>-終息-OKI ID-C4DK</t>
  </si>
  <si>
    <t>JID-C4DM</t>
  </si>
  <si>
    <t>-終息-OKI ID-C4DM</t>
  </si>
  <si>
    <t>JID-C4DY</t>
  </si>
  <si>
    <t>-終息-OKI ID-C4DY</t>
  </si>
  <si>
    <t>JID-C4HC</t>
  </si>
  <si>
    <t>OKI ID-C4HC</t>
  </si>
  <si>
    <t>JID-C4HK</t>
  </si>
  <si>
    <t>OKI ID-C4HK</t>
  </si>
  <si>
    <t>JID-C4HM</t>
  </si>
  <si>
    <t>OKI ID-C4HM</t>
  </si>
  <si>
    <t>JID-C4HY</t>
  </si>
  <si>
    <t>OKI ID-C4HY</t>
  </si>
  <si>
    <t>JID-C4JC</t>
  </si>
  <si>
    <t>OKI ID-C4JC</t>
  </si>
  <si>
    <t>JID-C4JK</t>
  </si>
  <si>
    <t>OKI ID-C4JK</t>
  </si>
  <si>
    <t>JID-C4JM</t>
  </si>
  <si>
    <t>OKI ID-C4JM</t>
  </si>
  <si>
    <t>JID-C4JY</t>
  </si>
  <si>
    <t>OKI ID-C4JY</t>
  </si>
  <si>
    <t>JID-C4KA</t>
  </si>
  <si>
    <t>OKI ID-C4KA ｲﾒｰｼﾞﾄﾞﾗﾑﾕﾆｯﾄ</t>
  </si>
  <si>
    <t>JID-C4LA</t>
  </si>
  <si>
    <t>OKI ID-C4LA</t>
  </si>
  <si>
    <t>JID-C4MA</t>
  </si>
  <si>
    <t>OKI ID-C4MA</t>
  </si>
  <si>
    <t>JID-C4RC</t>
  </si>
  <si>
    <t>OKI ID-C4RC</t>
  </si>
  <si>
    <t>JID-C4RK</t>
  </si>
  <si>
    <t>OKI ID-C4RK</t>
  </si>
  <si>
    <t>JID-C4RM</t>
  </si>
  <si>
    <t>OKI ID-C4RM</t>
  </si>
  <si>
    <t>JID-C4RY</t>
  </si>
  <si>
    <t>OKI ID-C4RY</t>
  </si>
  <si>
    <t>JID-C4SP</t>
  </si>
  <si>
    <t>OKI ID-C4SP</t>
  </si>
  <si>
    <t>JID-M4B</t>
  </si>
  <si>
    <t>OKI ID-M4B</t>
  </si>
  <si>
    <t>JID-M4C</t>
  </si>
  <si>
    <t>OKI ID-M4C</t>
  </si>
  <si>
    <t>JID-M4D</t>
  </si>
  <si>
    <t>JID-M4E</t>
  </si>
  <si>
    <t>OKI ID-M4E</t>
  </si>
  <si>
    <t>JID-M4EB</t>
  </si>
  <si>
    <t>OKI ID-M4E B級品</t>
  </si>
  <si>
    <t>JID-M4EC</t>
  </si>
  <si>
    <t>OKI ID-M4E C級品</t>
  </si>
  <si>
    <t>JIDC3LC</t>
  </si>
  <si>
    <t>OKI ID-C3LC</t>
  </si>
  <si>
    <t>JIDC3LK</t>
  </si>
  <si>
    <t>OKI ID-C3LK</t>
  </si>
  <si>
    <t>JIDC3LM</t>
  </si>
  <si>
    <t>OKI ID-C3LM</t>
  </si>
  <si>
    <t>JIDC3LY</t>
  </si>
  <si>
    <t>OKI ID-C3LY</t>
  </si>
  <si>
    <t>JIGI30C</t>
  </si>
  <si>
    <t>CANON 特大容量ｲﾝｸﾎﾞﾄﾙ ｼｱﾝ GI-30&lt;C&gt;</t>
  </si>
  <si>
    <t>JIGI30M</t>
  </si>
  <si>
    <t>CANON 特大容量ｲﾝｸﾎﾞﾄﾙ ﾏｾﾞﾝﾀ GI-30&lt;M&gt;</t>
  </si>
  <si>
    <t>JIGI30PGBK</t>
  </si>
  <si>
    <t>CANON 特大容量ｲﾝｸﾎﾞﾄﾙ ﾌﾞﾗｯｸ GI-30&lt;PGBK&gt;</t>
  </si>
  <si>
    <t>JIGI30Y</t>
  </si>
  <si>
    <t>CANON 特大容量ｲﾝｸﾎﾞﾄﾙ ｲｴﾛｰ GI-30&lt;Y&gt;</t>
  </si>
  <si>
    <t>JIJ93001</t>
  </si>
  <si>
    <t>ｸﾞﾗﾌﾃｯｸ IJ-93001BK　ﾌﾞﾗｯｸ130ml</t>
  </si>
  <si>
    <t>JIJ93001C</t>
  </si>
  <si>
    <t>ｸﾞﾗﾌﾃｯｸ IJ-93001C ｼｱﾝ130ml</t>
  </si>
  <si>
    <t>JIJ93001M</t>
  </si>
  <si>
    <t>ｸﾞﾗﾌﾃｯｸ IJ-93001M ﾏｾﾞﾝﾀ130ml</t>
  </si>
  <si>
    <t>JIJ93001MBK</t>
  </si>
  <si>
    <t>ｸﾞﾗﾌﾃｯｸ IJ-93001MBK　ﾏｯﾄﾌﾞﾗｯｸ130ml</t>
  </si>
  <si>
    <t>JIJ93001Y</t>
  </si>
  <si>
    <t>ｸﾞﾗﾌﾃｯｸ IJ-93001Y ｲｴﾛｰ130ml</t>
  </si>
  <si>
    <t>JIJ95001BK</t>
  </si>
  <si>
    <t>ｸﾞﾗﾌﾃｯｸ IJ-95001BK</t>
  </si>
  <si>
    <t>JIJ95001C</t>
  </si>
  <si>
    <t>ｸﾞﾗﾌﾃｯｸ IJ-95001C</t>
  </si>
  <si>
    <t>JIJ95001M</t>
  </si>
  <si>
    <t>ｸﾞﾗﾌﾃｯｸ IJ-95001M</t>
  </si>
  <si>
    <t>JIJ95001MBK</t>
  </si>
  <si>
    <t>ｸﾞﾗﾌﾃｯｸ IJ-95001MBK</t>
  </si>
  <si>
    <t>JIJ95001Y</t>
  </si>
  <si>
    <t>ｸﾞﾗﾌﾃｯｸ IJ-95001Y</t>
  </si>
  <si>
    <t>JIKA</t>
  </si>
  <si>
    <t>※送り状直貼り厳禁でお願いいたします</t>
  </si>
  <si>
    <t>JIKENMB</t>
  </si>
  <si>
    <t>EPSON ｲﾝｸﾎﾞﾄﾙ KEN-MB ﾏｯﾄﾌﾞﾗｯｸ</t>
  </si>
  <si>
    <t>JIKENMBL</t>
  </si>
  <si>
    <t>EPSON ｲﾝｸﾎﾞﾄﾙ KEN-MB-L ﾏｯﾄﾌﾞﾗｯｸL</t>
  </si>
  <si>
    <t>JIKETA5CL</t>
  </si>
  <si>
    <t>EPSON ｲﾝｸﾎﾞﾄﾙ KETA-5CL 5色ﾊﾟｯｸ</t>
  </si>
  <si>
    <t>JILC4114PK</t>
  </si>
  <si>
    <t>brother ｲﾝｸｶｰﾄﾘｯｼﾞ LC411-4PK  4色ﾊﾟｯｸ</t>
  </si>
  <si>
    <t>JILC411BK</t>
  </si>
  <si>
    <t>brother ｲﾝｸｶｰﾄﾘｯｼﾞ LC411BK ﾌﾞﾗｯｸ</t>
  </si>
  <si>
    <t>JILC411BK2PK</t>
  </si>
  <si>
    <t>brother ｲﾝｸｶｰﾄﾘｯｼﾞ LC411BK-2PK  ﾌﾞﾗｯｸ2個ﾊﾟｯｸ</t>
  </si>
  <si>
    <t>JILC411C</t>
  </si>
  <si>
    <t>brother ｲﾝｸｶｰﾄﾘｯｼﾞ LC411C ｼｱﾝ</t>
  </si>
  <si>
    <t>JILC411M</t>
  </si>
  <si>
    <t>brother ｲﾝｸｶｰﾄﾘｯｼﾞ LC411M ﾏｾﾞﾝﾀ</t>
  </si>
  <si>
    <t>JILC411Y</t>
  </si>
  <si>
    <t>brother ｲﾝｸｶｰﾄﾘｯｼﾞ LC411Y ｲｴﾛｰ</t>
  </si>
  <si>
    <t>JILC414BK</t>
  </si>
  <si>
    <t>brother ｲﾝｸｶｰﾄﾘｯｼﾞ LC414BK ﾌﾞﾗｯｸ</t>
  </si>
  <si>
    <t>JILC414C</t>
  </si>
  <si>
    <t>brother ｲﾝｸｶｰﾄﾘｯｼﾞ LC414C ｼｱﾝ</t>
  </si>
  <si>
    <t>JILC414M</t>
  </si>
  <si>
    <t>brother ｲﾝｸｶｰﾄﾘｯｼﾞ LC414M ﾏｾﾞﾝﾀ</t>
  </si>
  <si>
    <t>JILC414Y</t>
  </si>
  <si>
    <t>brother ｲﾝｸｶｰﾄﾘｯｼﾞ LC414Y ｲｴﾛｰ</t>
  </si>
  <si>
    <t>JILC416BK</t>
  </si>
  <si>
    <t>brother ｲﾝｸｶｰﾄﾘｯｼﾞ LC416BK ﾌﾞﾗｯｸ</t>
  </si>
  <si>
    <t>JILC416C</t>
  </si>
  <si>
    <t>brother ｲﾝｸｶｰﾄﾘｯｼﾞ LC416C ｼｱﾝ</t>
  </si>
  <si>
    <t>JILC416M</t>
  </si>
  <si>
    <t>brother ｲﾝｸｶｰﾄﾘｯｼﾞ LC416M ﾏｾﾞﾝﾀ</t>
  </si>
  <si>
    <t>JILC416XLBK</t>
  </si>
  <si>
    <t>brother ｲﾝｸｶｰﾄﾘｯｼﾞ LC416XLBK ﾌﾞﾗｯｸ</t>
  </si>
  <si>
    <t>JILC416XLC</t>
  </si>
  <si>
    <t>brother ｲﾝｸｶｰﾄﾘｯｼﾞ LC416XLC ｼｱﾝ</t>
  </si>
  <si>
    <t>JILC416XLM</t>
  </si>
  <si>
    <t>brother ｲﾝｸｶｰﾄﾘｯｼﾞ LC416XLM ﾏｾﾞﾝﾀ</t>
  </si>
  <si>
    <t>JILC416XLY</t>
  </si>
  <si>
    <t>brother ｲﾝｸｶｰﾄﾘｯｼﾞ LC416XLY ｲｴﾛｰ</t>
  </si>
  <si>
    <t>JILC416Y</t>
  </si>
  <si>
    <t>brother ｲﾝｸｶｰﾄﾘｯｼﾞ LC416Y ｲｴﾛｰ</t>
  </si>
  <si>
    <t>JILC417XLBK</t>
  </si>
  <si>
    <t>brother ｲﾝｸｶｰﾄﾘｯｼﾞ LC417XLBK</t>
  </si>
  <si>
    <t>JILC417XLC</t>
  </si>
  <si>
    <t>brother ｲﾝｸｶｰﾄﾘｯｼﾞ LC417XLC</t>
  </si>
  <si>
    <t>JILC417XLM</t>
  </si>
  <si>
    <t>brother ｲﾝｸｶｰﾄﾘｯｼﾞ LC417XLM</t>
  </si>
  <si>
    <t>JILC417XLY</t>
  </si>
  <si>
    <t>brother ｲﾝｸｶｰﾄﾘｯｼﾞ LC417XLY</t>
  </si>
  <si>
    <t>JIM370</t>
  </si>
  <si>
    <t>RICOH ﾄﾅｰｷｯﾄ IM 370 601108</t>
  </si>
  <si>
    <t>JIM370S</t>
  </si>
  <si>
    <t>RICOH ｽﾎﾟｯﾄﾄﾅｰ IM 370 601108</t>
  </si>
  <si>
    <t>JIMC2000C</t>
  </si>
  <si>
    <t>RICOH ﾄﾅｰｷｯﾄ IM C2000 ｼｱﾝ</t>
  </si>
  <si>
    <t>JIMC2000K</t>
  </si>
  <si>
    <t>RICOH ﾄﾅｰｷｯﾄ IM C2000 ﾌﾞﾗｯｸ</t>
  </si>
  <si>
    <t>JIMC2000M</t>
  </si>
  <si>
    <t>RICOH ﾄﾅｰｷｯﾄ IM C2000 ﾏｾﾞﾝﾀ</t>
  </si>
  <si>
    <t>JIMC2000Y</t>
  </si>
  <si>
    <t>RICOH ﾄﾅｰｷｯﾄ IM C2000 ｲｴﾛｰ</t>
  </si>
  <si>
    <t>JIMC2010BK</t>
  </si>
  <si>
    <t>RICOH ﾄﾅｰｷｯﾄ IM C2010 ﾌﾞﾗｯｸ 600496</t>
  </si>
  <si>
    <t>JIMC2010C</t>
  </si>
  <si>
    <t>RICOH ﾄﾅｰｷｯﾄ IM C2010 ｼｱﾝ 600499</t>
  </si>
  <si>
    <t>JIMC2010M</t>
  </si>
  <si>
    <t>RICOH ﾄﾅｰｷｯﾄ IM C2010 ﾏｾﾞﾝﾀ 600498</t>
  </si>
  <si>
    <t>JIMC2010Y</t>
  </si>
  <si>
    <t>RICOH ﾄﾅｰｷｯﾄ IM C2010 ｲｴﾛｰ 600497</t>
  </si>
  <si>
    <t>JIMC5500HI</t>
  </si>
  <si>
    <t>RICOH 廃ﾄﾅｰﾎﾞﾄﾙ IMC5500用</t>
  </si>
  <si>
    <t>JIMC6010BK</t>
  </si>
  <si>
    <t>RICOH  ｽﾎﾟｯﾄMPﾄﾅｰ IMC6010 BK 600477</t>
  </si>
  <si>
    <t>JIMC6010C</t>
  </si>
  <si>
    <t>RICOH  ｽﾎﾟｯﾄMPﾄﾅｰ IMC6010 C  600480</t>
  </si>
  <si>
    <t>JIMC6010M</t>
  </si>
  <si>
    <t>RICOH  ｽﾎﾟｯﾄMPﾄﾅｰ IMC6010 M  600479</t>
  </si>
  <si>
    <t>JIMC6010Y</t>
  </si>
  <si>
    <t>RICOH  ｽﾎﾟｯﾄMPﾄﾅｰ IMC6010 Y  600478</t>
  </si>
  <si>
    <t>JIP01CA</t>
  </si>
  <si>
    <t>EPSON ｲﾝｸｶｰﾄﾘｯｼﾞ IP01CA</t>
  </si>
  <si>
    <t>JIP01CB</t>
  </si>
  <si>
    <t>EPSON ｲﾝｸｶｰﾄﾘｯｼﾞ IP01CB</t>
  </si>
  <si>
    <t>JIP01KA</t>
  </si>
  <si>
    <t>EPSON ｲﾝｸｶｰﾄﾘｯｼﾞ IP01KA</t>
  </si>
  <si>
    <t>JIP01KB</t>
  </si>
  <si>
    <t>EPSON ｲﾝｸｶｰﾄﾘｯｼﾞ IP01KB</t>
  </si>
  <si>
    <t>JIP01MA</t>
  </si>
  <si>
    <t>EPSON ｲﾝｸｶｰﾄﾘｯｼﾞ IP01MA</t>
  </si>
  <si>
    <t>JIP01MB</t>
  </si>
  <si>
    <t>EPSON ｲﾝｸｶｰﾄﾘｯｼﾞ IP01MB</t>
  </si>
  <si>
    <t>JIP01YA</t>
  </si>
  <si>
    <t>EPSON ｲﾝｸｶｰﾄﾘｯｼﾞ IP01YA</t>
  </si>
  <si>
    <t>JIP01YB</t>
  </si>
  <si>
    <t>EPSON ｲﾝｸｶｰﾄﾘｯｼﾞ IP01YB</t>
  </si>
  <si>
    <t>JIP03KA</t>
  </si>
  <si>
    <t>EPSON ｲﾝｸｶｰﾄﾘｯｼﾞ IP03KA</t>
  </si>
  <si>
    <t>JIP03KB</t>
  </si>
  <si>
    <t>EPSON ｲﾝｸｶｰﾄﾘｯｼﾞ IP03KB</t>
  </si>
  <si>
    <t>JIP04KA</t>
  </si>
  <si>
    <t>EPSON ｲﾝｸｶｰﾄﾘｯｼﾞ IP04KA</t>
  </si>
  <si>
    <t>JIP11CA</t>
  </si>
  <si>
    <t>EPSON ｲﾝｸｶｰﾄﾘｯｼﾞ IP11CA</t>
  </si>
  <si>
    <t>JIP11CB</t>
  </si>
  <si>
    <t>EPSON ｲﾝｸｶｰﾄﾘｯｼﾞ IP11CB</t>
  </si>
  <si>
    <t>JIP11KA</t>
  </si>
  <si>
    <t>EPSON ｲﾝｸｶｰﾄﾘｯｼﾞ IP11KA</t>
  </si>
  <si>
    <t>JIP11KB</t>
  </si>
  <si>
    <t>EPSON ｲﾝｸｶｰﾄﾘｯｼﾞ IP11KB</t>
  </si>
  <si>
    <t>JIP11MA</t>
  </si>
  <si>
    <t>EPSON ｲﾝｸｶｰﾄﾘｯｼﾞ IP11MA</t>
  </si>
  <si>
    <t>JIP11MB</t>
  </si>
  <si>
    <t>EPSON ｲﾝｸｶｰﾄﾘｯｼﾞ IP11MB</t>
  </si>
  <si>
    <t>JIP11YA</t>
  </si>
  <si>
    <t>EPSON ｲﾝｸｶｰﾄﾘｯｼﾞ IP11YA</t>
  </si>
  <si>
    <t>JIP11YB</t>
  </si>
  <si>
    <t>EPSON ｲﾝｸｶｰﾄﾘｯｼﾞ IP11YB</t>
  </si>
  <si>
    <t>JIP12KA</t>
  </si>
  <si>
    <t>EPSON ｲﾝｸｶｰﾄﾘｯｼﾞ IP12KA</t>
  </si>
  <si>
    <t>JIP12KB</t>
  </si>
  <si>
    <t>EPSON ｲﾝｸﾊﾟｯｸﾌﾞﾗｯｸｲﾝｸ Lｻｲｽﾞ IP12KB</t>
  </si>
  <si>
    <t>JIPC8500BK</t>
  </si>
  <si>
    <t>RICOH IP C8500 BK 600718</t>
  </si>
  <si>
    <t>JIPC8500C</t>
  </si>
  <si>
    <t>RICOH IP C8500 C 600721</t>
  </si>
  <si>
    <t>JIPC8500DBK</t>
  </si>
  <si>
    <t>RICOH IP C8500 ﾄﾞﾗﾑﾕﾆｯﾄ ﾌﾞﾗｯｸ 514955</t>
  </si>
  <si>
    <t>JIPC8500DC</t>
  </si>
  <si>
    <t>RICOH IP C8500 ﾄﾞﾗﾑﾕﾆｯﾄ ｶﾗｰ 514954</t>
  </si>
  <si>
    <t>JIPC8500HBK</t>
  </si>
  <si>
    <t>RICOH IP C8500H BK 600722</t>
  </si>
  <si>
    <t>JIPC8500HC</t>
  </si>
  <si>
    <t>RICOH IP C8500H C 600727</t>
  </si>
  <si>
    <t>JIPC8500HM</t>
  </si>
  <si>
    <t>RICOH IP C8500H M 600726</t>
  </si>
  <si>
    <t>JIPC8500HY</t>
  </si>
  <si>
    <t>RICOH IP C8500H Y 600723</t>
  </si>
  <si>
    <t>JIPC8500M</t>
  </si>
  <si>
    <t>RICOH IP C8500 M 600720</t>
  </si>
  <si>
    <t>JIPC8500Y</t>
  </si>
  <si>
    <t>RICOH IP C8500 Y 600719</t>
  </si>
  <si>
    <t>JIPFI030BK</t>
  </si>
  <si>
    <t>CANON ｲﾝｸﾀﾝｸ PFI-030BK ﾌﾞﾗｯｸ</t>
  </si>
  <si>
    <t>JIPFI030C</t>
  </si>
  <si>
    <t>CANON ｲﾝｸﾀﾝｸ PFI-030C ｼｱﾝ</t>
  </si>
  <si>
    <t>JIPFI030M</t>
  </si>
  <si>
    <t>CANON ｲﾝｸﾀﾝｸ PFI-030M ﾏｾﾞﾝﾀ</t>
  </si>
  <si>
    <t>JIPFI030MBK</t>
  </si>
  <si>
    <t>CANON ｲﾝｸﾀﾝｸ PFI-030MBK ﾏｯﾄﾌﾞﾗｯｸ</t>
  </si>
  <si>
    <t>JIPFI030Y</t>
  </si>
  <si>
    <t>CANON ｲﾝｸﾀﾝｸ PFI-030Y ｲｴﾛｰ</t>
  </si>
  <si>
    <t>JIPFI110BK</t>
  </si>
  <si>
    <t>CANON ｲﾝｸﾀﾝｸ PFI-110BK ﾌﾞﾗｯｸ</t>
  </si>
  <si>
    <t>JIPFI110C</t>
  </si>
  <si>
    <t>CANON ｲﾝｸﾀﾝｸ PFI-110C ｼｱﾝ</t>
  </si>
  <si>
    <t>JIPFI110M</t>
  </si>
  <si>
    <t>CANON ｲﾝｸﾀﾝｸ PFI-110M ﾏｾﾞﾝﾀ</t>
  </si>
  <si>
    <t>JIPFI110MBK</t>
  </si>
  <si>
    <t>CANON ｲﾝｸﾀﾝｸ PFI-110MBK ﾏｯﾄﾌﾞﾗｯｸ</t>
  </si>
  <si>
    <t>JIPFI110Y</t>
  </si>
  <si>
    <t>CANON ｲﾝｸﾀﾝｸ PFI-110Y ｲｴﾛｰ</t>
  </si>
  <si>
    <t>JIPFI2100C</t>
  </si>
  <si>
    <t>CANON ｲﾝｸﾀﾝｸ PFI-2100C ｼｱﾝ 160ml</t>
  </si>
  <si>
    <t>JIPFI2100FP</t>
  </si>
  <si>
    <t>CANON ｲﾝｸﾀﾝｸ PFI-2100FP 蛍光ﾋﾟﾝｸ 160ml</t>
  </si>
  <si>
    <t>JIPFI2100G</t>
  </si>
  <si>
    <t>CANON ｲﾝｸﾀﾝｸ PFI-2100G ｸﾞﾘｰﾝ 160ml</t>
  </si>
  <si>
    <t>JIPFI2100GY</t>
  </si>
  <si>
    <t>CANON ｲﾝｸﾀﾝｸ PFI-2100GY ｸﾞﾚｰ 160ml</t>
  </si>
  <si>
    <t>JIPFI2100M</t>
  </si>
  <si>
    <t>CANON ｲﾝｸﾀﾝｸ PFI-2100M ﾏｾﾞﾝﾀ 160ml</t>
  </si>
  <si>
    <t>JIPFI2100MBK</t>
  </si>
  <si>
    <t>CANON ｲﾝｸﾀﾝｸ PFI-2100MBK ﾏｯﾄﾌﾞﾗｯｸ 160ml</t>
  </si>
  <si>
    <t>JIPFI2100O</t>
  </si>
  <si>
    <t>CANON ｲﾝｸﾀﾝｸ PFI-2100O ｵﾚﾝｼﾞ 160ml</t>
  </si>
  <si>
    <t>JIPFI2100PBK</t>
  </si>
  <si>
    <t>CANON ｲﾝｸﾀﾝｸ PFI-2100PBK ﾌｫﾄﾌﾞﾗｯｸ 160ml</t>
  </si>
  <si>
    <t>JIPFI2100R</t>
  </si>
  <si>
    <t>CANON ｲﾝｸﾀﾝｸ PFI-2100R ﾚｯﾄﾞ 160ml</t>
  </si>
  <si>
    <t>JIPFI2100V</t>
  </si>
  <si>
    <t>CANON ｲﾝｸﾀﾝｸ PFI-2100V ﾊﾞｲｵﾚｯﾄ 160ml</t>
  </si>
  <si>
    <t>JIPFI2100Y</t>
  </si>
  <si>
    <t>CANON ｲﾝｸﾀﾝｸ PFI-2100Y ｲｴﾛｰ 160ml</t>
  </si>
  <si>
    <t>JIPFI2300C</t>
  </si>
  <si>
    <t>CANON ｲﾝｸﾀﾝｸ PFI-2300C ｼｱﾝ 330ml</t>
  </si>
  <si>
    <t>JIPFI2300FP</t>
  </si>
  <si>
    <t>CANON ｲﾝｸﾀﾝｸ PFI-2300FP 蛍光ﾋﾟﾝｸ 330ml</t>
  </si>
  <si>
    <t>JIPFI2300G</t>
  </si>
  <si>
    <t>CANON ｲﾝｸﾀﾝｸ PFI-2300G ｸﾞﾘｰﾝ 330ml</t>
  </si>
  <si>
    <t>JIPFI2300GY</t>
  </si>
  <si>
    <t>CANON ｲﾝｸﾀﾝｸ PFI-2300GY ｸﾞﾚｰ 330ml</t>
  </si>
  <si>
    <t>JIPFI2300M</t>
  </si>
  <si>
    <t>CANON ｲﾝｸﾀﾝｸ PFI-2300M ﾏｾﾞﾝﾀ 330ml</t>
  </si>
  <si>
    <t>JIPFI2300MBK</t>
  </si>
  <si>
    <t>CANON ｲﾝｸﾀﾝｸ PFI-2300MBK ﾏｯﾄﾌﾞﾗｯｸ 330ml</t>
  </si>
  <si>
    <t>JIPFI2300O</t>
  </si>
  <si>
    <t>CANON ｲﾝｸﾀﾝｸ PFI-2300O ｵﾚﾝｼﾞ 330ml</t>
  </si>
  <si>
    <t>JIPFI2300PBK</t>
  </si>
  <si>
    <t>CANON ｲﾝｸﾀﾝｸ PFI-2300PBK ﾌｫﾄﾌﾞﾗｯｸ 330ml</t>
  </si>
  <si>
    <t>JIPFI2300R</t>
  </si>
  <si>
    <t>CANON ｲﾝｸﾀﾝｸ PFI-2300R ﾚｯﾄﾞ 330ml</t>
  </si>
  <si>
    <t>JIPFI2300V</t>
  </si>
  <si>
    <t>CANON ｲﾝｸﾀﾝｸ PFI-2300V ﾊﾞｲｵﾚｯﾄ 330ml</t>
  </si>
  <si>
    <t>JIPFI2300Y</t>
  </si>
  <si>
    <t>CANON ｲﾝｸﾀﾝｸ PFI-2300Y ｲｴﾛｰ 330ml</t>
  </si>
  <si>
    <t>JIPFI2700C</t>
  </si>
  <si>
    <t>CANON ｲﾝｸﾀﾝｸ PFI-2700C ｼｱﾝ 700ml</t>
  </si>
  <si>
    <t>JIPFI2700FP</t>
  </si>
  <si>
    <t>CANON ｲﾝｸﾀﾝｸ PFI-2700FP 蛍光ﾋﾟﾝｸ 700ml</t>
  </si>
  <si>
    <t>JIPFI2700G</t>
  </si>
  <si>
    <t>CANON ｲﾝｸﾀﾝｸ PFI-2700G ｸﾞﾘｰﾝ 700ml</t>
  </si>
  <si>
    <t>JIPFI2700GY</t>
  </si>
  <si>
    <t>CANON ｲﾝｸﾀﾝｸ PFI-2700GY ｸﾞﾚｰ 700ml</t>
  </si>
  <si>
    <t>JIPFI2700M</t>
  </si>
  <si>
    <t>CANON ｲﾝｸﾀﾝｸ PFI-2700M ﾏｾﾞﾝﾀ 700ml</t>
  </si>
  <si>
    <t>JIPFI2700MBK</t>
  </si>
  <si>
    <t>CANON ｲﾝｸﾀﾝｸ PFI-2700MBK ﾏｯﾄﾌﾞﾗｯｸ 700ml</t>
  </si>
  <si>
    <t>JIPFI2700O</t>
  </si>
  <si>
    <t>CANON ｲﾝｸﾀﾝｸ PFI-2700O ｵﾚﾝｼﾞ 700ml</t>
  </si>
  <si>
    <t>JIPFI2700PBK</t>
  </si>
  <si>
    <t>CANON ｲﾝｸﾀﾝｸ PFI-2700PBK ﾌｫﾄﾌﾞﾗｯｸ 700ml</t>
  </si>
  <si>
    <t>JIPFI2700R</t>
  </si>
  <si>
    <t>CANON ｲﾝｸﾀﾝｸ PFI-2700R ﾚｯﾄﾞ 700ml</t>
  </si>
  <si>
    <t>JIPFI2700V</t>
  </si>
  <si>
    <t>CANON ｲﾝｸﾀﾝｸ PFI-2700V ﾊﾞｲｵﾚｯﾄ 700ml</t>
  </si>
  <si>
    <t>JIPFI2700Y</t>
  </si>
  <si>
    <t>CANON ｲﾝｸﾀﾝｸ PFI-2700Y ｲｴﾛｰ 700ml</t>
  </si>
  <si>
    <t>JIPFI307BK</t>
  </si>
  <si>
    <t>CANON ｲﾝｸﾀﾝｸ PFI-307BK ﾌﾞﾗｯｸ</t>
  </si>
  <si>
    <t>JIPFI307C</t>
  </si>
  <si>
    <t>CANON ｲﾝｸﾀﾝｸ PFI-307C ｼｱﾝ</t>
  </si>
  <si>
    <t>JIPFI307M</t>
  </si>
  <si>
    <t>CANON ｲﾝｸﾀﾝｸ PFI-307M ﾏｾﾞﾝﾀ</t>
  </si>
  <si>
    <t>JIPFI307MBK</t>
  </si>
  <si>
    <t>CANON ｲﾝｸﾀﾝｸ PFI-307MBK ﾏｯﾄﾌﾞﾗｯｸ</t>
  </si>
  <si>
    <t>JIPFI307Y</t>
  </si>
  <si>
    <t>CANON ｲﾝｸﾀﾝｸ PFI-307Y ｲｴﾛｰ</t>
  </si>
  <si>
    <t>JIPFI3100B</t>
  </si>
  <si>
    <t>CANON ｲﾝｸﾀﾝｸ PFI-3100B ﾌﾞﾙｰ 160ml</t>
  </si>
  <si>
    <t>JIPFI3100C</t>
  </si>
  <si>
    <t>CANON ｲﾝｸﾀﾝｸ PFI-3100C ｼｱﾝ 160ml</t>
  </si>
  <si>
    <t>JIPFI3100CO</t>
  </si>
  <si>
    <t>CANON ｲﾝｸﾀﾝｸ PFI-3100CO ｸﾛｽｵﾌﾟﾃｨﾏｲｻﾞ 160ml</t>
  </si>
  <si>
    <t>JIPFI3100GY</t>
  </si>
  <si>
    <t>CANON ｲﾝｸﾀﾝｸ PFI-3100GY ｸﾞﾚｰ 160ml</t>
  </si>
  <si>
    <t>JIPFI3100M</t>
  </si>
  <si>
    <t>CANON ｲﾝｸﾀﾝｸ PFI-3100M ﾏｾﾞﾝﾀ 160ml</t>
  </si>
  <si>
    <t>JIPFI3100PBK</t>
  </si>
  <si>
    <t>CANON ｲﾝｸﾀﾝｸ PFI-3100PBK ﾌｫﾄﾌﾞﾗｯｸ 160ml</t>
  </si>
  <si>
    <t>JIPFI3100PC</t>
  </si>
  <si>
    <t>CANON ｲﾝｸﾀﾝｸ PFI-3100PC ﾌｫﾄｼｱﾝ 160ml</t>
  </si>
  <si>
    <t>JIPFI3100PGY</t>
  </si>
  <si>
    <t>CANON ｲﾝｸﾀﾝｸ PFI-3100PGY ﾌｫﾄｸﾞﾚｰ 160ml</t>
  </si>
  <si>
    <t>JIPFI3100PM</t>
  </si>
  <si>
    <t>CANON ｲﾝｸﾀﾝｸ PFI-3100PM ﾌｫﾄﾏｾﾞﾝﾀ 160ml</t>
  </si>
  <si>
    <t>JIPFI3100R</t>
  </si>
  <si>
    <t>CANON ｲﾝｸﾀﾝｸ PFI-3100R ﾚｯﾄﾞ 160ml</t>
  </si>
  <si>
    <t>JIPFI3100Y</t>
  </si>
  <si>
    <t>CANON ｲﾝｸﾀﾝｸ PFI-3100Y ｲｴﾛｰ 160ml</t>
  </si>
  <si>
    <t>JIPFI310BK</t>
  </si>
  <si>
    <t>CANON ｲﾝｸﾀﾝｸ PFI-310BK ﾌﾞﾗｯｸ</t>
  </si>
  <si>
    <t>JIPFI310C</t>
  </si>
  <si>
    <t>CANON ｲﾝｸﾀﾝｸ PFI-310C ｼｱﾝ</t>
  </si>
  <si>
    <t>JIPFI310M</t>
  </si>
  <si>
    <t>CANON ｲﾝｸﾀﾝｸ PFI-310M ﾏｾﾞﾝﾀ</t>
  </si>
  <si>
    <t>JIPFI310MBK</t>
  </si>
  <si>
    <t>CANON ｲﾝｸﾀﾝｸ PFI-310MBK ﾏｯﾄﾌﾞﾗｯｸ</t>
  </si>
  <si>
    <t>JIPFI310Y</t>
  </si>
  <si>
    <t>CANON ｲﾝｸﾀﾝｸ PFI-310Y ｲｴﾛｰ</t>
  </si>
  <si>
    <t>JIPFI3300B</t>
  </si>
  <si>
    <t>CANON ｲﾝｸﾀﾝｸ PFI-3300B ﾌﾞﾙｰ 330ml</t>
  </si>
  <si>
    <t>JIPFI3300C</t>
  </si>
  <si>
    <t>CANON ｲﾝｸﾀﾝｸ PFI-3300C ｼｱﾝ 330ml</t>
  </si>
  <si>
    <t>JIPFI3300CO</t>
  </si>
  <si>
    <t>CANON ｲﾝｸﾀﾝｸ PFI-3300CO ｸﾛｽｵﾌﾟﾃｨﾏｲｻﾞ 330ml</t>
  </si>
  <si>
    <t>JIPFI3300GY</t>
  </si>
  <si>
    <t>CANON ｲﾝｸﾀﾝｸ PFI-3300GY ｸﾞﾚｰ 330ml</t>
  </si>
  <si>
    <t>JIPFI3300M</t>
  </si>
  <si>
    <t>CANON ｲﾝｸﾀﾝｸ PFI-3300M ﾏｾﾞﾝﾀ 330ml</t>
  </si>
  <si>
    <t>JIPFI3300PBK</t>
  </si>
  <si>
    <t>CANON ｲﾝｸﾀﾝｸ PFI-3300PBK ﾌｫﾄﾌﾞﾗｯｸ 330ml</t>
  </si>
  <si>
    <t>JIPFI3300PC</t>
  </si>
  <si>
    <t>CANON ｲﾝｸﾀﾝｸ PFI-3300PC ﾌｫﾄｼｱﾝ 330ml</t>
  </si>
  <si>
    <t>JIPFI3300PGY</t>
  </si>
  <si>
    <t>CANON ｲﾝｸﾀﾝｸ PFI-3300PGY ﾌｫﾄｸﾞﾚｰ 330ml</t>
  </si>
  <si>
    <t>JIPFI3300PM</t>
  </si>
  <si>
    <t>CANON ｲﾝｸﾀﾝｸ PFI-3300PM ﾌｫﾄﾏｾﾞﾝﾀ 330ml</t>
  </si>
  <si>
    <t>JIPFI3300R</t>
  </si>
  <si>
    <t>CANON ｲﾝｸﾀﾝｸ PFI-3300R ﾚｯﾄﾞ 330ml</t>
  </si>
  <si>
    <t>JIPFI3300Y</t>
  </si>
  <si>
    <t>CANON ｲﾝｸﾀﾝｸ PFI-3300Y ｲｴﾛｰ 330ml</t>
  </si>
  <si>
    <t>JIPFI340BK</t>
  </si>
  <si>
    <t>CANON ｲﾝｸﾀﾝｸ PFI-340 BK ﾌﾞﾗｯｸ</t>
  </si>
  <si>
    <t>JIPFI340C</t>
  </si>
  <si>
    <t>CANON ｲﾝｸﾀﾝｸ PFI-340 C ｼｱﾝ</t>
  </si>
  <si>
    <t>JIPFI340M</t>
  </si>
  <si>
    <t>CANON ｲﾝｸﾀﾝｸ PFI-340 M ﾏｾﾞﾝﾀ</t>
  </si>
  <si>
    <t>JIPFI340MBK</t>
  </si>
  <si>
    <t>CANON ｲﾝｸﾀﾝｸ PFI-340 MBK ﾏｯﾄﾌﾞﾗｯｸ</t>
  </si>
  <si>
    <t>JIPFI340Y</t>
  </si>
  <si>
    <t>CANON ｲﾝｸﾀﾝｸ PFI-340 Y ｲｴﾛｰ</t>
  </si>
  <si>
    <t>JIPFI3700B</t>
  </si>
  <si>
    <t>CANON ｲﾝｸﾀﾝｸ PFI-3700B ﾌﾞﾙｰ 700ml</t>
  </si>
  <si>
    <t>JIPFI3700C</t>
  </si>
  <si>
    <t>CANON ｲﾝｸﾀﾝｸ PFI-3700C ｼｱﾝ 700ml</t>
  </si>
  <si>
    <t>JIPFI3700CO</t>
  </si>
  <si>
    <t>CANON ｲﾝｸﾀﾝｸ PFI-3700CO ｸﾛｽｵﾌﾟﾃｨﾏｲｻﾞ 700ml</t>
  </si>
  <si>
    <t>JIPFI3700GY</t>
  </si>
  <si>
    <t>CANON ｲﾝｸﾀﾝｸ PFI-3700GY ｸﾞﾚｰ 700ml</t>
  </si>
  <si>
    <t>JIPFI3700M</t>
  </si>
  <si>
    <t>CANON ｲﾝｸﾀﾝｸ PFI-3700M ﾏｾﾞﾝﾀ 700ml</t>
  </si>
  <si>
    <t>JIPFI3700PBK</t>
  </si>
  <si>
    <t>CANON ｲﾝｸﾀﾝｸ PFI-3700PBK ﾌｫﾄﾌﾞﾗｯｸ 700ml</t>
  </si>
  <si>
    <t>JIPFI3700PC</t>
  </si>
  <si>
    <t>CANON ｲﾝｸﾀﾝｸ PFI-3700PC ﾌｫﾄｼｱﾝ 700ml</t>
  </si>
  <si>
    <t>JIPFI3700PGY</t>
  </si>
  <si>
    <t>CANON ｲﾝｸﾀﾝｸ PFI-3700PGY ﾌｫﾄｸﾞﾚｰ 700ml</t>
  </si>
  <si>
    <t>JIPFI3700PM</t>
  </si>
  <si>
    <t>CANON ｲﾝｸﾀﾝｸ PFI-3700PM ﾌｫﾄﾏｾﾞﾝﾀ 700ml</t>
  </si>
  <si>
    <t>JIPFI3700R</t>
  </si>
  <si>
    <t>CANON ｲﾝｸﾀﾝｸ PFI-3700R ﾚｯﾄﾞ 700ml</t>
  </si>
  <si>
    <t>JIPFI3700Y</t>
  </si>
  <si>
    <t>CANON ｲﾝｸﾀﾝｸ PFI-3700Y ｲｴﾛｰ 700ml</t>
  </si>
  <si>
    <t>JIPFI707BK</t>
  </si>
  <si>
    <t>CANON ｲﾝｸﾀﾝｸ PFI-707BK ﾌﾞﾗｯｸ</t>
  </si>
  <si>
    <t>JIPFI707C</t>
  </si>
  <si>
    <t>CANON ｲﾝｸﾀﾝｸ PFI-707C ｼｱﾝ</t>
  </si>
  <si>
    <t>JIPFI707M</t>
  </si>
  <si>
    <t>CANON ｲﾝｸﾀﾝｸ PFI-707M ﾏｾﾞﾝﾀ</t>
  </si>
  <si>
    <t>JIPFI707MBK</t>
  </si>
  <si>
    <t>CANON ｲﾝｸﾀﾝｸ PFI-707MBK ﾏｯﾄﾌﾞﾗｯｸ</t>
  </si>
  <si>
    <t>JIPFI707Y</t>
  </si>
  <si>
    <t>CANON ｲﾝｸﾀﾝｸ PFI-707Y ｲｴﾛｰ</t>
  </si>
  <si>
    <t>JIPFI710BK</t>
  </si>
  <si>
    <t>CANON ｲﾝｸﾀﾝｸ PFI-710BK ﾌﾞﾗｯｸ</t>
  </si>
  <si>
    <t>JIPFI710C</t>
  </si>
  <si>
    <t>CANON ｲﾝｸﾀﾝｸ PFI-710C ｼｱﾝ</t>
  </si>
  <si>
    <t>JIPFI710M</t>
  </si>
  <si>
    <t>CANON ｲﾝｸﾀﾝｸ PFI-710M ﾏｾﾞﾝﾀ</t>
  </si>
  <si>
    <t>JIPFI710MBK</t>
  </si>
  <si>
    <t>CANON ｲﾝｸﾀﾝｸ PFI-710MBK ﾏｯﾄﾌﾞﾗｯｸ</t>
  </si>
  <si>
    <t>JIPFI710Y</t>
  </si>
  <si>
    <t>CANON ｲﾝｸﾀﾝｸ PFI-710Y ｲｴﾛｰ</t>
  </si>
  <si>
    <t>JIPFI740BK</t>
  </si>
  <si>
    <t>CANON ｲﾝｸﾀﾝｸ PFI-740 BK ﾌﾞﾗｯｸ</t>
  </si>
  <si>
    <t>JIPFI740C</t>
  </si>
  <si>
    <t>CANON ｲﾝｸﾀﾝｸ PFI-740 C ｼｱﾝ</t>
  </si>
  <si>
    <t>JIPFI740M</t>
  </si>
  <si>
    <t>CANON ｲﾝｸﾀﾝｸ PFI-740 M ﾏｾﾞﾝﾀ</t>
  </si>
  <si>
    <t>JIPFI740MBK</t>
  </si>
  <si>
    <t>CANON ｲﾝｸﾀﾝｸ PFI-740 MBK ﾏｯﾄﾌﾞﾗｯｸ</t>
  </si>
  <si>
    <t>JIPFI740Y</t>
  </si>
  <si>
    <t>CANON ｲﾝｸﾀﾝｸ PFI-740 Y ｲｴﾛｰ</t>
  </si>
  <si>
    <t>JIPFIG1PBK</t>
  </si>
  <si>
    <t>CANON PFI-G1PBK 4183C001</t>
  </si>
  <si>
    <t>JIPJIC1C</t>
  </si>
  <si>
    <t>JIPJIC2LC</t>
  </si>
  <si>
    <t>JIPJIC3LM</t>
  </si>
  <si>
    <t>JIPJIC4M</t>
  </si>
  <si>
    <t>JIPJIC5Y</t>
  </si>
  <si>
    <t>JIPJIC7C</t>
  </si>
  <si>
    <t>EPSON ｲﾝｸｶｰﾄﾘｯｼﾞ PJIC7C ｼｱﾝ</t>
  </si>
  <si>
    <t>JIPJIC7K</t>
  </si>
  <si>
    <t>EPSON ｲﾝｸｶｰﾄﾘｯｼﾞ PJIC7K ﾌﾞﾗｯｸ</t>
  </si>
  <si>
    <t>JIPJIC7LC</t>
  </si>
  <si>
    <t>EPSON ｲﾝｸｶｰﾄﾘｯｼﾞ PJIC7LC ﾗｲﾄｼｱﾝ</t>
  </si>
  <si>
    <t>JIPJIC7LM</t>
  </si>
  <si>
    <t>EPSON ｲﾝｸｶｰﾄﾘｯｼﾞ PJIC7LM ﾗｲﾄﾏｾﾞﾝﾀ</t>
  </si>
  <si>
    <t>JIPJIC7M</t>
  </si>
  <si>
    <t>EPSON ｲﾝｸｶｰﾄﾘｯｼﾞ PJIC7M ﾏｾﾞﾝﾀ</t>
  </si>
  <si>
    <t>JIPJIC7Y</t>
  </si>
  <si>
    <t>EPSON ｲﾝｸｶｰﾄﾘｯｼﾞ PJIC7Y ｲｴﾛｰ</t>
  </si>
  <si>
    <t>JIPSIO500SF</t>
  </si>
  <si>
    <t>RICOH ﾚｰｻﾞｰ 複合機 IP 500SF【513816】</t>
  </si>
  <si>
    <t>JIPXMT2</t>
  </si>
  <si>
    <t>EPSON ﾒﾝﾃﾅﾝｽﾀﾝｸ PXMT2</t>
  </si>
  <si>
    <t>JIRDHBKL</t>
  </si>
  <si>
    <t>EPSON ｲﾝｸｶｰﾄﾘｯｼﾞ RDH-BK-L</t>
  </si>
  <si>
    <t>JIT08CA</t>
  </si>
  <si>
    <t>EPSON ｲﾝｸﾎﾞﾄﾙ IT08CA ｼｱﾝ</t>
  </si>
  <si>
    <t>JIT08KA</t>
  </si>
  <si>
    <t>EPSON ｲﾝｸﾎﾞﾄﾙ IT08KA ﾌﾞﾗｯｸ</t>
  </si>
  <si>
    <t>JIT08MA</t>
  </si>
  <si>
    <t>EPSON ｲﾝｸﾎﾞﾄﾙ IT08MA ﾏｾﾞﾝﾀ</t>
  </si>
  <si>
    <t>JIT08YA</t>
  </si>
  <si>
    <t>EPSON ｲﾝｸﾎﾞﾄﾙ IT08YA ｲｴﾛｰ</t>
  </si>
  <si>
    <t>JITAK4CL</t>
  </si>
  <si>
    <t>EPSON ｲﾝｸﾎﾞﾄﾙ TAK-4CL 5色ﾊﾟｯｸ</t>
  </si>
  <si>
    <t>JITAKC</t>
  </si>
  <si>
    <t>EPSON ｲﾝｸﾎﾞﾄﾙ TAK-C ｼｱﾝ</t>
  </si>
  <si>
    <t>JITAKCL</t>
  </si>
  <si>
    <t>EPSON ｲﾝｸﾎﾞﾄﾙ TAK-C-L ｼｱﾝ</t>
  </si>
  <si>
    <t>JITAKM</t>
  </si>
  <si>
    <t>EPSON ｲﾝｸﾎﾞﾄﾙ TAK-M ﾏｾﾞﾝﾀ</t>
  </si>
  <si>
    <t>JITAKML</t>
  </si>
  <si>
    <t>EPSON ｲﾝｸﾎﾞﾄﾙ TAK-M-L ﾏｾﾞﾝﾀL</t>
  </si>
  <si>
    <t>JITAKPB</t>
  </si>
  <si>
    <t>EPSON ｲﾝｸﾎﾞﾄﾙ TAK-PB ﾌｫﾄﾌﾞﾗｯｸ</t>
  </si>
  <si>
    <t>JITAKPBL</t>
  </si>
  <si>
    <t>EPSON ｲﾝｸﾎﾞﾄﾙ TAK-PB-L ﾌｫﾄﾌﾞﾗｯｸL</t>
  </si>
  <si>
    <t>JITAKY</t>
  </si>
  <si>
    <t>EPSON ｲﾝｸﾎﾞﾄﾙ TAK-Y ｲｴﾛｰ</t>
  </si>
  <si>
    <t>JITAKYL</t>
  </si>
  <si>
    <t>EPSON ｲﾝｸﾎﾞﾄﾙ TAK-Y-L ｲｴﾛｰL</t>
  </si>
  <si>
    <t>JITH6CL</t>
  </si>
  <si>
    <t>EPSON ｲﾝｸｶｰﾄﾘｯｼﾞ ITH-6CL ｲﾁｮｳ 6色ﾊﾟｯｸ</t>
  </si>
  <si>
    <t>JITHBK</t>
  </si>
  <si>
    <t>EPSON ｲﾝｸｶｰﾄﾘｯｼﾞ ITH-BK ｲﾁｮｳ ﾌﾞﾗｯｸ</t>
  </si>
  <si>
    <t>JITHC</t>
  </si>
  <si>
    <t>EPSON ｲﾝｸｶｰﾄﾘｯｼﾞ ITH-C ｲﾁｮｳ ｼｱﾝ</t>
  </si>
  <si>
    <t>JITHLC</t>
  </si>
  <si>
    <t>EPSON ｲﾝｸｶｰﾄﾘｯｼﾞ ITH-LC ｲﾁｮｳ ﾗｲﾄｼｱﾝ</t>
  </si>
  <si>
    <t>JITHLM</t>
  </si>
  <si>
    <t>EPSON ｲﾝｸｶｰﾄﾘｯｼﾞ ITH-LM ｲﾁｮｳ ﾗｲﾄﾏｾﾞﾝﾀ</t>
  </si>
  <si>
    <t>JITHM</t>
  </si>
  <si>
    <t>EPSON ｲﾝｸｶｰﾄﾘｯｼﾞ ITH-M ｲﾁｮｳ ﾏｾﾞﾝﾀ</t>
  </si>
  <si>
    <t>JITHY</t>
  </si>
  <si>
    <t>EPSON ｲﾝｸｶｰﾄﾘｯｼﾞ ITH-Y ｲﾁｮｳ ｲｴﾛｰ</t>
  </si>
  <si>
    <t>JIUP19</t>
  </si>
  <si>
    <t>ｺﾆｶﾐﾉﾙﾀ IUP-34</t>
  </si>
  <si>
    <t>JIUP19-1</t>
  </si>
  <si>
    <t>ｺﾆｶﾐﾉﾙﾀ IUP-19 ｲﾒｰｼﾞﾝｸﾞﾕﾆｯﾄ</t>
  </si>
  <si>
    <t>JIUP34</t>
  </si>
  <si>
    <t>コニカミノルタ IUP-34</t>
  </si>
  <si>
    <t>JKAM6CL</t>
  </si>
  <si>
    <t>EPSON ｲﾝｸｶｰﾄﾘｯｼﾞ ｶﾒ KAM-6CL 6色ﾊﾟｯｸ</t>
  </si>
  <si>
    <t>JKAM6CLL</t>
  </si>
  <si>
    <t>EPSON ｲﾝｸｶｰﾄﾘｯｼﾞ ｶﾒ KAM-6CL-L 6色ﾊﾟｯｸL(増量)</t>
  </si>
  <si>
    <t>JKAM6CLM</t>
  </si>
  <si>
    <t>EPSON ｲﾝｸｶｰﾄﾘｯｼﾞ ｶﾒ KAM-6CL-M 6色ﾊﾟｯｸM(BKのみ増量)</t>
  </si>
  <si>
    <t>JKAMBK</t>
  </si>
  <si>
    <t>EPSON ｲﾝｸｶｰﾄﾘｯｼﾞ ｶﾒ KAM-BK ﾌﾞﾗｯｸ</t>
  </si>
  <si>
    <t>JKAMBKL</t>
  </si>
  <si>
    <t>EPSON ｲﾝｸｶｰﾄﾘｯｼﾞ ｶﾒ KAM-BK-L ﾌﾞﾗｯｸL(増量)</t>
  </si>
  <si>
    <t>JKAMC</t>
  </si>
  <si>
    <t>EPSON ｲﾝｸｶｰﾄﾘｯｼﾞ ｶﾒ KAM-C ｼｱﾝ</t>
  </si>
  <si>
    <t>JKAMCL</t>
  </si>
  <si>
    <t>EPSON ｲﾝｸｶｰﾄﾘｯｼﾞ ｶﾒ KAM-C-L ｼｱﾝL(増量)</t>
  </si>
  <si>
    <t>JKAMLC</t>
  </si>
  <si>
    <t>EPSON ｲﾝｸｶｰﾄﾘｯｼﾞ ｶﾒ KAM-LC ﾗｲﾄｼｱﾝ</t>
  </si>
  <si>
    <t>JKAMLCL</t>
  </si>
  <si>
    <t>EPSON ｲﾝｸｶｰﾄﾘｯｼﾞ ｶﾒ KAM-LC-L ﾗｲﾄｼｱﾝL(増量)</t>
  </si>
  <si>
    <t>JKAMLM</t>
  </si>
  <si>
    <t>EPSON ｲﾝｸｶｰﾄﾘｯｼﾞ ｶﾒ KAM-LM ﾗｲﾄﾏｾﾞﾝﾀ</t>
  </si>
  <si>
    <t>JKAMLML</t>
  </si>
  <si>
    <t>EPSON ｲﾝｸｶｰﾄﾘｯｼﾞ ｶﾒ KAM-LM-L ﾗｲﾄﾏｾﾞﾝﾀL(増量)</t>
  </si>
  <si>
    <t>JKAMM</t>
  </si>
  <si>
    <t>EPSON ｲﾝｸｶｰﾄﾘｯｼﾞ ｶﾒ KAM-M ﾏｾﾞﾝﾀ</t>
  </si>
  <si>
    <t>JKAMML</t>
  </si>
  <si>
    <t>EPSON ｲﾝｸｶｰﾄﾘｯｼﾞ ｶﾒ KAM-M-L ﾏｾﾞﾝﾀL(増量)</t>
  </si>
  <si>
    <t>JKAMY</t>
  </si>
  <si>
    <t>EPSON ｲﾝｸｶｰﾄﾘｯｼﾞ ｶﾒ KAM-Y ｲｴﾛｰ</t>
  </si>
  <si>
    <t>JKAMYL</t>
  </si>
  <si>
    <t>EPSON ｲﾝｸｶｰﾄﾘｯｼﾞ ｶﾒ KAM-Y-L ｲｴﾛｰL(増量)</t>
  </si>
  <si>
    <t>JKL36IP</t>
  </si>
  <si>
    <t>CANON ｶﾗｰｲﾝｸ/ﾍﾟｰﾊﾟｰｾｯﾄ KL-36IP 3ﾊﾟｯｸ</t>
  </si>
  <si>
    <t>JKL500PSKR</t>
  </si>
  <si>
    <t>EPSON KL500PSKR 写真用紙&lt;光沢&gt;L判 1箱(500枚)</t>
  </si>
  <si>
    <t>JKSUBKL</t>
  </si>
  <si>
    <t>EPSON ｲﾝｸﾎﾞﾄﾙ ｸﾂ KSU-BK-L ﾌﾞﾗｯｸ</t>
  </si>
  <si>
    <t>JKUI6CL</t>
  </si>
  <si>
    <t>EPSON ｲﾝｸｶｰﾄﾘｯｼﾞ ｸﾏﾉﾐ KUI-6CL 6色ﾊﾟｯｸ</t>
  </si>
  <si>
    <t>JKUI6CLL</t>
  </si>
  <si>
    <t>EPSON ｲﾝｸｶｰﾄﾘｯｼﾞ ｸﾏﾉﾐ KUI-6CL-L 6色ﾊﾟｯｸ(増量)</t>
  </si>
  <si>
    <t>JKUI6CLM</t>
  </si>
  <si>
    <t>EPSON ｲﾝｸｶｰﾄﾘｯｼﾞ ｸﾏﾉﾐ KUI-6CL-M 6色ﾊﾟｯｸM</t>
  </si>
  <si>
    <t>JKUIBK</t>
  </si>
  <si>
    <t>EPSON ｲﾝｸｶｰﾄﾘｯｼﾞ ｸﾏﾉﾐ KUI-BK ﾌﾞﾗｯｸ</t>
  </si>
  <si>
    <t>JKUIBKL</t>
  </si>
  <si>
    <t>EPSON ｲﾝｸｶｰﾄﾘｯｼﾞ ｸﾏﾉﾐ KUI-BK-L ﾌﾞﾗｯｸ(増量)</t>
  </si>
  <si>
    <t>JKUIC</t>
  </si>
  <si>
    <t>EPSON ｲﾝｸｶｰﾄﾘｯｼﾞ ｸﾏﾉﾐ KUI-C ｼｱﾝ</t>
  </si>
  <si>
    <t>JKUICL</t>
  </si>
  <si>
    <t>EPSON ｲﾝｸｶｰﾄﾘｯｼﾞ ｸﾏﾉﾐ KUI-C-L ｼｱﾝ(増量)</t>
  </si>
  <si>
    <t>JKUILC</t>
  </si>
  <si>
    <t>EPSON ｲﾝｸｶｰﾄﾘｯｼﾞ ｸﾏﾉﾐ KUI-LC ﾗｲﾄｼｱﾝ</t>
  </si>
  <si>
    <t>JKUILCL</t>
  </si>
  <si>
    <t>EPSON ｲﾝｸｶｰﾄﾘｯｼﾞ ｸﾏﾉﾐ KUI-LC-L ﾗｲﾄｼｱﾝ(増量)</t>
  </si>
  <si>
    <t>JKUILM</t>
  </si>
  <si>
    <t>EPSON ｲﾝｸｶｰﾄﾘｯｼﾞ ｸﾏﾉﾐ KUI-LM ﾗｲﾄﾏｾﾞﾝﾀ</t>
  </si>
  <si>
    <t>JKUILML</t>
  </si>
  <si>
    <t>EPSON ｲﾝｸｶｰﾄﾘｯｼﾞ ｸﾏﾉﾐ KUI-LM-L ﾗｲﾄﾏｾﾞﾝﾀ(増量)</t>
  </si>
  <si>
    <t>JKUIM</t>
  </si>
  <si>
    <t>EPSON ｲﾝｸｶｰﾄﾘｯｼﾞ ｸﾏﾉﾐ KUI-M ﾏｾﾞﾝﾀ</t>
  </si>
  <si>
    <t>JKUIML</t>
  </si>
  <si>
    <t>EPSON ｲﾝｸｶｰﾄﾘｯｼﾞ ｸﾏﾉﾐ KUI-M-L ﾏｾﾞﾝﾀ(増量)</t>
  </si>
  <si>
    <t>JKUIY</t>
  </si>
  <si>
    <t>EPSON ｲﾝｸｶｰﾄﾘｯｼﾞ ｸﾏﾉﾐ KUI-Y ｲｴﾛｰ</t>
  </si>
  <si>
    <t>JKUIYL</t>
  </si>
  <si>
    <t>EPSON ｲﾝｸｶｰﾄﾘｯｼﾞ ｸﾏﾉﾐ KUI-Y-L ｲｴﾛｰ(増量)</t>
  </si>
  <si>
    <t>JKXFAT411N</t>
  </si>
  <si>
    <t>Panasonic KX-FAT411N 大容量ﾄﾅｰ</t>
  </si>
  <si>
    <t>JL0H24A</t>
  </si>
  <si>
    <t>HP ﾒﾝﾃﾅﾝｽｷｯﾄ L0H24A</t>
  </si>
  <si>
    <t>JL0R09A</t>
  </si>
  <si>
    <t>HP 981X ｲﾝｸｶｰﾄﾘｯｼﾞ L0R09A  ｼｱﾝ</t>
  </si>
  <si>
    <t>JL0R10A</t>
  </si>
  <si>
    <t>HP 981X ｲﾝｸｶｰﾄﾘｯｼﾞ L0R10A ﾏｾﾞﾝﾀ</t>
  </si>
  <si>
    <t>JL0R11A</t>
  </si>
  <si>
    <t>HP 981X ｲﾝｸｶｰﾄﾘｯｼﾞ L0R11A ｲｴﾛｰ</t>
  </si>
  <si>
    <t>JL0R12A</t>
  </si>
  <si>
    <t>HP 981X ｲﾝｸｶｰﾄﾘｯｼﾞ L0R12A 黒</t>
  </si>
  <si>
    <t>JL0R13A</t>
  </si>
  <si>
    <t>HP 981Y ｲﾝｸｶｰﾄﾘｯｼﾞ L0R13A ｼｱﾝ 大容量</t>
  </si>
  <si>
    <t>JL0R14A</t>
  </si>
  <si>
    <t>HP 981Y ｲﾝｸｶｰﾄﾘｯｼﾞ L0R14A ﾏｾﾞﾝﾀ 大容量</t>
  </si>
  <si>
    <t>JL0R15A</t>
  </si>
  <si>
    <t>HP 981Y ｲﾝｸｶｰﾄﾘｯｼﾞ L0R15A ｲｴﾛｰ 大容量</t>
  </si>
  <si>
    <t>JL0R16A</t>
  </si>
  <si>
    <t>HP 981Y ｲﾝｸｶｰﾄﾘｯｼﾞ L0R16A 黒 大容量</t>
  </si>
  <si>
    <t>JL0S63AA</t>
  </si>
  <si>
    <t>HP 955XL ｲﾝｸｶｰﾄﾘｯｼﾞ L0S63AA ｼｱﾝ</t>
  </si>
  <si>
    <t>JL0S66AA</t>
  </si>
  <si>
    <t>HP 955XL ｲﾝｸｶｰﾄﾘｯｼﾞ L0S66AA ﾏｾﾞﾝﾀ</t>
  </si>
  <si>
    <t>JL0S69AA</t>
  </si>
  <si>
    <t>HP 955XL ｲﾝｸｶｰﾄﾘｯｼﾞ L0S69AA ｲｴﾛｰ</t>
  </si>
  <si>
    <t>JL0S72AA</t>
  </si>
  <si>
    <t>HP 955XL ｲﾝｸｶｰﾄﾘｯｼﾞ L0S72AA ﾌﾞﾗｯｸ</t>
  </si>
  <si>
    <t>JL300</t>
  </si>
  <si>
    <t>NTT　NTT-FAX　L300ﾄﾅｰ　05788561</t>
  </si>
  <si>
    <t>JL300D</t>
  </si>
  <si>
    <t>NTT　NTT-FAX　L300ﾄﾞﾗﾑ</t>
  </si>
  <si>
    <t>JL4C55031C</t>
  </si>
  <si>
    <t>NEC PR-L4C550-31C ｼｱﾝ ﾄﾞﾗﾑｶｰﾄﾘｯｼﾞ</t>
  </si>
  <si>
    <t>JL4C55031K</t>
  </si>
  <si>
    <t>NEC PR-L4C550-31K ﾌﾞﾗｯｸ ﾄﾞﾗﾑｶｰﾄﾘｯｼﾞ</t>
  </si>
  <si>
    <t>JL4C55031M</t>
  </si>
  <si>
    <t>NEC PR-L4C550-31M ﾏｾﾞﾝﾀ ﾄﾞﾗﾑｶｰﾄﾘｯｼﾞ</t>
  </si>
  <si>
    <t>JL4C55031Y</t>
  </si>
  <si>
    <t>NEC PR-L4C550-31Y ｲｴﾛｰ ﾄﾞﾗﾑｶｰﾄﾘｯｼﾞ</t>
  </si>
  <si>
    <t>JL4C55033</t>
  </si>
  <si>
    <t>NEC PR-L4C550-33 ﾄﾅｰ回収ﾎﾞﾄﾙ</t>
  </si>
  <si>
    <t>JLB108B</t>
  </si>
  <si>
    <t>富士通 ﾄﾅｰｶｰﾄﾘｯｼﾞLB108B [2022.10終息]</t>
  </si>
  <si>
    <t>JLB108D</t>
  </si>
  <si>
    <t>富士通 ﾄﾞﾗﾑｶｰﾄﾘｯｼﾞLB108 [2022.10終息]</t>
  </si>
  <si>
    <t>JLB110A</t>
  </si>
  <si>
    <t>富士通 ﾄﾅｰｶｰﾄﾘｯｼﾞ LB110A</t>
  </si>
  <si>
    <t>JLB110AF</t>
  </si>
  <si>
    <t>富士通 環境共生ﾄﾅｰ LB110AF</t>
  </si>
  <si>
    <t>JLB110B</t>
  </si>
  <si>
    <t>富士通 ﾄﾅｰｶｰﾄﾘｯｼﾞ LB110B</t>
  </si>
  <si>
    <t>JLB110BF</t>
  </si>
  <si>
    <t>富士通 環境共生ﾄﾅｰ LB110BF</t>
  </si>
  <si>
    <t>JLB110D</t>
  </si>
  <si>
    <t>富士通 ﾄﾞﾗﾑｶｰﾄﾘｯｼﾞLB110</t>
  </si>
  <si>
    <t>JLB111A</t>
  </si>
  <si>
    <t>富士通 ﾄﾅｰｶｰﾄﾘｯｼﾞLB111A</t>
  </si>
  <si>
    <t>JLB111B</t>
  </si>
  <si>
    <t>富士通 ﾄﾅｰｶｰﾄﾘｯｼﾞLB111B</t>
  </si>
  <si>
    <t>JLB111D</t>
  </si>
  <si>
    <t>富士通 ﾄﾞﾗﾑｶｰﾄﾘｯｼﾞLB111</t>
  </si>
  <si>
    <t>JLB112A</t>
  </si>
  <si>
    <t>富士通 ﾄﾅｰｶｰﾄﾘｯｼﾞLB112A</t>
  </si>
  <si>
    <t>JLB112B</t>
  </si>
  <si>
    <t>富士通 ﾄﾅｰｶｰﾄﾘｯｼﾞLB112B</t>
  </si>
  <si>
    <t>JLB112D</t>
  </si>
  <si>
    <t>富士通 ﾄﾞﾗﾑｶｰﾄﾘｯｼﾞLB112</t>
  </si>
  <si>
    <t>JLB316</t>
  </si>
  <si>
    <t>富士通 ﾄﾅｰｶｰﾄﾘｯｼﾞLB316</t>
  </si>
  <si>
    <t>JLB316D</t>
  </si>
  <si>
    <t>富士通 ﾄﾞﾗﾑｶｰﾄﾘｯｼﾞLB316</t>
  </si>
  <si>
    <t>JLB318A</t>
  </si>
  <si>
    <t>富士通 ﾌﾟﾛｾｽｶｰﾄﾘｯｼﾞLB318A</t>
  </si>
  <si>
    <t>JLB318B</t>
  </si>
  <si>
    <t>富士通 ﾌﾟﾛｾｽｶｰﾄﾘｯｼﾞLB318B</t>
  </si>
  <si>
    <t>JLB319A</t>
  </si>
  <si>
    <t>富士通 ﾌﾟﾛｾｽｶｰﾄﾘｯｼﾞLB319A -2022.10終息-</t>
  </si>
  <si>
    <t>JLB319AF</t>
  </si>
  <si>
    <t>富士通 環境共生ﾄﾅｰ LB319AF -2022.10終息-</t>
  </si>
  <si>
    <t>JLB319B</t>
  </si>
  <si>
    <t>富士通 ﾌﾟﾛｾｽｶｰﾄﾘｯｼﾞLB319B -2022.10終息-</t>
  </si>
  <si>
    <t>JLB319BF</t>
  </si>
  <si>
    <t>富士通 環境共生ﾄﾅｰ LB319BF -2022.10終息-</t>
  </si>
  <si>
    <t>JLB320A</t>
  </si>
  <si>
    <t>富士通 ﾄﾅｰｶｰﾄﾘｯｼﾞLB320A</t>
  </si>
  <si>
    <t>JLB320AF</t>
  </si>
  <si>
    <t>富士通 環境共生ﾄﾅｰ LB320AF</t>
  </si>
  <si>
    <t>JLB320B</t>
  </si>
  <si>
    <t>【終息】富士通 ﾄﾅｰｶｰﾄﾘｯｼﾞLB320B</t>
  </si>
  <si>
    <t>JLB320BF</t>
  </si>
  <si>
    <t>【終息】富士通 環境共生ﾄﾅｰ LB320BF</t>
  </si>
  <si>
    <t>JLB320D</t>
  </si>
  <si>
    <t>富士通 ﾄﾞﾗﾑｶｰﾄﾘｯｼﾞLB320</t>
  </si>
  <si>
    <t>JLB320M</t>
  </si>
  <si>
    <t>富士通 ﾄﾅｰｶｰﾄﾘｯｼﾞLB320M</t>
  </si>
  <si>
    <t>JLB320MF</t>
  </si>
  <si>
    <t>富士通 環境共生ﾄﾅｰ LB320MF</t>
  </si>
  <si>
    <t>JLB321A</t>
  </si>
  <si>
    <t>富士通 ﾄﾅｰｶｰﾄﾘｯｼﾞLB321A</t>
  </si>
  <si>
    <t>JLB321AF</t>
  </si>
  <si>
    <t>富士通 環境共生ﾄﾅｰLB321AF</t>
  </si>
  <si>
    <t>JLB321B</t>
  </si>
  <si>
    <t>【終息】富士通 ﾄﾅｰｶｰﾄﾘｯｼﾞLB321B</t>
  </si>
  <si>
    <t>JLB321BF</t>
  </si>
  <si>
    <t>【終息】富士通 環境共生ﾄﾅｰLB321BF</t>
  </si>
  <si>
    <t>JLB321D</t>
  </si>
  <si>
    <t>富士通 ﾄﾞﾗﾑｶｰﾄﾘｯｼﾞLB321</t>
  </si>
  <si>
    <t>JLB321M</t>
  </si>
  <si>
    <t>富士通 ﾄﾅｰｶｰﾄﾘｯｼﾞLB321M</t>
  </si>
  <si>
    <t>JLB321MF</t>
  </si>
  <si>
    <t>富士通 環境共生ﾄﾅｰ LB321MF</t>
  </si>
  <si>
    <t>JLB322</t>
  </si>
  <si>
    <t>富士通 ﾄﾞﾗﾑｶｰﾄﾘｯｼﾞLB322</t>
  </si>
  <si>
    <t>JLB322B</t>
  </si>
  <si>
    <t>富士通 ﾄﾅｰｶｰﾄﾘｯｼﾞLB322B</t>
  </si>
  <si>
    <t>JLB322K</t>
  </si>
  <si>
    <t>富士通 ﾄﾞﾗﾑｶｰﾄﾘｯｼﾞLB322-K(特殊型番)</t>
  </si>
  <si>
    <t>JLB323</t>
  </si>
  <si>
    <t>富士通 ﾄﾅｰｶｰﾄﾘｯｼﾞLB323</t>
  </si>
  <si>
    <t>JLB501D</t>
  </si>
  <si>
    <t>富士通 ﾌﾟﾘﾝﾄﾕﾆｯﾄ LB501 0898110</t>
  </si>
  <si>
    <t>JLB501F</t>
  </si>
  <si>
    <t>富士通 環境共生ﾄﾅｰ LB501F</t>
  </si>
  <si>
    <t>JLB502</t>
  </si>
  <si>
    <t>富士通 ﾄﾅｰｶｰﾄﾘｯｼﾞLB502</t>
  </si>
  <si>
    <t>JLB502D</t>
  </si>
  <si>
    <t>富士通 ﾄﾞﾗﾑｶｰﾄﾘｯｼﾞLB502</t>
  </si>
  <si>
    <t>JLB502F</t>
  </si>
  <si>
    <t>富士通 環境共生ﾄﾅｰ LB502F</t>
  </si>
  <si>
    <t>JLBP121</t>
  </si>
  <si>
    <t>CANON ﾚｰｻﾞｰﾌﾟﾘﾝﾀｰ Satera LBP121　5620C010</t>
  </si>
  <si>
    <t>JLBP122</t>
  </si>
  <si>
    <t>CANON ﾚｰｻﾞｰﾌﾟﾘﾝﾀｰ Satera LBP122　5620C007</t>
  </si>
  <si>
    <t>JLBP171</t>
  </si>
  <si>
    <t>CANON ﾚｰｻﾞｰﾌﾟﾘﾝﾀｰ Satera LBP171　6353C009</t>
  </si>
  <si>
    <t>JLBP172</t>
  </si>
  <si>
    <t>CANON ﾚｰｻﾞｰﾌﾟﾘﾝﾀｰ Satera LBP172　6353C005</t>
  </si>
  <si>
    <t>JLBP241</t>
  </si>
  <si>
    <t>CANON ﾚｰｻﾞｰﾌﾟﾘﾝﾀｰ Satera LBP241　5952C014</t>
  </si>
  <si>
    <t>JLBP646C</t>
  </si>
  <si>
    <t>CANON ﾚｰｻﾞｰﾌﾟﾘﾝﾀｰ Satera LBP646C　6929C006</t>
  </si>
  <si>
    <t>JLBP672C2</t>
  </si>
  <si>
    <t>CANON ﾚｰｻﾞｰﾌﾟﾘﾝﾀｰ LBP672CⅡ　7186C011</t>
  </si>
  <si>
    <t>JLBP811C</t>
  </si>
  <si>
    <t>CANON ﾚｰｻﾞｰﾌﾟﾘﾝﾀｰ Satera LBP811C　6490C003</t>
  </si>
  <si>
    <t>JLBP861C</t>
  </si>
  <si>
    <t>CANON ﾚｰｻﾞｰﾌﾟﾘﾝﾀｰ Satera LBP861C　5728C003</t>
  </si>
  <si>
    <t>JLC115C</t>
  </si>
  <si>
    <t>brother ｲﾝｸｶｰﾄﾘｯｼﾞ LC115C</t>
  </si>
  <si>
    <t>JLC115M</t>
  </si>
  <si>
    <t>brother ｲﾝｸｶｰﾄﾘｯｼﾞ LC115M</t>
  </si>
  <si>
    <t>JLC115Y</t>
  </si>
  <si>
    <t>brother ｲﾝｸｶｰﾄﾘｯｼﾞ LC115Y</t>
  </si>
  <si>
    <t>JLC119115-4PK</t>
  </si>
  <si>
    <t>brother ｲﾝｸｶｰﾄﾘｯｼﾞ LC119/115-4PK</t>
  </si>
  <si>
    <t>JLC119BK</t>
  </si>
  <si>
    <t>brother ｲﾝｸｶｰﾄﾘｯｼﾞ LC119BK</t>
  </si>
  <si>
    <t>JLC174PK</t>
  </si>
  <si>
    <t>brother ｲﾝｸｶｰﾄﾘｯｼﾞ LC17-4PK</t>
  </si>
  <si>
    <t>JLC17BK</t>
  </si>
  <si>
    <t>brother ｲﾝｸｶｰﾄﾘｯｼﾞ LC17BK</t>
  </si>
  <si>
    <t>JLC17C</t>
  </si>
  <si>
    <t>brother ｲﾝｸｶｰﾄﾘｯｼﾞ LC17C</t>
  </si>
  <si>
    <t>JLC17M</t>
  </si>
  <si>
    <t>brother ｲﾝｸｶｰﾄﾘｯｼﾞ LC17M</t>
  </si>
  <si>
    <t>JLC17Y</t>
  </si>
  <si>
    <t>brother ｲﾝｸｶｰﾄﾘｯｼﾞ LC17Y</t>
  </si>
  <si>
    <t>JLC2114PK</t>
  </si>
  <si>
    <t>brother ｲﾝｸｶｰﾄﾘｯｼﾞ LC211-4PK</t>
  </si>
  <si>
    <t>JLC211BK</t>
  </si>
  <si>
    <t>brother ｲﾝｸｶｰﾄﾘｯｼﾞ LC211 BK</t>
  </si>
  <si>
    <t>JLC211BK2P</t>
  </si>
  <si>
    <t>brother ｲﾝｸｶｰﾄﾘｯｼﾞ LC211 BK2PK (2個ﾊﾟｯｸ)</t>
  </si>
  <si>
    <t>JLC211C</t>
  </si>
  <si>
    <t>brother ｲﾝｸｶｰﾄﾘｯｼﾞ LC211 C</t>
  </si>
  <si>
    <t>JLC211Y</t>
  </si>
  <si>
    <t>brother ｲﾝｸｶｰﾄﾘｯｼﾞ LC211 Y</t>
  </si>
  <si>
    <t>JLC211_M</t>
  </si>
  <si>
    <t>brother ｲﾝｸｶｰﾄﾘｯｼﾞ LC211 M</t>
  </si>
  <si>
    <t>JLC2134PK</t>
  </si>
  <si>
    <t>brother ｲﾝｸｶｰﾄﾘｯｼﾞ LC213-4PK</t>
  </si>
  <si>
    <t>JLC213BK</t>
  </si>
  <si>
    <t>brother ｲﾝｸｶｰﾄﾘｯｼﾞ LC213BK</t>
  </si>
  <si>
    <t>JLC213C</t>
  </si>
  <si>
    <t>brother ｲﾝｸｶｰﾄﾘｯｼﾞ LC213C</t>
  </si>
  <si>
    <t>JLC213M</t>
  </si>
  <si>
    <t>brother ｲﾝｸｶｰﾄﾘｯｼﾞ LC213M</t>
  </si>
  <si>
    <t>JLC213Y</t>
  </si>
  <si>
    <t>brother ｲﾝｸｶｰﾄﾘｯｼﾞ LC213Y</t>
  </si>
  <si>
    <t>JLC215C</t>
  </si>
  <si>
    <t>brother ｲﾝｸｶｰﾄﾘｯｼﾞ LC215C</t>
  </si>
  <si>
    <t>JLC215M</t>
  </si>
  <si>
    <t>brother ｲﾝｸｶｰﾄﾘｯｼﾞ LC215M</t>
  </si>
  <si>
    <t>JLC215Y</t>
  </si>
  <si>
    <t>brother ｲﾝｸｶｰﾄﾘｯｼﾞ LC215Y</t>
  </si>
  <si>
    <t>JLC2172154PK</t>
  </si>
  <si>
    <t>brother ｲﾝｸｶｰﾄﾘｯｼﾞ LC217/215-4PK</t>
  </si>
  <si>
    <t>JLC217BK</t>
  </si>
  <si>
    <t>brother ｲﾝｸｶｰﾄﾘｯｼﾞ LC217BK</t>
  </si>
  <si>
    <t>JLC2192154PK</t>
  </si>
  <si>
    <t>brother ｲﾝｸｶｰﾄﾘｯｼﾞ LC219/215-4PK</t>
  </si>
  <si>
    <t>JLC219BK</t>
  </si>
  <si>
    <t>brother ｲﾝｸｶｰﾄﾘｯｼﾞ LC219BK</t>
  </si>
  <si>
    <t>JLC31114PK</t>
  </si>
  <si>
    <t>brother ｲﾝｸｶｰﾄﾘｯｼﾞ LC3111-4PK</t>
  </si>
  <si>
    <t>JLC3111BK</t>
  </si>
  <si>
    <t>brother ｲﾝｸｶｰﾄﾘｯｼﾞ LC3111BK</t>
  </si>
  <si>
    <t>JLC3111BK2PK</t>
  </si>
  <si>
    <t>brother ｲﾝｸｶｰﾄﾘｯｼﾞ LC3111BK-2PK</t>
  </si>
  <si>
    <t>JLC3111C</t>
  </si>
  <si>
    <t>brother ｲﾝｸｶｰﾄﾘｯｼﾞ LC3111C</t>
  </si>
  <si>
    <t>JLC3111M</t>
  </si>
  <si>
    <t>brother ｲﾝｸｶｰﾄﾘｯｼﾞ LC3111M</t>
  </si>
  <si>
    <t>JLC3111Y</t>
  </si>
  <si>
    <t>brother ｲﾝｸｶｰﾄﾘｯｼﾞ LC3111Y</t>
  </si>
  <si>
    <t>JLC31174PK</t>
  </si>
  <si>
    <t>brother ｲﾝｸｶｰﾄﾘｯｼﾞ LC3117-4PK</t>
  </si>
  <si>
    <t>JLC3117BK</t>
  </si>
  <si>
    <t>brother ｲﾝｸｶｰﾄﾘｯｼﾞ LC3117BK</t>
  </si>
  <si>
    <t>JLC3117C</t>
  </si>
  <si>
    <t>brother ｲﾝｸｶｰﾄﾘｯｼﾞ LC3117C</t>
  </si>
  <si>
    <t>JLC3117M</t>
  </si>
  <si>
    <t>brother ｲﾝｸｶｰﾄﾘｯｼﾞ LC3117M</t>
  </si>
  <si>
    <t>JLC3117Y</t>
  </si>
  <si>
    <t>brother ｲﾝｸｶｰﾄﾘｯｼﾞ LC3117Y</t>
  </si>
  <si>
    <t>JLC31194PK</t>
  </si>
  <si>
    <t>brother ｲﾝｸｶｰﾄﾘｯｼﾞ LC3119-4PK</t>
  </si>
  <si>
    <t>JLC3119BK</t>
  </si>
  <si>
    <t>brother ｲﾝｸｶｰﾄﾘｯｼﾞ LC3119BK</t>
  </si>
  <si>
    <t>JLC3119C</t>
  </si>
  <si>
    <t>brother ｲﾝｸｶｰﾄﾘｯｼﾞ LC3119C</t>
  </si>
  <si>
    <t>JLC3119M</t>
  </si>
  <si>
    <t>brother ｲﾝｸｶｰﾄﾘｯｼﾞ LC3119M</t>
  </si>
  <si>
    <t>JLC3119Y</t>
  </si>
  <si>
    <t>brother ｲﾝｸｶｰﾄﾘｯｼﾞ LC3119Y</t>
  </si>
  <si>
    <t>JLC3129BK</t>
  </si>
  <si>
    <t>brother ｲﾝｸｶｰﾄﾘｯｼﾞ LC3129BK</t>
  </si>
  <si>
    <t>JLC3129C</t>
  </si>
  <si>
    <t>brother ｲﾝｸｶｰﾄﾘｯｼﾞ LC3129C</t>
  </si>
  <si>
    <t>JLC3129M</t>
  </si>
  <si>
    <t>brother ｲﾝｸｶｰﾄﾘｯｼﾞ LC3129M</t>
  </si>
  <si>
    <t>JLC3129Y</t>
  </si>
  <si>
    <t>brother ｲﾝｸｶｰﾄﾘｯｼﾞ LC3129Y</t>
  </si>
  <si>
    <t>JLC3133BK</t>
  </si>
  <si>
    <t>brother ｲﾝｸｶｰﾄﾘｯｼﾞ LC3133BK</t>
  </si>
  <si>
    <t>JLC3133C</t>
  </si>
  <si>
    <t>brother ｲﾝｸｶｰﾄﾘｯｼﾞ LC3133C</t>
  </si>
  <si>
    <t>JLC3133M</t>
  </si>
  <si>
    <t>brother ｲﾝｸｶｰﾄﾘｯｼﾞ LC3133M</t>
  </si>
  <si>
    <t>JLC3133Y</t>
  </si>
  <si>
    <t>brother ｲﾝｸｶｰﾄﾘｯｼﾞ LC3133Y</t>
  </si>
  <si>
    <t>JLC3139BK</t>
  </si>
  <si>
    <t>brother ｲﾝｸｶｰﾄﾘｯｼﾞ LC3139BK</t>
  </si>
  <si>
    <t>JLC3139C</t>
  </si>
  <si>
    <t>brother ｲﾝｸｶｰﾄﾘｯｼﾞ LC3139C</t>
  </si>
  <si>
    <t>JLC3139M</t>
  </si>
  <si>
    <t>brother ｲﾝｸｶｰﾄﾘｯｼﾞ LC3139M</t>
  </si>
  <si>
    <t>JLC3139Y</t>
  </si>
  <si>
    <t>brother ｲﾝｸｶｰﾄﾘｯｼﾞ LC3139Y</t>
  </si>
  <si>
    <t>JLC4124PK</t>
  </si>
  <si>
    <t>brother ｲﾝｸｶｰﾄﾘｯｼﾞ LC412-4PK 4色ﾊﾟｯｸ</t>
  </si>
  <si>
    <t>JLC412XL4PK</t>
  </si>
  <si>
    <t>brother ｲﾝｸｶｰﾄﾘｯｼﾞ LC412XL-4PK 4色ﾊﾟｯｸ(大容量)</t>
  </si>
  <si>
    <t>JLC412XLBK</t>
  </si>
  <si>
    <t>brother ｲﾝｸｶｰﾄﾘｯｼﾞ LC412XLBK ﾌﾞﾗｯｸ</t>
  </si>
  <si>
    <t>JLC412XLC</t>
  </si>
  <si>
    <t>brother ｲﾝｸｶｰﾄﾘｯｼﾞ LC412XLC ｼｱﾝ</t>
  </si>
  <si>
    <t>JLC412XLM</t>
  </si>
  <si>
    <t>brother ｲﾝｸｶｰﾄﾘｯｼﾞ LC412XLM ﾏｾﾞﾝﾀ</t>
  </si>
  <si>
    <t>JLC412XLY</t>
  </si>
  <si>
    <t>brother ｲﾝｸｶｰﾄﾘｯｼﾞ LC412XLY ｲｴﾛｰ</t>
  </si>
  <si>
    <t>JLFM-CP22495</t>
  </si>
  <si>
    <t>CANON ｺｰﾄ紙 LFM-CP2/24/95 610mm×40m</t>
  </si>
  <si>
    <t>JLFM-CP23695</t>
  </si>
  <si>
    <t>CANON ｺｰﾄ紙 LFM-CP2/36/95 914mm×40m</t>
  </si>
  <si>
    <t>JLFMGPH24170</t>
  </si>
  <si>
    <t>CANON ﾌｫﾄ光沢紙(薄口) LFM-GPH/24/170　4379B004</t>
  </si>
  <si>
    <t>24ｲﾝﾁﾛｰﾙ 610mm×30m 1本</t>
  </si>
  <si>
    <t>JLFMPPS22464</t>
  </si>
  <si>
    <t>CANON ｽﾀﾝﾀﾞｰﾄﾞ普通紙2 LFM-PPS2/24/64 610mm×50m 2本/箱</t>
  </si>
  <si>
    <t>JLFMPPS2A064</t>
  </si>
  <si>
    <t>CANON ｽﾀﾝﾀﾞｰﾄﾞ普通紙2 LFM-PPS2/A0/64 A0ﾛｰﾙ 841mm×50m 1箱/2本</t>
  </si>
  <si>
    <t>JLP-761</t>
  </si>
  <si>
    <t>OKI LP-761 ﾄﾅｰｶｰﾄﾘｯｼﾞ 450g/個 LP761 1箱(2個)</t>
  </si>
  <si>
    <t>JLP761</t>
  </si>
  <si>
    <t>OKI ﾄﾅｰｶｰﾄﾘｯｼﾞLP761 450g 2個入</t>
  </si>
  <si>
    <t>JLPA3CZ1C12</t>
  </si>
  <si>
    <t>EPSON LPA3CZ1C12 増設1段ｶｾｯﾄ</t>
  </si>
  <si>
    <t>JLPA3ETC14</t>
  </si>
  <si>
    <t>EPSON LPA3ETC14 ﾄﾅｰｶｰﾄﾘｯｼﾞ</t>
  </si>
  <si>
    <t>JLPA3ETC15</t>
  </si>
  <si>
    <t>EPSON LPA3ETC15 ﾄﾅｰｶｰﾄﾘｯｼﾞ</t>
  </si>
  <si>
    <t>JLPA3ETC16</t>
  </si>
  <si>
    <t>EPSON LPA3ETC16 ﾄﾅｰｶｰﾄﾘｯｼﾞ</t>
  </si>
  <si>
    <t>JLPA3ETC17</t>
  </si>
  <si>
    <t>EPSON LPA3ETC17 ﾄﾅｰｶｰﾄﾘｯｼﾞ</t>
  </si>
  <si>
    <t>JLPA3ETC18</t>
  </si>
  <si>
    <t>EPSON LPA3ETC18 ﾄﾅｰｶｰﾄﾘｯｼﾞ</t>
  </si>
  <si>
    <t>JLPA3ETC19</t>
  </si>
  <si>
    <t>EPSON LPA3ETC19 ﾄﾅｰｶｰﾄﾘｯｼﾞ</t>
  </si>
  <si>
    <t>JLPA4ETC7</t>
  </si>
  <si>
    <t>JLPA4ETC8</t>
  </si>
  <si>
    <t>-終息-EPSON LPA4ETC8 ﾄﾅｰｶｰﾄﾘｯｼﾞ　2020/9末廃番</t>
  </si>
  <si>
    <t>JLPA4KUT4</t>
  </si>
  <si>
    <t>JLPA4MTU2</t>
  </si>
  <si>
    <t>JLPA4MTU3</t>
  </si>
  <si>
    <t>EPSON LPA4MTU3 ﾒﾝﾃﾅﾝｽﾕﾆｯﾄ</t>
  </si>
  <si>
    <t>JLPA4MTU4</t>
  </si>
  <si>
    <t>EPSON LPA4MTU4 ﾒﾝﾃﾅﾝｽﾕﾆｯﾄ</t>
  </si>
  <si>
    <t>JLPA4MTU5A</t>
  </si>
  <si>
    <t>EPSON LPA4MTU5A 定期交換ﾕﾆｯﾄ</t>
  </si>
  <si>
    <t>JLPA4MTU5B</t>
  </si>
  <si>
    <t>EPSON LPA4MTU5B 定期交換ﾕﾆｯﾄ</t>
  </si>
  <si>
    <t>JLPB3T19S</t>
  </si>
  <si>
    <t>JLPB3T20</t>
  </si>
  <si>
    <t>EPSON LPB3T20 ﾄﾅｰｶｰﾄﾘｯｼﾞ　2020/9末廃番</t>
  </si>
  <si>
    <t>JLPB3T20V</t>
  </si>
  <si>
    <t>JLPB3T21</t>
  </si>
  <si>
    <t>EPSON LPB3T21 ﾄﾅｰｶｰﾄﾘｯｼﾞ　2020/9末廃番</t>
  </si>
  <si>
    <t>JLPB3T21V</t>
  </si>
  <si>
    <t>EPSON LPB3T21V 環境推進ﾄﾅｰ　2020/9末廃番</t>
  </si>
  <si>
    <t>JLPB3T22</t>
  </si>
  <si>
    <t>JLPB3T22V</t>
  </si>
  <si>
    <t>JLPB3T23</t>
  </si>
  <si>
    <t>JLPB3T23V</t>
  </si>
  <si>
    <t>JLPB3T24</t>
  </si>
  <si>
    <t>EPSON LPB3T24 ﾄﾅｰｶｰﾄﾘｯｼﾞ</t>
  </si>
  <si>
    <t>JLPB3T24V</t>
  </si>
  <si>
    <t>EPSON LPB3T24V 環境推進ﾄﾅｰ</t>
  </si>
  <si>
    <t>JLPB3T25</t>
  </si>
  <si>
    <t>EPSON LPB3T25 ﾄﾅｰｶｰﾄﾘｯｼﾞ</t>
  </si>
  <si>
    <t>JLPB3T25V</t>
  </si>
  <si>
    <t>EPSON LPB3T25V 環境推進ﾄﾅｰ</t>
  </si>
  <si>
    <t>JLPB3T26</t>
  </si>
  <si>
    <t>EPSON LPB3T26 ﾄﾅｰｶｰﾄﾘｯｼﾞ</t>
  </si>
  <si>
    <t>JLPB3T26V</t>
  </si>
  <si>
    <t>EPSON LPB3T26V 環境推進ﾄﾅｰ</t>
  </si>
  <si>
    <t>JLPB3T27</t>
  </si>
  <si>
    <t>EPSON LPB3T27 ﾄﾅｰｶｰﾄﾘｯｼﾞ</t>
  </si>
  <si>
    <t>JLPB3T27S</t>
  </si>
  <si>
    <t>EPSON LPB3T27S 環境推進ﾄﾅｰ</t>
  </si>
  <si>
    <t>JLPB3T27V</t>
  </si>
  <si>
    <t>EPSON LPB3T27V 環境推進ﾄﾅｰ</t>
  </si>
  <si>
    <t>JLPB3T28</t>
  </si>
  <si>
    <t>EPSON LPB3T28 ﾄﾅｰｶｰﾄﾘｯｼﾞ</t>
  </si>
  <si>
    <t>JLPB3T28V</t>
  </si>
  <si>
    <t>EPSON LPB3T28V 環境推進ﾄﾅｰ</t>
  </si>
  <si>
    <t>JLPB3T29</t>
  </si>
  <si>
    <t>EPSON LPB3T29 ﾄﾅｰｶｰﾄﾘｯｼﾞ</t>
  </si>
  <si>
    <t>JLPB3T29S</t>
  </si>
  <si>
    <t>EPSON LPB3T29S 環境推進ﾄﾅｰ</t>
  </si>
  <si>
    <t>JLPB3T29V</t>
  </si>
  <si>
    <t>EPSON LPB3T29V 環境推進ﾄﾅｰ</t>
  </si>
  <si>
    <t>JLPB3T30</t>
  </si>
  <si>
    <t>EPSON LPB3T30 ﾄﾅｰｶｰﾄﾘｯｼﾞ</t>
  </si>
  <si>
    <t>JLPB3T31</t>
  </si>
  <si>
    <t>EPSON LPB3T31 ﾄﾅｰｶｰﾄﾘｯｼﾞ</t>
  </si>
  <si>
    <t>JLPB3T31V</t>
  </si>
  <si>
    <t>EPSON LPB3T31V 環境推進ﾄﾅｰ</t>
  </si>
  <si>
    <t>JLPB3T32</t>
  </si>
  <si>
    <t>EPSON LPB3T32 ﾄﾅｰｶｰﾄﾘｯｼﾞ</t>
  </si>
  <si>
    <t>JLPB3T32S</t>
  </si>
  <si>
    <t>EPSON LPB3T32S 環境推進ﾄﾅｰ</t>
  </si>
  <si>
    <t>JLPB3T32V</t>
  </si>
  <si>
    <t>EPSON LPB3T32V 環境推進ﾄﾅｰ</t>
  </si>
  <si>
    <t>JLPB3T33</t>
  </si>
  <si>
    <t>EPSON LPB3T33 ﾄﾅｰｶｰﾄﾘｯｼﾞ</t>
  </si>
  <si>
    <t>JLPB3T33V</t>
  </si>
  <si>
    <t>EPSON LPB3T33V 環境推進ﾄﾅｰ</t>
  </si>
  <si>
    <t>JLPB3T34</t>
  </si>
  <si>
    <t>EPSON LPB3T34 ﾄﾅｰｶｰﾄﾘｯｼﾞ</t>
  </si>
  <si>
    <t>JLPB3T34S</t>
  </si>
  <si>
    <t>EPSON LPB3T34S 環境推進ﾄﾅｰ</t>
  </si>
  <si>
    <t>JLPB3T34V</t>
  </si>
  <si>
    <t>EPSON LPB3T34V 環境推進ﾄﾅｰ</t>
  </si>
  <si>
    <t>JLPB3TCU22</t>
  </si>
  <si>
    <t>EPSON LPB3TCU22</t>
  </si>
  <si>
    <t>JLPB4K18</t>
  </si>
  <si>
    <t>EPSON LPB4K18 感光体ﾕﾆｯﾄ</t>
  </si>
  <si>
    <t>JLPB4K20</t>
  </si>
  <si>
    <t>EPSON LPB4K20 感光体ﾕﾆｯﾄ</t>
  </si>
  <si>
    <t>JLPB4T10</t>
  </si>
  <si>
    <t>EPSON LPB4T10 ﾄﾅｰｶｰﾄﾘｯｼﾞ　2020/9末廃番</t>
  </si>
  <si>
    <t>JLPB4T10V</t>
  </si>
  <si>
    <t>EPSON LPB4T10V 環境推進ﾄﾅｰ　2020/9末廃番</t>
  </si>
  <si>
    <t>JLPB4T11</t>
  </si>
  <si>
    <t>JLPB4T12</t>
  </si>
  <si>
    <t>EPSON LPB4T12 ﾄﾅｰｶｰﾄﾘｯｼﾞ</t>
  </si>
  <si>
    <t>JLPB4T12S</t>
  </si>
  <si>
    <t>EPSON LPB4T12S 環境推進トナー</t>
  </si>
  <si>
    <t>JLPB4T12V</t>
  </si>
  <si>
    <t>EPSON LPB4T12V 環境推進ﾄﾅｰ</t>
  </si>
  <si>
    <t>JLPB4T13</t>
  </si>
  <si>
    <t>EPSON LPB4T13 ﾄﾅｰｶｰﾄﾘｯｼﾞ</t>
  </si>
  <si>
    <t>JLPB4T13S</t>
  </si>
  <si>
    <t>EPSON LPB4T13S 環境推進トナー</t>
  </si>
  <si>
    <t>JLPB4T13V</t>
  </si>
  <si>
    <t>EPSON LPB4T13V 環境推進ﾄﾅｰ</t>
  </si>
  <si>
    <t>JLPB4T14</t>
  </si>
  <si>
    <t>JLPB4T15</t>
  </si>
  <si>
    <t>JLPB4T15S</t>
  </si>
  <si>
    <t>JLPB4T15V</t>
  </si>
  <si>
    <t>JLPB4T16</t>
  </si>
  <si>
    <t>EPSON LPB4T16 ﾄﾅｰｶｰﾄﾘｯｼﾞ</t>
  </si>
  <si>
    <t>JLPB4T17</t>
  </si>
  <si>
    <t>EPSON LPB4T17 ﾄﾅｰｶｰﾄﾘｯｼﾞ</t>
  </si>
  <si>
    <t>JLPB4T17S</t>
  </si>
  <si>
    <t>JLPB4T17V</t>
  </si>
  <si>
    <t>JLPB4T18</t>
  </si>
  <si>
    <t>EPSON LPB4T18 ﾄﾅｰｶｰﾄﾘｯｼﾞ</t>
  </si>
  <si>
    <t>JLPB4T18V</t>
  </si>
  <si>
    <t>EPSON LPB4T18V 環境推進ﾄﾅｰ</t>
  </si>
  <si>
    <t>JLPB4T19</t>
  </si>
  <si>
    <t>EPSON LPB4T19 ﾄﾅｰｶｰﾄﾘｯｼﾞ</t>
  </si>
  <si>
    <t>JLPB4T19V</t>
  </si>
  <si>
    <t>EPSON LPB4T19V 環境推進ﾄﾅｰ</t>
  </si>
  <si>
    <t>JLPB4T20</t>
  </si>
  <si>
    <t>EPSON LPB4T20 ﾄﾅｰｶｰﾄﾘｯｼﾞ</t>
  </si>
  <si>
    <t>JLPB4T20V</t>
  </si>
  <si>
    <t>EPSON LPB4T20V 環境推進ﾄﾅｰ</t>
  </si>
  <si>
    <t>JLPB4T21</t>
  </si>
  <si>
    <t>EPSON LPB4T21 ﾄﾅｰｶｰﾄﾘｯｼﾞ</t>
  </si>
  <si>
    <t>JLPB4T21S</t>
  </si>
  <si>
    <t>EPSON LPB4T21S 環境推進トナー</t>
  </si>
  <si>
    <t>JLPB4T21V</t>
  </si>
  <si>
    <t>EPSON LPB4T21V 環境推進ﾄﾅｰ</t>
  </si>
  <si>
    <t>JLPB4T24</t>
  </si>
  <si>
    <t>EPSON LPB4T24 ﾄﾅｰｶｰﾄﾘｯｼﾞ</t>
  </si>
  <si>
    <t>JLPB4T24V</t>
  </si>
  <si>
    <t>EPSON LPB4T24V 環境推進ﾄﾅｰ</t>
  </si>
  <si>
    <t>JLPB4T25</t>
  </si>
  <si>
    <t>EPSON LPB4T25 ﾄﾅｰｶｰﾄﾘｯｼﾞ</t>
  </si>
  <si>
    <t>JLPB4T25S</t>
  </si>
  <si>
    <t>EPSON LPB4T25S 環境推進トナー</t>
  </si>
  <si>
    <t>JLPB4T25V</t>
  </si>
  <si>
    <t>EPSON LPB4T25V 環境推進ﾄﾅｰ</t>
  </si>
  <si>
    <t>JLPB4T26</t>
  </si>
  <si>
    <t>EPSON LPB4T26 ﾄﾅｰｶｰﾄﾘｯｼﾞ</t>
  </si>
  <si>
    <t>JLPB4T26S</t>
  </si>
  <si>
    <t>EPSON LPB4T26S 環境推進トナー</t>
  </si>
  <si>
    <t>JLPB4T26V</t>
  </si>
  <si>
    <t>EPSON LPB4T26V 環境推進ﾄﾅｰ</t>
  </si>
  <si>
    <t>JLPB4TCU18</t>
  </si>
  <si>
    <t>EPSON LPB4TCU18 定着ﾕﾆｯﾄ</t>
  </si>
  <si>
    <t>JLPC3H13</t>
  </si>
  <si>
    <t>JLPC3H15</t>
  </si>
  <si>
    <t>EPSON LPC3H15 廃ﾄﾅｰﾎﾞｯｸｽ</t>
  </si>
  <si>
    <t>JLPC3H17</t>
  </si>
  <si>
    <t>EPSON LPC3H17 廃ﾄﾅｰﾎﾞｯｸｽ</t>
  </si>
  <si>
    <t>JLPC3K10C</t>
  </si>
  <si>
    <t>JLPC3K10K</t>
  </si>
  <si>
    <t>JLPC3K10M</t>
  </si>
  <si>
    <t>JLPC3K10Y</t>
  </si>
  <si>
    <t>JLPC3K15</t>
  </si>
  <si>
    <t>EPSON LPC3K15 感光体ﾕﾆｯﾄ</t>
  </si>
  <si>
    <t>JLPC3K17</t>
  </si>
  <si>
    <t>EPSON LPC3K17 感光体ﾕﾆｯﾄ ｶﾗｰ</t>
  </si>
  <si>
    <t>JLPC3K17K</t>
  </si>
  <si>
    <t>EPSON LPC3K17K 感光体ﾕﾆｯﾄ ﾌﾞﾗｯｸ</t>
  </si>
  <si>
    <t>JLPC3T10C</t>
  </si>
  <si>
    <t>EPSON LPC3T10C ﾄﾅｰｶｰﾄﾘｯｼﾞ ｼｱﾝ　2021/3末廃番</t>
  </si>
  <si>
    <t>JLPC3T10K</t>
  </si>
  <si>
    <t>EPSON LPC3T10K ﾄﾅｰｶｰﾄﾘｯｼﾞ ﾌﾞﾗｯｸ　2021/3末廃番</t>
  </si>
  <si>
    <t>JLPC3T10M</t>
  </si>
  <si>
    <t>EPSON LPC3T10M ﾄﾅｰｶｰﾄﾘｯｼﾞ ﾏｾﾞﾝﾀﾞ　2021/3末廃番</t>
  </si>
  <si>
    <t>JLPC3T10Y</t>
  </si>
  <si>
    <t>EPSON LPC3T10Y ﾄﾅｰｶｰﾄﾘｯｼﾞ ｲｴﾛｰ　2021/3末廃番</t>
  </si>
  <si>
    <t>JLPC3T13C</t>
  </si>
  <si>
    <t>JLPC3T13CV</t>
  </si>
  <si>
    <t>JLPC3T13K</t>
  </si>
  <si>
    <t>JLPC3T13KV</t>
  </si>
  <si>
    <t>JLPC3T13M</t>
  </si>
  <si>
    <t>JLPC3T13MV</t>
  </si>
  <si>
    <t>JLPC3T13Y</t>
  </si>
  <si>
    <t>JLPC3T13YV</t>
  </si>
  <si>
    <t>JLPC3T14C</t>
  </si>
  <si>
    <t>JLPC3T14CV</t>
  </si>
  <si>
    <t>JLPC3T14K</t>
  </si>
  <si>
    <t>JLPC3T14KV</t>
  </si>
  <si>
    <t>JLPC3T14M</t>
  </si>
  <si>
    <t>JLPC3T14MV</t>
  </si>
  <si>
    <t>JLPC3T14Y</t>
  </si>
  <si>
    <t>JLPC3T14YV</t>
  </si>
  <si>
    <t>JLPC3T15C</t>
  </si>
  <si>
    <t>JLPC3T15CV</t>
  </si>
  <si>
    <t>JLPC3T15K</t>
  </si>
  <si>
    <t>JLPC3T15KV</t>
  </si>
  <si>
    <t>JLPC3T15M</t>
  </si>
  <si>
    <t>JLPC3T15MV</t>
  </si>
  <si>
    <t>JLPC3T15Y</t>
  </si>
  <si>
    <t>JLPC3T15YV</t>
  </si>
  <si>
    <t>JLPC3T16C</t>
  </si>
  <si>
    <t>JLPC3T16CV</t>
  </si>
  <si>
    <t>JLPC3T16K</t>
  </si>
  <si>
    <t>JLPC3T16KV</t>
  </si>
  <si>
    <t>JLPC3T16M</t>
  </si>
  <si>
    <t>JLPC3T16MV</t>
  </si>
  <si>
    <t>JLPC3T16Y</t>
  </si>
  <si>
    <t>JLPC3T16YV</t>
  </si>
  <si>
    <t>JLPC3T17C</t>
  </si>
  <si>
    <t>JLPC3T17CV</t>
  </si>
  <si>
    <t>JLPC3T17K</t>
  </si>
  <si>
    <t>JLPC3T17KV</t>
  </si>
  <si>
    <t>JLPC3T17M</t>
  </si>
  <si>
    <t>JLPC3T17MV</t>
  </si>
  <si>
    <t>JLPC3T17Y</t>
  </si>
  <si>
    <t>JLPC3T17YV</t>
  </si>
  <si>
    <t>JLPC3T18C</t>
  </si>
  <si>
    <t>JLPC3T18CP</t>
  </si>
  <si>
    <t>-終息-EPSON LPC3T18CP ﾄﾅｰｶｰﾄﾘｯｼﾞ ｼｱﾝ 2P</t>
  </si>
  <si>
    <t>JLPC3T18CPV</t>
  </si>
  <si>
    <t>-終息-EPSON LPC3T18CPV 環境推進ﾄﾅｰ ｼｱﾝ 2P</t>
  </si>
  <si>
    <t>JLPC3T18CS</t>
  </si>
  <si>
    <t>JLPC3T18CV</t>
  </si>
  <si>
    <t>JLPC3T18K</t>
  </si>
  <si>
    <t>JLPC3T18KP</t>
  </si>
  <si>
    <t>-終息-EPSON LPC3T18KP ﾄﾅｰｶｰﾄﾘｯｼﾞ ﾌﾞﾗｯｸ 2P</t>
  </si>
  <si>
    <t>JLPC3T18KPV</t>
  </si>
  <si>
    <t>-終息-EPSON LPC3T18KPV 環境推進ﾄﾅｰ ﾌﾞﾗｯｸ 2P</t>
  </si>
  <si>
    <t>JLPC3T18KS</t>
  </si>
  <si>
    <t>JLPC3T18KV</t>
  </si>
  <si>
    <t>JLPC3T18M</t>
  </si>
  <si>
    <t>JLPC3T18MP</t>
  </si>
  <si>
    <t>-在庫限り-EPSON LPC3T18MP ﾄﾅｰｶｰﾄﾘｯｼﾞ ﾏｾﾞﾝﾀﾞ 2P</t>
  </si>
  <si>
    <t>JLPC3T18MPV</t>
  </si>
  <si>
    <t>-在庫限り-EPSON LPC3T18MPV 環境推進ﾄﾅｰ ﾏｾﾞﾝﾀﾞ 2P</t>
  </si>
  <si>
    <t>JLPC3T18MS</t>
  </si>
  <si>
    <t>JLPC3T18MV</t>
  </si>
  <si>
    <t>JLPC3T18Y</t>
  </si>
  <si>
    <t>JLPC3T18YP</t>
  </si>
  <si>
    <t>-在庫限り-EPSON LPC3T18YP ﾄﾅｰｶｰﾄﾘｯｼﾞ ｲｴﾛｰ 2P</t>
  </si>
  <si>
    <t>JLPC3T18YPV</t>
  </si>
  <si>
    <t>-終息-EPSON LPC3T18YPV 環境推進ﾄﾅｰ ｲｴﾛｰ 2P</t>
  </si>
  <si>
    <t>JLPC3T18YS</t>
  </si>
  <si>
    <t>JLPC3T18YV</t>
  </si>
  <si>
    <t>JLPC3T20C</t>
  </si>
  <si>
    <t>EPSON LPC3T20C ﾄﾅｰｶｰﾄﾘｯｼﾞ ｼｱﾝ</t>
  </si>
  <si>
    <t>JLPC3T20M</t>
  </si>
  <si>
    <t>EPSON LPC3T20M ﾄﾅｰｶｰﾄﾘｯｼﾞ ﾏｾﾞﾝﾀﾞ</t>
  </si>
  <si>
    <t>JLPC3T20Y</t>
  </si>
  <si>
    <t>EPSON LPC3T20Y ﾄﾅｰｶｰﾄﾘｯｼﾞ ｲｴﾛｰ</t>
  </si>
  <si>
    <t>JLPC3T21C</t>
  </si>
  <si>
    <t>JLPC3T21CV</t>
  </si>
  <si>
    <t>JLPC3T21K</t>
  </si>
  <si>
    <t>JLPC3T21KP</t>
  </si>
  <si>
    <t>-終息-EPSON LPC3T21KP ﾄﾅｰｶｰﾄﾘｯｼﾞ ﾌﾞﾗｯｸ 2P</t>
  </si>
  <si>
    <t>JLPC3T21KPV</t>
  </si>
  <si>
    <t>-終息-EPSON LPC3T21KPV 環境推進ﾄﾅｰ ﾌﾞﾗｯｸ 2P</t>
  </si>
  <si>
    <t>JLPC3T21M</t>
  </si>
  <si>
    <t>JLPC3T21MV</t>
  </si>
  <si>
    <t>JLPC3T21Y</t>
  </si>
  <si>
    <t>JLPC3T21YV</t>
  </si>
  <si>
    <t>JLPC3T30C</t>
  </si>
  <si>
    <t>EPSON LPC3T30C ﾄﾅｰｶｰﾄﾘｯｼﾞ ｼｱﾝ</t>
  </si>
  <si>
    <t>JLPC3T30K</t>
  </si>
  <si>
    <t>EPSON LPC3T30K ﾄﾅｰｶｰﾄﾘｯｼﾞ ﾌﾞﾗｯｸ</t>
  </si>
  <si>
    <t>JLPC3T30M</t>
  </si>
  <si>
    <t>EPSON LPC3T30M ﾄﾅｰｶｰﾄﾘｯｼﾞ ﾏｾﾞﾝﾀﾞ</t>
  </si>
  <si>
    <t>JLPC3T30Y</t>
  </si>
  <si>
    <t>EPSON LPC3T30Y ﾄﾅｰｶｰﾄﾘｯｼﾞ ｲｴﾛｰ</t>
  </si>
  <si>
    <t>JLPC3T31C</t>
  </si>
  <si>
    <t>EPSON LPC3T31C ﾄﾅｰｶｰﾄﾘｯｼﾞ ｼｱﾝ</t>
  </si>
  <si>
    <t>JLPC3T31CPV</t>
  </si>
  <si>
    <t>EPSON LPC3T31CPV 環境推進ﾄﾅｰ ｼｱﾝ</t>
  </si>
  <si>
    <t>JLPC3T31CS3</t>
  </si>
  <si>
    <t>EPSON LPC3T31CS3 環境推進ﾄﾅｰ ｼｱﾝ</t>
  </si>
  <si>
    <t>JLPC3T31CV</t>
  </si>
  <si>
    <t>EPSON LPC3T31CV 環境推進ﾄﾅｰ ｼｱﾝ</t>
  </si>
  <si>
    <t>JLPC3T31K</t>
  </si>
  <si>
    <t>EPSON LPC3T31K ﾄﾅｰｶｰﾄﾘｯｼﾞ ﾌﾞﾗｯｸ</t>
  </si>
  <si>
    <t>JLPC3T31KPV</t>
  </si>
  <si>
    <t>EPSON LPC3T31KPV 環境推進ﾄﾅｰ ﾌﾞﾗｯｸ</t>
  </si>
  <si>
    <t>JLPC3T31KS3</t>
  </si>
  <si>
    <t>EPSON LPC3T31KS3 環境推進ﾄﾅｰ ﾌﾞﾗｯｸ</t>
  </si>
  <si>
    <t>JLPC3T31KV</t>
  </si>
  <si>
    <t>EPSON LPC3T31KV 環境推進ﾄﾅｰ ﾌﾞﾗｯｸ</t>
  </si>
  <si>
    <t>JLPC3T31M</t>
  </si>
  <si>
    <t>EPSON LPC3T31M ﾄﾅｰｶｰﾄﾘｯｼﾞ ﾏｾﾞﾝﾀﾞ</t>
  </si>
  <si>
    <t>JLPC3T31MPV</t>
  </si>
  <si>
    <t>EPSON LPC3T31MPV 環境推進ﾄﾅｰ ﾏｾﾞﾝﾀﾞ</t>
  </si>
  <si>
    <t>JLPC3T31MS3</t>
  </si>
  <si>
    <t>EPSON LPC3T31MS3 環境推進ﾄﾅｰ ﾏｾﾞﾝﾀﾞ</t>
  </si>
  <si>
    <t>JLPC3T31MV</t>
  </si>
  <si>
    <t>EPSON LPC3T31MV 環境推進ﾄﾅｰ ﾏｾﾞﾝﾀﾞ</t>
  </si>
  <si>
    <t>JLPC3T31Y</t>
  </si>
  <si>
    <t>EPSON LPC3T31Y ﾄﾅｰｶｰﾄﾘｯｼﾞ ｲｴﾛｰ</t>
  </si>
  <si>
    <t>JLPC3T31YPV</t>
  </si>
  <si>
    <t>EPSON LPC3T31YPV 環境推進ﾄﾅｰ ｲｴﾛｰ</t>
  </si>
  <si>
    <t>JLPC3T31YS3</t>
  </si>
  <si>
    <t>EPSON LPC3T31YS3 環境推進ﾄﾅｰ ｲｴﾛｰ</t>
  </si>
  <si>
    <t>JLPC3T31YV</t>
  </si>
  <si>
    <t>EPSON LPC3T31YV 環境推進ﾄﾅｰ ｲｴﾛｰ</t>
  </si>
  <si>
    <t>JLPC3T32C</t>
  </si>
  <si>
    <t>EPSON LPC3T32C ﾄﾅｰｶｰﾄﾘｯｼﾞ ｼｱﾝ</t>
  </si>
  <si>
    <t>JLPC3T32K</t>
  </si>
  <si>
    <t>EPSON LPC3T32K ﾄﾅｰｶｰﾄﾘｯｼﾞ ﾌﾞﾗｯｸ</t>
  </si>
  <si>
    <t>JLPC3T32M</t>
  </si>
  <si>
    <t>EPSON LPC3T32M ﾄﾅｰｶｰﾄﾘｯｼﾞ ﾏｾﾞﾝﾀﾞ</t>
  </si>
  <si>
    <t>JLPC3T32Y</t>
  </si>
  <si>
    <t>EPSON LPC3T32Y ﾄﾅｰｶｰﾄﾘｯｼﾞ ｲｴﾛｰ</t>
  </si>
  <si>
    <t>JLPC3T33C</t>
  </si>
  <si>
    <t>EPSON LPC3T33C ﾄﾅｰｶｰﾄﾘｯｼﾞ ｼｱﾝ</t>
  </si>
  <si>
    <t>JLPC3T33CPV</t>
  </si>
  <si>
    <t>EPSON LPC3T33CPV 環境推進ﾄﾅｰ ｼｱﾝ</t>
  </si>
  <si>
    <t>JLPC3T33CS</t>
  </si>
  <si>
    <t>EPSON LPC3T33CS 環境推進ﾄﾅｰ ｼｱﾝ</t>
  </si>
  <si>
    <t>JLPC3T33CV</t>
  </si>
  <si>
    <t>EPSON LPC3T33CV 環境推進ﾄﾅｰ ｼｱﾝ</t>
  </si>
  <si>
    <t>JLPC3T33K</t>
  </si>
  <si>
    <t>EPSON LPC3T33K ﾄﾅｰｶｰﾄﾘｯｼﾞ ﾌﾞﾗｯｸ</t>
  </si>
  <si>
    <t>JLPC3T33KPV</t>
  </si>
  <si>
    <t>EPSON LPC3T33KPV 環境推進ﾄﾅｰ ﾌﾞﾗｯｸ</t>
  </si>
  <si>
    <t>JLPC3T33KS</t>
  </si>
  <si>
    <t>EPSON LPC3T33KS 環境推進ﾄﾅｰ ﾌﾞﾗｯｸ</t>
  </si>
  <si>
    <t>JLPC3T33KV</t>
  </si>
  <si>
    <t>EPSON LPC3T33KV 環境推進ﾄﾅｰ ﾌﾞﾗｯｸ</t>
  </si>
  <si>
    <t>JLPC3T33M</t>
  </si>
  <si>
    <t>EPSON LPC3T33M ﾄﾅｰｶｰﾄﾘｯｼﾞ ﾏｾﾞﾝﾀﾞ</t>
  </si>
  <si>
    <t>JLPC3T33MPV</t>
  </si>
  <si>
    <t>EPSON LPC3T33MPV 環境推進ﾄﾅｰ ﾏｾﾞﾝﾀﾞ</t>
  </si>
  <si>
    <t>JLPC3T33MS</t>
  </si>
  <si>
    <t>EPSON LPC3T33MS 環境推進ﾄﾅｰ ﾏｾﾞﾝﾀﾞ</t>
  </si>
  <si>
    <t>JLPC3T33MV</t>
  </si>
  <si>
    <t>EPSON LPC3T33MV 環境推進ﾄﾅｰ ﾏｾﾞﾝﾀﾞ</t>
  </si>
  <si>
    <t>JLPC3T33Y</t>
  </si>
  <si>
    <t>EPSON LPC3T33Y ﾄﾅｰｶｰﾄﾘｯｼﾞ ｲｴﾛｰ</t>
  </si>
  <si>
    <t>JLPC3T33YPV</t>
  </si>
  <si>
    <t>EPSON LPC3T33YPV 環境推進ﾄﾅｰ ｲｴﾛｰ</t>
  </si>
  <si>
    <t>JLPC3T33YS</t>
  </si>
  <si>
    <t>EPSON LPC3T33YS 環境推進ﾄﾅｰ ｲｴﾛｰ</t>
  </si>
  <si>
    <t>JLPC3T33YV</t>
  </si>
  <si>
    <t>EPSON LPC3T33YV 環境推進ﾄﾅｰ ｲｴﾛｰ</t>
  </si>
  <si>
    <t>JLPC3T34C</t>
  </si>
  <si>
    <t>EPSON LPC3T34C ﾄﾅｰｶｰﾄﾘｯｼﾞ ｼｱﾝ</t>
  </si>
  <si>
    <t>JLPC3T34K</t>
  </si>
  <si>
    <t>EPSON LPC3T34K ﾄﾅｰｶｰﾄﾘｯｼﾞ ﾌﾞﾗｯｸ</t>
  </si>
  <si>
    <t>JLPC3T34M</t>
  </si>
  <si>
    <t>EPSON LPC3T34M ﾄﾅｰｶｰﾄﾘｯｼﾞ ﾏｾﾞﾝﾀﾞ</t>
  </si>
  <si>
    <t>JLPC3T34Y</t>
  </si>
  <si>
    <t>EPSON LPC3T34Y ﾄﾅｰｶｰﾄﾘｯｼﾞ ｲｴﾛｰ</t>
  </si>
  <si>
    <t>JLPC3T35C</t>
  </si>
  <si>
    <t>EPSON LPC3T35C ﾄﾅｰｶｰﾄﾘｯｼﾞ ｼｱﾝ</t>
  </si>
  <si>
    <t>JLPC3T35CS</t>
  </si>
  <si>
    <t>EPSON LPC3T35CS 環境推進ﾄﾅｰ ｼｱﾝ</t>
  </si>
  <si>
    <t>JLPC3T35CV</t>
  </si>
  <si>
    <t>EPSON LPC3T35CV 環境推進ﾄﾅｰ ｼｱﾝ</t>
  </si>
  <si>
    <t>JLPC3T35K</t>
  </si>
  <si>
    <t>EPSON LPC3T35K ﾄﾅｰｶｰﾄﾘｯｼﾞ ﾌﾞﾗｯｸ</t>
  </si>
  <si>
    <t>JLPC3T35KPV</t>
  </si>
  <si>
    <t>EPSON LPC3T35KPV 環境推進ﾄﾅｰ ﾌﾞﾗｯｸ 2P</t>
  </si>
  <si>
    <t>JLPC3T35KS</t>
  </si>
  <si>
    <t>EPSON LPC3T35KS 環境推進ﾄﾅｰ ﾌﾞﾗｯｸ</t>
  </si>
  <si>
    <t>JLPC3T35KV</t>
  </si>
  <si>
    <t>EPSON LPC3T35KV 環境推進ﾄﾅｰ ﾌﾞﾗｯｸ</t>
  </si>
  <si>
    <t>JLPC3T35M</t>
  </si>
  <si>
    <t>EPSON LPC3T35M ﾄﾅｰｶｰﾄﾘｯｼﾞ ﾏｾﾞﾝﾀﾞ</t>
  </si>
  <si>
    <t>JLPC3T35MS</t>
  </si>
  <si>
    <t>EPSON LPC3T35MS 環境推進ﾄﾅｰ ﾏｾﾞﾝﾀﾞ</t>
  </si>
  <si>
    <t>JLPC3T35MV</t>
  </si>
  <si>
    <t>EPSON LPC3T35MV 環境推進ﾄﾅｰ ﾏｾﾞﾝﾀﾞ</t>
  </si>
  <si>
    <t>JLPC3T35Y</t>
  </si>
  <si>
    <t>EPSON LPC3T35Y ﾄﾅｰｶｰﾄﾘｯｼﾞ ｲｴﾛｰ</t>
  </si>
  <si>
    <t>JLPC3T35YS</t>
  </si>
  <si>
    <t>EPSON LPC3T35YS 環境推進ﾄﾅｰ ｲｴﾛｰ</t>
  </si>
  <si>
    <t>JLPC3T35YV</t>
  </si>
  <si>
    <t>EPSON LPC3T35YV 環境推進ﾄﾅｰ ｲｴﾛｰ</t>
  </si>
  <si>
    <t>JLPC3T36C</t>
  </si>
  <si>
    <t>EPSON LPC3T36C ﾄﾅｰｶｰﾄﾘｯｼﾞ ｼｱﾝ</t>
  </si>
  <si>
    <t>JLPC3T36CS</t>
  </si>
  <si>
    <t>EPSON LPC3T36CS 環境推進ﾄﾅｰ ｼｱﾝ</t>
  </si>
  <si>
    <t>JLPC3T36CV</t>
  </si>
  <si>
    <t>EPSON LPC3T36CV 環境推進ﾄﾅ- ｼｱﾝ</t>
  </si>
  <si>
    <t>JLPC3T36K</t>
  </si>
  <si>
    <t>EPSON LPC3T36K ﾄﾅｰｶｰﾄﾘｯｼﾞ ﾌﾞﾗｯｸ</t>
  </si>
  <si>
    <t>JLPC3T36KV</t>
  </si>
  <si>
    <t>EPSON LPC3T36KV 環境推進ﾄﾅ- ﾌﾞﾗｯｸ</t>
  </si>
  <si>
    <t>JLPC3T36M</t>
  </si>
  <si>
    <t>EPSON LPC3T36M ﾄﾅｰｶｰﾄﾘｯｼﾞ ﾏｾﾞﾝﾀﾞ</t>
  </si>
  <si>
    <t>JLPC3T36MS</t>
  </si>
  <si>
    <t>EPSON LPC3T36MS 環境推進ﾄﾅｰ ﾏｾﾞﾝﾀ</t>
  </si>
  <si>
    <t>JLPC3T36MV</t>
  </si>
  <si>
    <t>EPSON LPC3T36MV 環境推進ﾄﾅ- ﾏｾﾞﾝﾀﾞ</t>
  </si>
  <si>
    <t>JLPC3T36Y</t>
  </si>
  <si>
    <t>EPSON LPC3T36Y ﾄﾅｰｶｰﾄﾘｯｼﾞ ｲｴﾛｰ</t>
  </si>
  <si>
    <t>JLPC3T36YS</t>
  </si>
  <si>
    <t>EPSON LPC3T36YS 環境推進ﾄﾅｰ ｲｴﾛｰ</t>
  </si>
  <si>
    <t>JLPC3T36YV</t>
  </si>
  <si>
    <t>EPSON LPC3T36YV 環境推進ﾄﾅ- ｲｴﾛｰ</t>
  </si>
  <si>
    <t>JLPC3T37C</t>
  </si>
  <si>
    <t>EPSON LPC3T37C ﾄﾅｰｶｰﾄﾘｯｼﾞ ｼｱﾝ</t>
  </si>
  <si>
    <t>JLPC3T37K</t>
  </si>
  <si>
    <t>EPSON LPC3T37K ﾄﾅｰｶｰﾄﾘｯｼﾞ ﾌﾞﾗｯｸ</t>
  </si>
  <si>
    <t>JLPC3T37M</t>
  </si>
  <si>
    <t>EPSON LPC3T37M ﾄﾅｰｶｰﾄﾘｯｼﾞ ﾏｾﾞﾝﾀ</t>
  </si>
  <si>
    <t>JLPC3T37Y</t>
  </si>
  <si>
    <t>EPSON LPC3T37Y ﾄﾅｰｶｰﾄﾘｯｼﾞ ｲｴﾛｰ</t>
  </si>
  <si>
    <t>JLPC3T38C</t>
  </si>
  <si>
    <t>EPSON LPC3T38C ﾄﾅｰｶｰﾄﾘｯｼﾞ ｼｱﾝ</t>
  </si>
  <si>
    <t>JLPC3T38CS</t>
  </si>
  <si>
    <t>EPSON LPC3T38CS 環境推進ﾄﾅｰ ｼｱﾝ</t>
  </si>
  <si>
    <t>JLPC3T38CV</t>
  </si>
  <si>
    <t>EPSON LPC3T38CV 環境推進ﾄﾅｰ ｼｱﾝ</t>
  </si>
  <si>
    <t>JLPC3T38K</t>
  </si>
  <si>
    <t>EPSON LPC3T38K ﾄﾅｰｶｰﾄﾘｯｼﾞ ﾌﾞﾗｯｸ</t>
  </si>
  <si>
    <t>JLPC3T38KS</t>
  </si>
  <si>
    <t>EPSON LPC3T38KS 環境推進ﾄﾅｰ ﾌﾞﾗｯｸ</t>
  </si>
  <si>
    <t>JLPC3T38KV</t>
  </si>
  <si>
    <t>EPSON LPC3T38KV 環境推進ﾄﾅｰ ﾌﾞﾗｯｸ</t>
  </si>
  <si>
    <t>JLPC3T38M</t>
  </si>
  <si>
    <t>EPSON LPC3T38M ﾄﾅｰｶｰﾄﾘｯｼﾞ ﾏｾﾞﾝﾀ</t>
  </si>
  <si>
    <t>JLPC3T38MS</t>
  </si>
  <si>
    <t>EPSON LPC3T38MS 環境推進ﾄﾅｰ ﾏｾﾞﾝﾀ</t>
  </si>
  <si>
    <t>JLPC3T38MV</t>
  </si>
  <si>
    <t>EPSON LPC3T38MV 環境推進ﾄﾅｰ ﾏｾﾞﾝﾀ</t>
  </si>
  <si>
    <t>JLPC3T38Y</t>
  </si>
  <si>
    <t>EPSON LPC3T38Y ﾄﾅｰｶｰﾄﾘｯｼﾞ ｲｴﾛｰ</t>
  </si>
  <si>
    <t>JLPC3T38YS</t>
  </si>
  <si>
    <t>EPSON LPC3T38YS 環境推進ﾄﾅｰ ｲｴﾛｰ</t>
  </si>
  <si>
    <t>JLPC3T38YV</t>
  </si>
  <si>
    <t>EPSON LPC3T38YV 環境推進ﾄﾅｰ ｲｴﾛｰ</t>
  </si>
  <si>
    <t>JLPC3T39C</t>
  </si>
  <si>
    <t>EPSON LPC3T39C ﾄﾅｰｶｰﾄﾘｯｼﾞ ｼｱﾝ</t>
  </si>
  <si>
    <t>JLPC3T39CS</t>
  </si>
  <si>
    <t>EPSON LPC3T39CS 環境推進ﾄﾅｰ ｼｱﾝ</t>
  </si>
  <si>
    <t>JLPC3T39CV</t>
  </si>
  <si>
    <t>EPSON LPC3T39CV 環境推進ﾄﾅｰ ｼｱﾝ</t>
  </si>
  <si>
    <t>JLPC3T39K</t>
  </si>
  <si>
    <t>EPSON LPC3T39K ﾄﾅｰｶｰﾄﾘｯｼﾞ ﾌﾞﾗｯｸ</t>
  </si>
  <si>
    <t>JLPC3T39KS</t>
  </si>
  <si>
    <t>EPSON LPC3T39KS 環境推進ﾄﾅｰ ﾌﾞﾗｯｸ</t>
  </si>
  <si>
    <t>JLPC3T39KV</t>
  </si>
  <si>
    <t>EPSON LPC3T39KV 環境推進ﾄﾅｰ ﾌﾞﾗｯｸ</t>
  </si>
  <si>
    <t>JLPC3T39M</t>
  </si>
  <si>
    <t>EPSON LPC3T39M ﾄﾅｰｶｰﾄﾘｯｼﾞ ﾏｾﾞﾝﾀ</t>
  </si>
  <si>
    <t>JLPC3T39MS</t>
  </si>
  <si>
    <t>EPSON LPC3T39MS 環境推進ﾄﾅｰ ﾏｾﾞﾝﾀ</t>
  </si>
  <si>
    <t>JLPC3T39MV</t>
  </si>
  <si>
    <t>EPSON LPC3T39MV 環境推進ﾄﾅｰ ﾏｾﾞﾝﾀ</t>
  </si>
  <si>
    <t>JLPC3T39Y</t>
  </si>
  <si>
    <t>EPSON LPC3T39Y ﾄﾅｰｶｰﾄﾘｯｼﾞ ｲｴﾛｰ</t>
  </si>
  <si>
    <t>JLPC3T39YS</t>
  </si>
  <si>
    <t>EPSON LPC3T39YS 環境推進ﾄﾅｰ ｲｴﾛｰ</t>
  </si>
  <si>
    <t>JLPC3T39YV</t>
  </si>
  <si>
    <t>EPSON LPC3T39YV 環境推進ﾄﾅｰ ｲｴﾛｰ</t>
  </si>
  <si>
    <t>JLPC3TCU15</t>
  </si>
  <si>
    <t>EPSON LPC3TCU15</t>
  </si>
  <si>
    <t>JLPC4ETC7R</t>
  </si>
  <si>
    <t>EPSON LPC4ETC7R</t>
  </si>
  <si>
    <t>JLPC4H9</t>
  </si>
  <si>
    <t>EPSON LPC4H9 廃ﾄﾅｰﾎﾞｯｸｽ</t>
  </si>
  <si>
    <t>JLPC4K6</t>
  </si>
  <si>
    <t>JLPC4K9C</t>
  </si>
  <si>
    <t>EPSON LPC4K9C 感光体ﾕﾆｯﾄ ｼｱﾝ</t>
  </si>
  <si>
    <t>JLPC4K9K</t>
  </si>
  <si>
    <t>EPSON LPC4K9K 感光体ﾕﾆｯﾄ ﾌﾞﾗｯｸ</t>
  </si>
  <si>
    <t>JLPC4K9M</t>
  </si>
  <si>
    <t>EPSON LPC4K9M 感光体ﾕﾆｯﾄ ﾏｾﾞﾝﾀﾞ</t>
  </si>
  <si>
    <t>JLPC4K9Y</t>
  </si>
  <si>
    <t>EPSON LPC4K9Y 感光体ﾕﾆｯﾄ ｲｴﾛｰ</t>
  </si>
  <si>
    <t>JLPC4T10C</t>
  </si>
  <si>
    <t>EPSON LPC4T10C ﾄﾅｰｶｰﾄﾘｯｼﾞ ｼｱﾝ</t>
  </si>
  <si>
    <t>JLPC4T10K</t>
  </si>
  <si>
    <t>EPSON LPC4T10K ﾄﾅｰｶｰﾄﾘｯｼﾞ ﾌﾞﾗｯｸ</t>
  </si>
  <si>
    <t>JLPC4T10M</t>
  </si>
  <si>
    <t>EPSON LPC4T10M ﾄﾅｰｶｰﾄﾘｯｼﾞ ﾏｾﾞﾝﾀﾞ</t>
  </si>
  <si>
    <t>JLPC4T10Y</t>
  </si>
  <si>
    <t>EPSON LPC4T10Y ﾄﾅｰｶｰﾄﾘｯｼﾞ ｲｴﾛｰ</t>
  </si>
  <si>
    <t>JLPC4T11C</t>
  </si>
  <si>
    <t>EPSON LPC4T11C ﾄﾅｰｶｰﾄﾘｯｼﾞ ｼｱﾝ</t>
  </si>
  <si>
    <t>JLPC4T11CS</t>
  </si>
  <si>
    <t>EPSON LPC4T11CS 環境推進トナー ｼｱﾝ</t>
  </si>
  <si>
    <t>JLPC4T11CV</t>
  </si>
  <si>
    <t>EPSON LPC4T11CV 環境推進ﾄﾅｰ ｼｱﾝ</t>
  </si>
  <si>
    <t>JLPC4T11K</t>
  </si>
  <si>
    <t>EPSON LPC4T11K ﾄﾅｰｶｰﾄﾘｯｼﾞ ﾌﾞﾗｯｸ</t>
  </si>
  <si>
    <t>JLPC4T11KP</t>
  </si>
  <si>
    <t>EPSON LPC4T11KP ﾄﾅｰｶｰﾄﾘｯｼﾞ ﾌﾞﾗｯｸ 2P</t>
  </si>
  <si>
    <t>JLPC4T11KPV</t>
  </si>
  <si>
    <t>EPSON LPC4T11KPV 環境推進ﾄﾅｰ ﾌﾞﾗｯｸ</t>
  </si>
  <si>
    <t>JLPC4T11KS</t>
  </si>
  <si>
    <t>EPSON LPC4T11KS 環境推進トナー ﾌﾞﾗｯｸ</t>
  </si>
  <si>
    <t>JLPC4T11KV</t>
  </si>
  <si>
    <t>EPSON LPC4T11KV 環境推進ﾄﾅｰ ﾌﾞﾗｯｸ</t>
  </si>
  <si>
    <t>JLPC4T11M</t>
  </si>
  <si>
    <t>EPSON LPC4T11M ﾄﾅｰｶｰﾄﾘｯｼﾞ ﾏｾﾞﾝﾀﾞ</t>
  </si>
  <si>
    <t>JLPC4T11MS</t>
  </si>
  <si>
    <t>EPSON LPC4T11MS 環境推進トナー ﾏｾﾞﾝﾀ</t>
  </si>
  <si>
    <t>JLPC4T11MV</t>
  </si>
  <si>
    <t>EPSON LPC4T11MV 環境推進ﾄﾅｰ ﾏｾﾞﾝﾀﾞ</t>
  </si>
  <si>
    <t>JLPC4T11Y</t>
  </si>
  <si>
    <t>EPSON LPC4T11Y ﾄﾅｰｶｰﾄﾘｯｼﾞ ｲｴﾛｰ</t>
  </si>
  <si>
    <t>JLPC4T11YS</t>
  </si>
  <si>
    <t>EPSON LPC4T11YS 環境推進トナー ｲｴﾛｰ</t>
  </si>
  <si>
    <t>JLPC4T11YV</t>
  </si>
  <si>
    <t>EPSON LPC4T11YV 環境推進ﾄﾅｰ ｲｴﾛｰ</t>
  </si>
  <si>
    <t>JLPC4T7CV</t>
  </si>
  <si>
    <t>JLPC4T7KV</t>
  </si>
  <si>
    <t>JLPC4T7MV</t>
  </si>
  <si>
    <t>JLPC4T7YV</t>
  </si>
  <si>
    <t>EPSON LPC4T7YV 環境推進ﾄﾅｰ ｲｴﾛｰ</t>
  </si>
  <si>
    <t>JLPC4T8C</t>
  </si>
  <si>
    <t>JLPC4T8CS</t>
  </si>
  <si>
    <t>JLPC4T8CV</t>
  </si>
  <si>
    <t>JLPC4T8K</t>
  </si>
  <si>
    <t>JLPC4T8KS</t>
  </si>
  <si>
    <t>JLPC4T8KV</t>
  </si>
  <si>
    <t>JLPC4T8M</t>
  </si>
  <si>
    <t>JLPC4T8MS</t>
  </si>
  <si>
    <t>JLPC4T8MV</t>
  </si>
  <si>
    <t>JLPC4T8Y</t>
  </si>
  <si>
    <t>JLPC4T8YS</t>
  </si>
  <si>
    <t>JLPC4T8YV</t>
  </si>
  <si>
    <t>JLPC4T9C</t>
  </si>
  <si>
    <t>EPSON LPC4T9C ﾄﾅｰｶｰﾄﾘｯｼﾞ ｼｱﾝ</t>
  </si>
  <si>
    <t>JLPC4T9CS</t>
  </si>
  <si>
    <t>EPSON LPC4T9CS 環境推進トナー ｼｱﾝ</t>
  </si>
  <si>
    <t>JLPC4T9CV</t>
  </si>
  <si>
    <t>EPSON LPC4T9CV 環境推進ﾄﾅｰ ｼｱﾝ</t>
  </si>
  <si>
    <t>JLPC4T9K</t>
  </si>
  <si>
    <t>EPSON LPC4T9K ﾄﾅｰｶｰﾄﾘｯｼﾞ ﾌﾞﾗｯｸ</t>
  </si>
  <si>
    <t>JLPC4T9KP</t>
  </si>
  <si>
    <t>EPSON LPC4T9KP ﾄﾅｰｶｰﾄﾘｯｼﾞ ﾌﾞﾗｯｸ 2P</t>
  </si>
  <si>
    <t>JLPC4T9KPV</t>
  </si>
  <si>
    <t>EPSON LPC4T9KPV 環境推進ﾄﾅｰ ﾌﾞﾗｯｸ 2P</t>
  </si>
  <si>
    <t>JLPC4T9KS</t>
  </si>
  <si>
    <t>EPSON LPC4T9KS 環境推進トナー ﾌﾞﾗｯｸ</t>
  </si>
  <si>
    <t>JLPC4T9KV</t>
  </si>
  <si>
    <t>EPSON LPC4T9KV 環境推進ﾄﾅｰ ﾌﾞﾗｯｸ</t>
  </si>
  <si>
    <t>JLPC4T9M</t>
  </si>
  <si>
    <t>EPSON LPC4T9M ﾄﾅｰｶｰﾄﾘｯｼﾞ ﾏｾﾞﾝﾀﾞ</t>
  </si>
  <si>
    <t>JLPC4T9MS</t>
  </si>
  <si>
    <t>EPSON LPC4T9MS 環境推進トナー ﾏｾﾞﾝﾀ</t>
  </si>
  <si>
    <t>JLPC4T9MV</t>
  </si>
  <si>
    <t>EPSON LPC4T9MV 環境推進ﾄﾅｰ ﾏｾﾞﾝﾀﾞ</t>
  </si>
  <si>
    <t>JLPC4T9Y</t>
  </si>
  <si>
    <t>EPSON LPC4T9Y ﾄﾅｰｶｰﾄﾘｯｼﾞ ｲｴﾛｰ</t>
  </si>
  <si>
    <t>JLPC4T9YS</t>
  </si>
  <si>
    <t>EPSON LPC4T9YS 環境推進トナー ｲｴﾛｰ</t>
  </si>
  <si>
    <t>JLPC4T9YV</t>
  </si>
  <si>
    <t>EPSON LPC4T9YV 環境推進ﾄﾅｰ ｲｴﾛｰ</t>
  </si>
  <si>
    <t>JLPC4TCU11</t>
  </si>
  <si>
    <t>EPSON LPC4TCU11 定着ﾕﾆｯﾄ</t>
  </si>
  <si>
    <t>JLPC4TCU9</t>
  </si>
  <si>
    <t>EPSON LPC4TCU9 定着ﾕﾆｯﾄ</t>
  </si>
  <si>
    <t>JLPCA3ETC8C</t>
  </si>
  <si>
    <t>EPSON LPCA3ETC8C ﾄﾅｰｶｰﾄﾘｯｼﾞ ｼｱﾝ 2020/9末廃番</t>
  </si>
  <si>
    <t>JLPCA3ETC8K</t>
  </si>
  <si>
    <t>EPSON LPCA3ETC8K ﾄﾅｰｶｰﾄﾘｯｼﾞ ﾌﾞﾗｯｸ 2020/9末廃番</t>
  </si>
  <si>
    <t>JLPCA3ETC8M</t>
  </si>
  <si>
    <t>EPSON LPCA3ETC8M ﾄﾅｰｶｰﾄﾘｯｼﾞ ﾏｾﾞﾝﾀﾞ 2020/9末廃番</t>
  </si>
  <si>
    <t>JLPCA3ETC8Y</t>
  </si>
  <si>
    <t>EPSON LPCA3ETC8Y ﾄﾅｰｶｰﾄﾘｯｼﾞ ｲｴﾛｰ 2020/9末廃番</t>
  </si>
  <si>
    <t>JLPCA3ETC9C</t>
  </si>
  <si>
    <t>EPSON LPCA3ETC9C ﾄﾅｰｶｰﾄﾘｯｼﾞ ｼｱﾝ</t>
  </si>
  <si>
    <t>JLPCA3ETC9K</t>
  </si>
  <si>
    <t>EPSON LPCA3ETC9K ﾄﾅｰｶｰﾄﾘｯｼﾞ ﾌﾞﾗｯｸ</t>
  </si>
  <si>
    <t>JLPCA3ETC9M</t>
  </si>
  <si>
    <t>EPSON LPCA3ETC9M ﾄﾅｰｶｰﾄﾘｯｼﾞ ﾏｾﾞﾝﾀﾞ</t>
  </si>
  <si>
    <t>JLPCA3ETC9Y</t>
  </si>
  <si>
    <t>EPSON LPCA3ETC9Y ﾄﾅｰｶｰﾄﾘｯｼﾞ ｲｴﾛｰ</t>
  </si>
  <si>
    <t>JLPCA3H6</t>
  </si>
  <si>
    <t>EPSON LPCA3H6 廃ﾄﾅｰﾎﾞｯｸｽ</t>
  </si>
  <si>
    <t>JLPCA3HTB5</t>
  </si>
  <si>
    <t>JLPCA3K9</t>
  </si>
  <si>
    <t>JLPCA3KUT7C</t>
  </si>
  <si>
    <t>JLPCA3KUT7K</t>
  </si>
  <si>
    <t>JLPCA3KUT7M</t>
  </si>
  <si>
    <t>JLPCA3KUT7Y</t>
  </si>
  <si>
    <t>JLPCA3T11C</t>
  </si>
  <si>
    <t>EPSON LPCA3T11C ﾄﾅｰｶｰﾄﾘｯｼﾞ ｼｱﾝ　2020/9末廃番</t>
  </si>
  <si>
    <t>JLPCA3T11M</t>
  </si>
  <si>
    <t>EPSON LPCA3T11M ﾄﾅｰｶｰﾄﾘｯｼﾞ ﾏｾﾞﾝﾀﾞ　2020/9末廃番</t>
  </si>
  <si>
    <t>JLPCA3T11Y</t>
  </si>
  <si>
    <t>EPSON LPCA3T11Y ﾄﾅｰｶｰﾄﾘｯｼﾞ ｲｴﾛｰ　2020/9末廃番</t>
  </si>
  <si>
    <t>JLPCA3T12C</t>
  </si>
  <si>
    <t>EPSON LPCA3T12C ﾄﾅｰｶｰﾄﾘｯｼﾞ ｼｱﾝ　-2020/9末廃番-</t>
  </si>
  <si>
    <t>JLPCA3T12K</t>
  </si>
  <si>
    <t>JLPCA3T12KP</t>
  </si>
  <si>
    <t>-終息-EPSON LPCA3T12KP ﾄﾅｰｶｰﾄﾘｯｼﾞ ﾌﾞﾗｯｸ 2P</t>
  </si>
  <si>
    <t>JLPCA3T12M</t>
  </si>
  <si>
    <t>EPSON LPCA3T12M ﾄﾅｰｶｰﾄﾘｯｼﾞ ﾏｾﾞﾝﾀﾞ　-2020/9末廃番-</t>
  </si>
  <si>
    <t>JLPCA3T12Y</t>
  </si>
  <si>
    <t>EPSON LPCA3T12Y ﾄﾅｰｶｰﾄﾘｯｼﾞ ｲｴﾛｰ　-2020/9末廃番-</t>
  </si>
  <si>
    <t>JLPCA3T19C</t>
  </si>
  <si>
    <t>JLPCA3T19K</t>
  </si>
  <si>
    <t>JLPCA3T19M</t>
  </si>
  <si>
    <t>JLPCA3T19Y</t>
  </si>
  <si>
    <t>JLPCA3TCU1</t>
  </si>
  <si>
    <t>EPSON LPCA3TCU1 定着ﾕﾆｯﾄ</t>
  </si>
  <si>
    <t>JLPCA3TSU1</t>
  </si>
  <si>
    <t>EPSON LPCA3TSU1 転写ﾕﾆｯﾄ</t>
  </si>
  <si>
    <t>JLPCA4ETC5C</t>
  </si>
  <si>
    <t>EPSON LPCA4ETC5C ﾄﾅｰｶｰﾄﾘｯｼﾞ ｼｱﾝ　2020/9末廃番</t>
  </si>
  <si>
    <t>JLPCA4ETC5K</t>
  </si>
  <si>
    <t>EPSON LPCA4ETC5K ﾄﾅｰｶｰﾄﾘｯｼﾞ ﾌﾞﾗｯｸ　2020/9末廃番</t>
  </si>
  <si>
    <t>JLPCA4ETC5M</t>
  </si>
  <si>
    <t>EPSON LPCA4ETC5M ﾄﾅｰｶｰﾄﾘｯｼﾞ ﾏｾﾞﾝﾀﾞ　2020/9末廃番</t>
  </si>
  <si>
    <t>JLPCA4ETC5Y</t>
  </si>
  <si>
    <t>EPSON LPCA4ETC5Y ﾄﾅｰｶｰﾄﾘｯｼﾞ ｲｴﾛｰ　2020/9末廃番</t>
  </si>
  <si>
    <t>JLPS3T36KS</t>
  </si>
  <si>
    <t>EPSON LPC3T36KS 環境推進ﾄﾅｰ ﾌﾞﾗｯｸ</t>
  </si>
  <si>
    <t>JLPS7180</t>
  </si>
  <si>
    <t>EPSON LP-S7180　※在庫限り</t>
  </si>
  <si>
    <t>JLPS8180</t>
  </si>
  <si>
    <t>EPSON LP-S8180 A3ｶﾗｰﾍﾟｰｼﾞﾌﾟﾘﾝﾀｰ</t>
  </si>
  <si>
    <t>JLTOFBUL6TSX5</t>
  </si>
  <si>
    <t>富士写真ﾌｨﾙﾑ LTO FB UL-6 TSX5 ﾃﾞｰﾀｶｰﾄﾘｯｼﾞ 5巻ﾊﾟｯｸ</t>
  </si>
  <si>
    <t>JMC05</t>
  </si>
  <si>
    <t>CANON ﾒﾝﾃﾅﾝｽｶｰﾄﾘｯｼﾞ MC-05</t>
  </si>
  <si>
    <t>JMC07</t>
  </si>
  <si>
    <t>CANON ﾒﾝﾃﾅﾝｽｶｰﾄﾘｯｼﾞ MC-07</t>
  </si>
  <si>
    <t>JMC08</t>
  </si>
  <si>
    <t>CANON ﾒﾝﾃﾅﾝｽｶｰﾄﾘｯｼﾞ MC-08</t>
  </si>
  <si>
    <t>JMC09</t>
  </si>
  <si>
    <t>CANON ﾒﾝﾃﾅﾝｽｶｰﾄﾘｯｼﾞ MC-09</t>
  </si>
  <si>
    <t>JMC10</t>
  </si>
  <si>
    <t>CANON ﾒﾝﾃﾅﾝｽｶｰﾄﾘｯｼﾞ MC-10</t>
  </si>
  <si>
    <t>JMC16</t>
  </si>
  <si>
    <t>CANON ﾒﾝﾃﾅﾝｽｶｰﾄﾘｯｼﾞ MC-16</t>
  </si>
  <si>
    <t>JMC20</t>
  </si>
  <si>
    <t>CANON ﾒﾝﾃﾅﾝｽｶｰﾄﾘｯｼﾞ MC-20</t>
  </si>
  <si>
    <t>JMC30</t>
  </si>
  <si>
    <t>CANON ﾒﾝﾃﾅﾝｽｶｰﾄﾘｯｼﾞ MC-30</t>
  </si>
  <si>
    <t>JMC31</t>
  </si>
  <si>
    <t>CANON ﾒﾝﾃﾅﾝｽｶｰﾄﾘｯｼﾞ MC-31</t>
  </si>
  <si>
    <t>JMCG02</t>
  </si>
  <si>
    <t>CANON  ﾒﾝﾃﾅﾝｽｶｰﾄﾘｯｼﾞ MC-G02 4589C001</t>
  </si>
  <si>
    <t>JMCG03</t>
  </si>
  <si>
    <t>CANON ﾒﾝﾃﾅﾝｽｶｰﾄﾘｯｼﾞ MC-G03　5794C001</t>
  </si>
  <si>
    <t>JMCG07</t>
  </si>
  <si>
    <t>CANON  ﾒﾝﾃﾅﾝｽｶｰﾄﾘｯｼﾞ MC-G07 6799C001</t>
  </si>
  <si>
    <t>JMED4CL</t>
  </si>
  <si>
    <t>EPSON ｲﾝｸｶｰﾄﾘｯｼﾞ MED-4CL ﾒﾀﾞﾏﾔｷ 4色ﾊﾟｯｸ</t>
  </si>
  <si>
    <t>JMEDBK</t>
  </si>
  <si>
    <t>EPSON ｲﾝｸｶｰﾄﾘｯｼﾞ MED-BK ﾒﾀﾞﾏﾔｷ ﾌﾞﾗｯｸ</t>
  </si>
  <si>
    <t>JMEDC</t>
  </si>
  <si>
    <t>EPSON ｲﾝｸｶｰﾄﾘｯｼﾞ MED-C ﾒﾀﾞﾏﾔｷ ｼｱﾝ</t>
  </si>
  <si>
    <t>JMEDM</t>
  </si>
  <si>
    <t>EPSON ｲﾝｸｶｰﾄﾘｯｼﾞ MED-M ﾒﾀﾞﾏﾔｷ ﾏｾﾞﾝﾀ</t>
  </si>
  <si>
    <t>JMEDY</t>
  </si>
  <si>
    <t>EPSON ｲﾝｸｶｰﾄﾘｯｼﾞ MED-Y ﾒﾀﾞﾏﾔｷ ｲｴﾛｰ</t>
  </si>
  <si>
    <t>JMF272DW</t>
  </si>
  <si>
    <t>CANON ﾚｰｻﾞｰ 複合機 ﾓﾉｸﾛ MF272dw 5621C020</t>
  </si>
  <si>
    <t>JMF273DW</t>
  </si>
  <si>
    <t>CANON ﾚｰｻﾞｰ 複合機 ﾓﾉｸﾛ MF273dw 5621C012</t>
  </si>
  <si>
    <t>JMF286DN</t>
  </si>
  <si>
    <t>CANON ﾚｰｻﾞｰ 複合機 ﾓﾉｸﾛ MF286dn 6354C015</t>
  </si>
  <si>
    <t>JMF288DW</t>
  </si>
  <si>
    <t>CANON ﾚｰｻﾞｰ 複合機 ﾓﾉｸﾛ MF288dw 6354C008</t>
  </si>
  <si>
    <t>JMF289DW</t>
  </si>
  <si>
    <t>CANON ﾚｰｻﾞｰ 複合機 ﾓﾉｸﾛ MF289dw 6354C007</t>
  </si>
  <si>
    <t>JMF663</t>
  </si>
  <si>
    <t>CANON  ｶﾗｰﾚｰｻﾞ-複合機 MF663Cdw　6928C014</t>
  </si>
  <si>
    <t>JMF665CDW</t>
  </si>
  <si>
    <t>CANON  ｶﾗｰﾚｰｻﾞ-複合機 MF665Cdw　6928C007</t>
  </si>
  <si>
    <t>JMFCJ908N</t>
  </si>
  <si>
    <t>brother A4ｲﾝｸｼﾞｪｯﾄ複合機  MFC-J908N(FAX/自動両面印刷/Wi-Fi)</t>
  </si>
  <si>
    <t>JMK1151</t>
  </si>
  <si>
    <t>京セラ　MK-1151　ﾒﾝﾃﾅﾝｽｷｯﾄ</t>
  </si>
  <si>
    <t>JMK3161</t>
  </si>
  <si>
    <t>京セラ ﾒﾝﾃﾅﾝｽｷｯﾄ MK-3161</t>
  </si>
  <si>
    <t>JMK3371</t>
  </si>
  <si>
    <t>京セラ ﾒﾝﾃﾅﾝｽｷｯﾄ MK-3371</t>
  </si>
  <si>
    <t>JMK3381</t>
  </si>
  <si>
    <t>京セラ ﾒﾝﾃﾅﾝｽｷｯﾄ MK-3381</t>
  </si>
  <si>
    <t>JMK7311</t>
  </si>
  <si>
    <t>京セラ　MK-7311　ﾒﾝﾃﾅﾝｽｷｯﾄ</t>
  </si>
  <si>
    <t>JMK8535A</t>
  </si>
  <si>
    <t>京セラ ﾒﾝﾃﾅﾝｽｷｯﾄ MK-8535A</t>
  </si>
  <si>
    <t>JMK8535B</t>
  </si>
  <si>
    <t>京セラ ﾒﾝﾃﾅﾝｽｷｯﾄ MK-8535B</t>
  </si>
  <si>
    <t>JMKABK</t>
  </si>
  <si>
    <t>EPSON ｲﾝｸﾎﾞﾄﾙ ﾏﾗｶｽ MKA-BK ﾌﾞﾗｯｸ</t>
  </si>
  <si>
    <t>JMKT-M3B</t>
  </si>
  <si>
    <t>OKI MKT-M3B</t>
  </si>
  <si>
    <t>JMKT-M3C</t>
  </si>
  <si>
    <t>OKI MKT-M3C</t>
  </si>
  <si>
    <t>JMKT-M3D</t>
  </si>
  <si>
    <t>OKI MKT-M3D</t>
  </si>
  <si>
    <t>JMLBLT-C3B</t>
  </si>
  <si>
    <t>OKI MLBLT-C3B</t>
  </si>
  <si>
    <t>JMLFUS-C3D</t>
  </si>
  <si>
    <t>OKI MLFUS-C3D</t>
  </si>
  <si>
    <t>JMP1601</t>
  </si>
  <si>
    <t>RICOH MPﾄﾅｰｷｯﾄ 1601</t>
  </si>
  <si>
    <t>JMPC306BK</t>
  </si>
  <si>
    <t>RICOH MP ｽﾎﾟｯﾄﾄﾅｰ C306 BK</t>
  </si>
  <si>
    <t>JMPC306C</t>
  </si>
  <si>
    <t>RICOH MP ｽﾎﾟｯﾄﾄﾅｰ C306 C</t>
  </si>
  <si>
    <t>JMPC306M</t>
  </si>
  <si>
    <t>RICOH MP ｽﾎﾟｯﾄﾄﾅｰ C306 M</t>
  </si>
  <si>
    <t>JMPC306Y</t>
  </si>
  <si>
    <t>RICOH MP ｽﾎﾟｯﾄﾄﾅｰ C306 Y</t>
  </si>
  <si>
    <t>JMUG4CL</t>
  </si>
  <si>
    <t>EPSON ｲﾝｸｶｰﾄﾘｯｼﾞ MUG-4CL</t>
  </si>
  <si>
    <t>JMUGBK</t>
  </si>
  <si>
    <t>EPSON ｲﾝｸｶｰﾄﾘｯｼﾞ MUG-BK</t>
  </si>
  <si>
    <t>JMUGC</t>
  </si>
  <si>
    <t>EPSON ｲﾝｸｶｰﾄﾘｯｼﾞ MUG-C</t>
  </si>
  <si>
    <t>JMUGM</t>
  </si>
  <si>
    <t>EPSON ｲﾝｸｶｰﾄﾘｯｼﾞ MUG-M</t>
  </si>
  <si>
    <t>JMUGY</t>
  </si>
  <si>
    <t>EPSON ｲﾝｸｶｰﾄﾘｯｼﾞ MUG-Y</t>
  </si>
  <si>
    <t>JMX20JCKA</t>
  </si>
  <si>
    <t>-在庫限り-SHARP MX-20JCKA ﾌﾞﾗｯｸ</t>
  </si>
  <si>
    <t>JMX20JTCA</t>
  </si>
  <si>
    <t>-在庫限り-SHARP MX-20JTCA ｼｱﾝ</t>
  </si>
  <si>
    <t>JMX20JTMA</t>
  </si>
  <si>
    <t>-在庫限り-SHARP MX-20JTMA ﾏｾﾞﾝﾀ</t>
  </si>
  <si>
    <t>JMX20JTYA</t>
  </si>
  <si>
    <t>-在庫限り-SHARP MX-20JTYA ｲｴﾛｰ</t>
  </si>
  <si>
    <t>JMX230B1</t>
  </si>
  <si>
    <t>SHARP MX230B1 転写ﾍﾞﾙﾄ</t>
  </si>
  <si>
    <t>JMX230B2</t>
  </si>
  <si>
    <t>SHARP MX230B2 二次転写ﾍﾞﾙﾄ</t>
  </si>
  <si>
    <t>JMX230HB</t>
  </si>
  <si>
    <t>SHARP MX-230HB 廃ﾄﾅｰBOX</t>
  </si>
  <si>
    <t>JMX230LH</t>
  </si>
  <si>
    <t>SHARP MX230LH 圧力ﾛｰﾗｰ</t>
  </si>
  <si>
    <t>JMX230TL</t>
  </si>
  <si>
    <t>SHARP MX230TL　一次転写ﾌﾞﾚｰﾄﾞｷｯﾄ</t>
  </si>
  <si>
    <t>JMX23JTBA</t>
  </si>
  <si>
    <t>SHARP MX-23JTBA ﾌﾞﾗｯｸ</t>
  </si>
  <si>
    <t>JMX23JTBB</t>
  </si>
  <si>
    <t>SHARP MX-23JTBB ﾌﾞﾗｯｸ 小容量</t>
  </si>
  <si>
    <t>JMX23JTCA</t>
  </si>
  <si>
    <t>SHARP MX-23JTCA ｼｱﾝ</t>
  </si>
  <si>
    <t>JMX23JTCB</t>
  </si>
  <si>
    <t>SHARP MX-23JTCB ｼｱﾝ 小容量</t>
  </si>
  <si>
    <t>JMX23JTMA</t>
  </si>
  <si>
    <t>SHARP MX-23JTMA ﾏｾﾞﾝﾀ</t>
  </si>
  <si>
    <t>JMX23JTMB</t>
  </si>
  <si>
    <t>SHARP MX-23JTMB ﾏｾﾞﾝﾀ 小容量</t>
  </si>
  <si>
    <t>JMX23JTYA</t>
  </si>
  <si>
    <t>SHARP MX-23JTYA ｲｴﾛｰ</t>
  </si>
  <si>
    <t>JMX23JTYB</t>
  </si>
  <si>
    <t>SHARP MX-23JTYB ｲｴﾛｰ 小容量</t>
  </si>
  <si>
    <t>JMX2650FNDVBK</t>
  </si>
  <si>
    <t>SHARP MX-2650FN用 現像ﾕﾆｯﾄ BK</t>
  </si>
  <si>
    <t>JMX2650FNDVC</t>
  </si>
  <si>
    <t>SHARP MX-2650FN用 現像ﾕﾆｯﾄ C</t>
  </si>
  <si>
    <t>JMX2650FNDVM</t>
  </si>
  <si>
    <t>SHARP MX-2650FN用 現像ﾕﾆｯﾄ M</t>
  </si>
  <si>
    <t>JMX2650FNDVY</t>
  </si>
  <si>
    <t>SHARP MX-2650FN用 現像ﾕﾆｯﾄ Y</t>
  </si>
  <si>
    <t>JMX2650FVDVBK</t>
  </si>
  <si>
    <t>SHARP MX-2650FV用 現像ﾕﾆｯﾄ BK</t>
  </si>
  <si>
    <t>JMX2650FVDVC</t>
  </si>
  <si>
    <t>SHARP MX-2650FV用 現像ﾕﾆｯﾄ C</t>
  </si>
  <si>
    <t>JMX2650FVDVM</t>
  </si>
  <si>
    <t>SHARP MX-2650FV用 現像ﾕﾆｯﾄ M</t>
  </si>
  <si>
    <t>JMX2650FVDVY</t>
  </si>
  <si>
    <t>SHARP MX-2650FV用 現像ﾕﾆｯﾄ Y</t>
  </si>
  <si>
    <t>JMX270HB</t>
  </si>
  <si>
    <t>SHARP MX-270HB 廃ﾄﾅｰBOX</t>
  </si>
  <si>
    <t>JMX27JTBA</t>
  </si>
  <si>
    <t>SHARP MX-27JTBA ﾌﾞﾗｯｸ</t>
  </si>
  <si>
    <t>JMX27JTCA</t>
  </si>
  <si>
    <t>SHARP MX-27JTCA ｼｱﾝ</t>
  </si>
  <si>
    <t>JMX27JTMA</t>
  </si>
  <si>
    <t>-在庫限り-SHARP MX-27JTMA ﾏｾﾞﾝﾀ</t>
  </si>
  <si>
    <t>JMX27JTYA</t>
  </si>
  <si>
    <t>-在庫限り-SHARP MX-27JTYA ｲｴﾛｰ</t>
  </si>
  <si>
    <t>JMX310HB</t>
  </si>
  <si>
    <t>SHARP 廃ﾄﾅｰBOX　MX-310HB</t>
  </si>
  <si>
    <t>JMX312JR</t>
  </si>
  <si>
    <t>SHARP MX312JR ﾄﾞﾗﾑ</t>
  </si>
  <si>
    <t>JMX312JT</t>
  </si>
  <si>
    <t>SHARP  MX-312JT  　印字枚数20000枚</t>
  </si>
  <si>
    <t>JMX312JV</t>
  </si>
  <si>
    <t>SHARP MX312JV ﾃﾞﾍﾞﾛｯﾊﾟｰ</t>
  </si>
  <si>
    <t>JMX313JT</t>
  </si>
  <si>
    <t>SHARP  MX-313JT  　印字枚数10000枚</t>
  </si>
  <si>
    <t>JMX315JT</t>
  </si>
  <si>
    <t>SHARP  MX-315JT</t>
  </si>
  <si>
    <t>JMX316JT</t>
  </si>
  <si>
    <t>SHARP  MX-316JT</t>
  </si>
  <si>
    <t>JMX31JRSA</t>
  </si>
  <si>
    <t>-在庫限り-SHARP MX-31JRSA ﾄﾞﾗﾑｷｯﾄ</t>
  </si>
  <si>
    <t>JMX31JTBA</t>
  </si>
  <si>
    <t>-在庫限り-SHARP MX-31JTBA ﾌﾞﾗｯｸ</t>
  </si>
  <si>
    <t>JMX31JTCA</t>
  </si>
  <si>
    <t>-在庫限り-SHARP MX-31JTCA ｼｱﾝ</t>
  </si>
  <si>
    <t>JMX31JTMA</t>
  </si>
  <si>
    <t>-在庫限り-SHARP MX-31JTMA ﾏｾﾞﾝﾀ</t>
  </si>
  <si>
    <t>JMX31JTYA</t>
  </si>
  <si>
    <t>-在庫限り-SHARP MX-31JTYA ｲｴﾛｰ</t>
  </si>
  <si>
    <t>JMX31JUSA</t>
  </si>
  <si>
    <t>-在庫限り-SHARP MX-31JUSA ﾄﾞﾗﾑ</t>
  </si>
  <si>
    <t>JMX31JVBA</t>
  </si>
  <si>
    <t>-在庫限り-SHARP MX-31JVBA ﾃﾞﾍﾞﾛｯﾊﾟｰ ﾌﾞﾗｯｸ</t>
  </si>
  <si>
    <t>JMX31JVSA</t>
  </si>
  <si>
    <t>-在庫限り-SHARP MX-31JVSA ﾃﾞﾍﾞﾛｯﾊﾟｰ ｶﾗｰ</t>
  </si>
  <si>
    <t>JMX35JTBA</t>
  </si>
  <si>
    <t>SHARP MX-35JTBA ﾌﾞﾗｯｸ</t>
  </si>
  <si>
    <t>JMX360FB</t>
  </si>
  <si>
    <t>SHARP MX360FB FuserBelt</t>
  </si>
  <si>
    <t>JMX360WB</t>
  </si>
  <si>
    <t>SHARP MX360WB ｳｪﾌﾞｸﾘｰﾆﾝｸﾞｷｯﾄ</t>
  </si>
  <si>
    <t>JMX361FB</t>
  </si>
  <si>
    <t>SHARP MX361FB ﾌｭｰｻﾞｰﾍﾞﾙﾄｷｯﾄ</t>
  </si>
  <si>
    <t>JMX36JRSA</t>
  </si>
  <si>
    <t>SHARP MX-36JRSA ﾄﾞﾗﾑｷｯﾄ</t>
  </si>
  <si>
    <t>JMX36JTBA</t>
  </si>
  <si>
    <t>SHARP MX-36JTBA ﾌﾞﾗｯｸ</t>
  </si>
  <si>
    <t>JMX36JTCA</t>
  </si>
  <si>
    <t>SHARP MX-36JTCA ｼｱﾝ</t>
  </si>
  <si>
    <t>JMX36JTMA</t>
  </si>
  <si>
    <t>SHARP MX-36JTMA ﾏｾﾞﾝﾀ</t>
  </si>
  <si>
    <t>JMX36JTYA</t>
  </si>
  <si>
    <t>SHARP MX-36JTYA ｲｴﾛｰ</t>
  </si>
  <si>
    <t>JMX36JUSA</t>
  </si>
  <si>
    <t>SHARP MX-36JUSA ﾄﾞﾗﾑﾕﾆｯﾄ</t>
  </si>
  <si>
    <t>JMX36JVBA</t>
  </si>
  <si>
    <t>SHARP MX-36JVBA ﾃﾞﾍﾞﾛｯﾊﾟｰ ﾌﾞﾗｯｸ</t>
  </si>
  <si>
    <t>JMX36JVSA</t>
  </si>
  <si>
    <t>SHARP MX-36JVSA ﾃﾞﾍﾞﾛｯﾊﾟｰ ｶﾗｰ</t>
  </si>
  <si>
    <t>JMX38JRS</t>
  </si>
  <si>
    <t>SHARP MXC38JRS ﾄﾞﾗﾑｶﾗｰ</t>
  </si>
  <si>
    <t>JMX38JTCA</t>
  </si>
  <si>
    <t>-在庫限り-SHARP MX-38JTCA ｼｱﾝ</t>
  </si>
  <si>
    <t>JMX38JTMA</t>
  </si>
  <si>
    <t>-在庫限り-SHARP MX-38JTMA ﾏｾﾞﾝﾀ</t>
  </si>
  <si>
    <t>JMX38JTYA</t>
  </si>
  <si>
    <t>-在庫限り-SHARP MX-38JTYA ｲｴﾛｰ</t>
  </si>
  <si>
    <t>JMX38JVBA</t>
  </si>
  <si>
    <t>SHARP MXC38JVBA ﾃﾞﾍﾞﾛｯﾊﾟｰ</t>
  </si>
  <si>
    <t>JMX38JVCA</t>
  </si>
  <si>
    <t>SHARP MXC38JVCA ﾃﾞﾍﾞﾛｯﾊﾟｰ</t>
  </si>
  <si>
    <t>JMX38JVMA</t>
  </si>
  <si>
    <t>SHARP MXC38JVMA ﾃﾞﾍﾞﾛｯﾊﾟｰ</t>
  </si>
  <si>
    <t>JMX38JVYA</t>
  </si>
  <si>
    <t>SHARP MXC38JVYA ﾃﾞﾍﾞﾛｯﾊﾟｰ</t>
  </si>
  <si>
    <t>JMX41JRSA</t>
  </si>
  <si>
    <t>SHARP MX-41JRSA ﾄﾞﾗﾑｷｯﾄ</t>
  </si>
  <si>
    <t>JMX41JTBA</t>
  </si>
  <si>
    <t>-在庫限り-SHARP MX-41JTBA ﾌﾞﾗｯｸ</t>
  </si>
  <si>
    <t>JMX41JUSA</t>
  </si>
  <si>
    <t>SHARP ﾄﾞﾗﾑﾕﾆｯﾄ MX41JUSA 各色共通</t>
  </si>
  <si>
    <t>JMX45JTBA</t>
  </si>
  <si>
    <t>-在庫限り-SHARP MX-45JTBA ﾌﾞﾗｯｸ</t>
  </si>
  <si>
    <t>JMX500JR</t>
  </si>
  <si>
    <t>SHARP MX500JR　ﾄﾞﾗﾑ</t>
  </si>
  <si>
    <t>JMX500JT</t>
  </si>
  <si>
    <t>SHARP  MX-500JT</t>
  </si>
  <si>
    <t>JMX500JV</t>
  </si>
  <si>
    <t>SHARP MX500JV ﾃﾞﾍﾞﾛｯﾊﾟｰ</t>
  </si>
  <si>
    <t>JMX503HB</t>
  </si>
  <si>
    <t>SHARP 廃ﾄﾅｰBOX　MX-503HB</t>
  </si>
  <si>
    <t>JMX50JTBA</t>
  </si>
  <si>
    <t>SHARP MX-50JTBA ﾌﾞﾗｯｸ</t>
  </si>
  <si>
    <t>JMX510HB</t>
  </si>
  <si>
    <t>SHARP 廃ﾄﾅｰBOX　MX-510HB</t>
  </si>
  <si>
    <t>JMX51JRSA</t>
  </si>
  <si>
    <t>SHARP MX-51JRSA ﾄﾞﾗﾑｷｯﾄ</t>
  </si>
  <si>
    <t>JMX51JTBA</t>
  </si>
  <si>
    <t>SHARP MX-51JTBA ﾌﾞﾗｯｸ</t>
  </si>
  <si>
    <t>JMX51JTBB</t>
  </si>
  <si>
    <t>SHARP MX-51JTBB ﾌﾞﾗｯｸ 小容量</t>
  </si>
  <si>
    <t>JMX51JTCA</t>
  </si>
  <si>
    <t>SHARP MX-51JTCA ｼｱﾝ</t>
  </si>
  <si>
    <t>JMX51JTMA</t>
  </si>
  <si>
    <t>SHARP MX-51JTMA ﾏｾﾞﾝﾀ</t>
  </si>
  <si>
    <t>JMX51JTYA</t>
  </si>
  <si>
    <t>SHARP MX-51JTMA ｲｴﾛｰ</t>
  </si>
  <si>
    <t>JMX51JUSA</t>
  </si>
  <si>
    <t>SHARP MX-51JUSA ﾄﾞﾗﾑﾕﾆｯﾄ</t>
  </si>
  <si>
    <t>JMX51JVBA</t>
  </si>
  <si>
    <t>SHARP MX-51JVBA ﾃﾞﾍﾞﾛｯﾊﾟｰ ﾌﾞﾗｯｸ</t>
  </si>
  <si>
    <t>JMX51JVSA</t>
  </si>
  <si>
    <t>SHARP MX-51JVSA ﾃﾞﾍﾞﾛｯﾊﾟｰ ｶﾗｰ</t>
  </si>
  <si>
    <t>JMX560HB</t>
  </si>
  <si>
    <t>SHARP 廃ﾄﾅｰBOX　MX-560HB</t>
  </si>
  <si>
    <t>JMX561JT</t>
  </si>
  <si>
    <t>SHARP  MX-561JT</t>
  </si>
  <si>
    <t>JMX561JV</t>
  </si>
  <si>
    <t>SHARP MX561JV ﾃﾞﾍﾞﾛｯﾊﾟｰ</t>
  </si>
  <si>
    <t>JMX609HB</t>
  </si>
  <si>
    <t>SHARP MX-609HB 廃ﾄﾅｰBOX</t>
  </si>
  <si>
    <t>JMX610TL</t>
  </si>
  <si>
    <t>SHARP MX610TL</t>
  </si>
  <si>
    <t>JMX613HB</t>
  </si>
  <si>
    <t>SHARP MX-613HB 廃ﾄﾅｰBOX</t>
  </si>
  <si>
    <t>JMX61JRSA</t>
  </si>
  <si>
    <t>SHARP MX-61JRSA ﾄﾞﾗﾑｷｯﾄ</t>
  </si>
  <si>
    <t>JMX61JTBA</t>
  </si>
  <si>
    <t>SHARP MX-61JTBA ﾌﾞﾗｯｸ</t>
  </si>
  <si>
    <t>JMX61JTBB</t>
  </si>
  <si>
    <t>SHARP MX-61JTBB ﾌﾞﾗｯｸ</t>
  </si>
  <si>
    <t>JMX61JTCA</t>
  </si>
  <si>
    <t>SHARP MX-61JTCA ｼｱﾝ</t>
  </si>
  <si>
    <t>JMX61JTCB</t>
  </si>
  <si>
    <t>SHARP MX-61JTCB ｼｱﾝ</t>
  </si>
  <si>
    <t>JMX61JTMA</t>
  </si>
  <si>
    <t>SHARP MX-61JTMA ﾏｾﾞﾝﾀ</t>
  </si>
  <si>
    <t>JMX61JTMB</t>
  </si>
  <si>
    <t>SHARP MX-61JTMB ﾏｾﾞﾝﾀ</t>
  </si>
  <si>
    <t>JMX61JTYA</t>
  </si>
  <si>
    <t>SHARP MX-61JTYA ｲｴﾛｰ</t>
  </si>
  <si>
    <t>JMX61JTYB</t>
  </si>
  <si>
    <t>SHARP MX-61JTYB ｲｴﾛｰ</t>
  </si>
  <si>
    <t>JMX61JUSA</t>
  </si>
  <si>
    <t>SHARP MX-61JUSA ﾄﾞﾗﾑﾕﾆｯﾄ</t>
  </si>
  <si>
    <t>JMX61JVBA</t>
  </si>
  <si>
    <t>SHARP MX-61JVBA ﾃﾞﾍﾞﾛｯﾊﾟｰ ﾌﾞﾗｯｸ</t>
  </si>
  <si>
    <t>JMX61JVSA</t>
  </si>
  <si>
    <t>SHARP MX-61JVSA ﾃﾞﾍﾞﾛｯﾊﾟｰ ｶﾗｰ</t>
  </si>
  <si>
    <t>JMX65JTB</t>
  </si>
  <si>
    <t>SHARP MX-65JTB ﾌﾞﾗｯｸ</t>
  </si>
  <si>
    <t>JMX65JTM</t>
  </si>
  <si>
    <t>SHARP MX-65JTM ﾏｾﾞﾝﾀ</t>
  </si>
  <si>
    <t>JMX65JTY</t>
  </si>
  <si>
    <t>SHARP MX-65JTY ｲｴﾛｰ</t>
  </si>
  <si>
    <t>JMX700HB</t>
  </si>
  <si>
    <t>SHARP MX-700HB 廃ﾄﾅｰBOX</t>
  </si>
  <si>
    <t>JMX70JTBA</t>
  </si>
  <si>
    <t>SHARP MX-70JTBA ﾌﾞﾗｯｸ</t>
  </si>
  <si>
    <t>JMX70JTCA</t>
  </si>
  <si>
    <t>SHARP MX-70JTCA ｼｱﾝ</t>
  </si>
  <si>
    <t>JMX70JTMA</t>
  </si>
  <si>
    <t>SHARP MX-70JTMA ﾏｾﾞﾝﾀ</t>
  </si>
  <si>
    <t>JMX70JTYA</t>
  </si>
  <si>
    <t>SHARP MX-70JTYA ｲｴﾛｰ</t>
  </si>
  <si>
    <t>JMX71JTBA</t>
  </si>
  <si>
    <t>SHARP MX-71JTBA ﾌﾞﾗｯｸ</t>
  </si>
  <si>
    <t>JMX753JT</t>
  </si>
  <si>
    <t>SHARP  MX-753JT</t>
  </si>
  <si>
    <t>JMX754JT</t>
  </si>
  <si>
    <t>SHARP  MX-754JT</t>
  </si>
  <si>
    <t>JMX850JT</t>
  </si>
  <si>
    <t>SHARP  MX-850JT</t>
  </si>
  <si>
    <t>JMX900JT</t>
  </si>
  <si>
    <t>SHARP  MX-900JT</t>
  </si>
  <si>
    <t>JMXB45JT</t>
  </si>
  <si>
    <t>-在庫限り-SHARP MXB-45JT</t>
  </si>
  <si>
    <t>JMXC30DR</t>
  </si>
  <si>
    <t>SHARP  MX-C30DR ﾄﾞﾗﾑﾕﾆｯﾄ</t>
  </si>
  <si>
    <t>JMXC30HB</t>
  </si>
  <si>
    <t>SHARP MX-C30HB 廃ﾄﾅｰBOX</t>
  </si>
  <si>
    <t>JMXC30JTB</t>
  </si>
  <si>
    <t>SHARP MX-C30JTB ﾌﾞﾗｯｸ</t>
  </si>
  <si>
    <t>JMXC30JTC</t>
  </si>
  <si>
    <t>SHARP MX-C30JTC ｼｱﾝ</t>
  </si>
  <si>
    <t>JMXC30JTM</t>
  </si>
  <si>
    <t>SHARP MX-C30JTM ﾏｾﾞﾝﾀ</t>
  </si>
  <si>
    <t>JMXC30JTY</t>
  </si>
  <si>
    <t>SHARP MX-C30JTY ｲｴﾛｰ</t>
  </si>
  <si>
    <t>JMXC30JVB</t>
  </si>
  <si>
    <t>SHARP MXC-30JVB ﾃﾞﾍﾞﾛｯﾊﾟｰ ﾌﾞﾗｯｸ</t>
  </si>
  <si>
    <t>JMXC30JVC</t>
  </si>
  <si>
    <t>SHARP MXC-30JVC ﾃﾞﾍﾞﾛｯﾊﾟｰ</t>
  </si>
  <si>
    <t>JMXC30JVM</t>
  </si>
  <si>
    <t>SHARP MXC-30JVM ﾃﾞﾍﾞﾛｯﾊﾟｰ</t>
  </si>
  <si>
    <t>JMXC30JVY</t>
  </si>
  <si>
    <t>SHARP MXC-30JVY ﾃﾞﾍﾞﾛｯﾊﾟｰ</t>
  </si>
  <si>
    <t>JMXC31FL</t>
  </si>
  <si>
    <t>SHARP MXC31FL ﾌｨﾙﾀｰｷｯﾄ</t>
  </si>
  <si>
    <t>JMXC31HB</t>
  </si>
  <si>
    <t>SHARP 廃ﾄﾅｰBOX　MX-C31HB</t>
  </si>
  <si>
    <t>JMXC31KA</t>
  </si>
  <si>
    <t>SHARP MXC31KA</t>
  </si>
  <si>
    <t>JMXC31U2</t>
  </si>
  <si>
    <t>SHARP MXC31U2 転写ﾛｰﾗｰ</t>
  </si>
  <si>
    <t>JMXC32JTB</t>
  </si>
  <si>
    <t>SHARP MX-C32JTB ﾌﾞﾗｯｸ</t>
  </si>
  <si>
    <t>JMXC32JTC</t>
  </si>
  <si>
    <t>SHARP MX-C32JTC ｼｱﾝ</t>
  </si>
  <si>
    <t>JMXC32JTM</t>
  </si>
  <si>
    <t>SHARP MX-C32JTM ﾏｾﾞﾝﾀ</t>
  </si>
  <si>
    <t>JMXC32JTY</t>
  </si>
  <si>
    <t>SHARP MX-C32JTY ｲｴﾛｰ</t>
  </si>
  <si>
    <t>JMXC35JTB</t>
  </si>
  <si>
    <t>SHARP MXC-35JTB ﾌﾞﾗｯｸ</t>
  </si>
  <si>
    <t>JMXC35JTC</t>
  </si>
  <si>
    <t>SHARP MXC-35JTC ｼｱﾝ</t>
  </si>
  <si>
    <t>JMXC35JTM</t>
  </si>
  <si>
    <t>SHARP MXC-35JTM ﾏｾﾞﾝﾀ</t>
  </si>
  <si>
    <t>JMXC35JTY</t>
  </si>
  <si>
    <t>SHARP MXC-35JTY ｲｴﾛｰ</t>
  </si>
  <si>
    <t>JMXC38JRB</t>
  </si>
  <si>
    <t>SHARP MXC38JRB ﾄﾞﾗﾑﾌﾞﾗｯｸ</t>
  </si>
  <si>
    <t>JMXC38JTBA</t>
  </si>
  <si>
    <t>SHARP MXC-38JTBA ﾌﾞﾗｯｸ</t>
  </si>
  <si>
    <t>JMXC38JTCA</t>
  </si>
  <si>
    <t>SHARP MXC-38JTCA ｼｱﾝ</t>
  </si>
  <si>
    <t>JMXC38JTMA</t>
  </si>
  <si>
    <t>SHARP MXC-38JTMA ｼｱﾝ</t>
  </si>
  <si>
    <t>JMXC38JTYA</t>
  </si>
  <si>
    <t>SHARP MXC-38JTYA ｲｴﾛｰ</t>
  </si>
  <si>
    <t>JMXJTC</t>
  </si>
  <si>
    <t>SHARP MX-65JTC ｼｱﾝ</t>
  </si>
  <si>
    <t>JMXSCX1</t>
  </si>
  <si>
    <t>SHARP ｽﾃｰﾌﾟﾙﾕﾆｯﾄ MXSCX1</t>
  </si>
  <si>
    <t>JN11XLN10XL6MP</t>
  </si>
  <si>
    <t>CANON ｲﾝｸﾀﾝｸ XKI-N11XL+N10XL/6MP 大容量</t>
  </si>
  <si>
    <t>JN30-DSY</t>
  </si>
  <si>
    <t>JN30-TSC-G</t>
  </si>
  <si>
    <t>JN30-TSM-G</t>
  </si>
  <si>
    <t>JN30HTB</t>
  </si>
  <si>
    <t>JN60-TSC-G</t>
  </si>
  <si>
    <t>JN60-TSK-G</t>
  </si>
  <si>
    <t>JN60-TSM-G</t>
  </si>
  <si>
    <t>JN60-TSY-G</t>
  </si>
  <si>
    <t>JN60DS3C</t>
  </si>
  <si>
    <t>JN9K04AA</t>
  </si>
  <si>
    <t>HP65XL ｲﾝｸｶｰﾄﾘｯｼﾞ 黒(増量) N9K04AA</t>
  </si>
  <si>
    <t>JNL200258</t>
  </si>
  <si>
    <t>富士ﾌｲﾙﾑ 複合機 ApeosPort 3410SD (NL200258)</t>
  </si>
  <si>
    <t>JNPG45BK</t>
  </si>
  <si>
    <t>CANON ﾄﾅｰｶｰﾄﾘｯｼﾞ NPG-45 BK</t>
  </si>
  <si>
    <t>JNPG45C</t>
  </si>
  <si>
    <t>CANON ﾄﾅｰｶｰﾄﾘｯｼﾞ NPG-45 C</t>
  </si>
  <si>
    <t>JNPG45M</t>
  </si>
  <si>
    <t>CANON ﾄﾅｰｶｰﾄﾘｯｼﾞ NPG-45 M</t>
  </si>
  <si>
    <t>JNPG45Y</t>
  </si>
  <si>
    <t>CANON ﾄﾅｰｶｰﾄﾘｯｼﾞ NPG-45 Y</t>
  </si>
  <si>
    <t>JNPG46BK</t>
  </si>
  <si>
    <t>CANON ﾄﾅｰｶｰﾄﾘｯｼﾞ NPG-46 BK</t>
  </si>
  <si>
    <t>JNPG46C</t>
  </si>
  <si>
    <t>CANON ﾄﾅｰｶｰﾄﾘｯｼﾞ NPG-46 C</t>
  </si>
  <si>
    <t>JNPG46M</t>
  </si>
  <si>
    <t>CANON ﾄﾅｰｶｰﾄﾘｯｼﾞ NPG-46 M</t>
  </si>
  <si>
    <t>JNPG46Y</t>
  </si>
  <si>
    <t>CANON ﾄﾅｰｶｰﾄﾘｯｼﾞ NPG-46 Y</t>
  </si>
  <si>
    <t>JNPG52</t>
  </si>
  <si>
    <t>CANON ﾄﾅｰｶｰﾄﾘｯｼﾞ NPG-52 M</t>
  </si>
  <si>
    <t>JNPG52C</t>
  </si>
  <si>
    <t>CANON ﾄﾅｰｶｰﾄﾘｯｼﾞ NPG-52 C</t>
  </si>
  <si>
    <t>JNPG52K</t>
  </si>
  <si>
    <t>CANON ﾄﾅｰｶｰﾄﾘｯｼﾞ NPG-52 BK</t>
  </si>
  <si>
    <t>JNPG52Y</t>
  </si>
  <si>
    <t>CANON ﾄﾅｰｶｰﾄﾘｯｼﾞ NPG-52 Y</t>
  </si>
  <si>
    <t>JNPG54</t>
  </si>
  <si>
    <t>JNPG56</t>
  </si>
  <si>
    <t>CANON ﾄﾅｰｶｰﾄﾘｯｼﾞ NPG-56</t>
  </si>
  <si>
    <t>JNPG57</t>
  </si>
  <si>
    <t>CANON ﾄﾅｰｶｰﾄﾘｯｼﾞ NPG-57</t>
  </si>
  <si>
    <t>JNPG60BK</t>
  </si>
  <si>
    <t>CANON ﾄﾅｰｶｰﾄﾘｯｼﾞ NPG-60 BK</t>
  </si>
  <si>
    <t>JNPG60C</t>
  </si>
  <si>
    <t>CANON ﾄﾅｰｶｰﾄﾘｯｼﾞ NPG-60 C</t>
  </si>
  <si>
    <t>JNPG60M</t>
  </si>
  <si>
    <t>CANON ﾄﾅｰｶｰﾄﾘｯｼﾞ NPG-60 M</t>
  </si>
  <si>
    <t>JNPG60Y</t>
  </si>
  <si>
    <t>CANON ﾄﾅｰｶｰﾄﾘｯｼﾞ NPG-60 Y</t>
  </si>
  <si>
    <t>JNPG63BK</t>
  </si>
  <si>
    <t>CANON ﾄﾅｰｶｰﾄﾘｯｼﾞ NPG-63 BK</t>
  </si>
  <si>
    <t>JNPG63C</t>
  </si>
  <si>
    <t>CANON ﾄﾅｰｶｰﾄﾘｯｼﾞ NPG-63 C</t>
  </si>
  <si>
    <t>JNPG63M</t>
  </si>
  <si>
    <t>CANON ﾄﾅｰｶｰﾄﾘｯｼﾞ NPG-63 M</t>
  </si>
  <si>
    <t>JNPG63Y</t>
  </si>
  <si>
    <t>CANON ﾄﾅｰｶｰﾄﾘｯｼﾞ NPG-63 Y</t>
  </si>
  <si>
    <t>JNPG65C</t>
  </si>
  <si>
    <t>CANON ﾄﾅｰｶｰﾄﾘｯｼﾞ NPG-65 C</t>
  </si>
  <si>
    <t>JNPG65K</t>
  </si>
  <si>
    <t>CANON ﾄﾅｰｶｰﾄﾘｯｼﾞ NPG-65 BK</t>
  </si>
  <si>
    <t>JNPG65M</t>
  </si>
  <si>
    <t>CANON ﾄﾅｰｶｰﾄﾘｯｼﾞ NPG-65 M</t>
  </si>
  <si>
    <t>JNPG65Y</t>
  </si>
  <si>
    <t>CANON ﾄﾅｰｶｰﾄﾘｯｼﾞ NPG-65 Y</t>
  </si>
  <si>
    <t>JNPG67BK</t>
  </si>
  <si>
    <t>CANON ﾄﾅｰｶｰﾄﾘｯｼﾞ NPG-67 BK</t>
  </si>
  <si>
    <t>JNPG67C</t>
  </si>
  <si>
    <t>CANON ﾄﾅｰｶｰﾄﾘｯｼﾞ NPG-67 C</t>
  </si>
  <si>
    <t>JNPG67M</t>
  </si>
  <si>
    <t>CANON ﾄﾅｰｶｰﾄﾘｯｼﾞ NPG-67 M</t>
  </si>
  <si>
    <t>JNPG67Y</t>
  </si>
  <si>
    <t>CANON ﾄﾅｰｶｰﾄﾘｯｼﾞ NPG-67 Y</t>
  </si>
  <si>
    <t>JNPG73</t>
  </si>
  <si>
    <t>CANON ﾄﾅｰｶｰﾄﾘｯｼﾞ NPG-73</t>
  </si>
  <si>
    <t>JNPG76BK</t>
  </si>
  <si>
    <t>CANON ﾄﾅｰｶｰﾄﾘｯｼﾞ NPG-76 BK(要事前確認)</t>
  </si>
  <si>
    <t>JNPG76C</t>
  </si>
  <si>
    <t>CANON ﾄﾅｰｶｰﾄﾘｯｼﾞ NPG-76 C(要事前確認)</t>
  </si>
  <si>
    <t>JNPG76M</t>
  </si>
  <si>
    <t>CANON ﾄﾅｰｶｰﾄﾘｯｼﾞ NPG-76 M(要事前確認)</t>
  </si>
  <si>
    <t>JNPG76Y</t>
  </si>
  <si>
    <t>CANON ﾄﾅｰｶｰﾄﾘｯｼﾞ NPG-76 Y(要事前確認)</t>
  </si>
  <si>
    <t>JNPG884PK</t>
  </si>
  <si>
    <t>CANON ﾄﾅｰｶｰﾄﾘｯｼﾞ NPG-88 KCMY 4色ｾｯﾄ</t>
  </si>
  <si>
    <t>JNTTB4100D</t>
  </si>
  <si>
    <t>NTT-FAX B4100ﾄﾞﾗﾑ</t>
  </si>
  <si>
    <t>JONGP10KR5</t>
  </si>
  <si>
    <t>EPSON ONGP10KR5 ｲﾙﾌｫｰﾄﾞ 5ｲﾝﾁ光沢ﾛｰﾙ紙 127mm幅×65m 1ｾｯﾄ(2巻)</t>
  </si>
  <si>
    <t>JONGP10KRA4</t>
  </si>
  <si>
    <t>EPSON ONGP10KRA4 ｲﾙﾌｫｰﾄﾞ A4光沢ﾛｰﾙ紙 210mm幅×65m巻 1ｾｯﾄ(2巻)</t>
  </si>
  <si>
    <t>JP2V25A</t>
  </si>
  <si>
    <t>HP HP746 P2V25A ﾌﾟﾘﾝﾄﾍｯﾄﾞ</t>
  </si>
  <si>
    <t>JP2V27A</t>
  </si>
  <si>
    <t>HP HP731 ﾌﾟﾘﾝﾄﾍｯﾄﾞ P2V27A</t>
  </si>
  <si>
    <t>JP2V62A</t>
  </si>
  <si>
    <t>HP HP730 P2V62A ｲﾝｸｶｰﾄﾘｯｼﾞ ｼｱﾝ 130ml</t>
  </si>
  <si>
    <t>JP2V64A</t>
  </si>
  <si>
    <t>HP HP730 P2V64A ｲﾝｸｶｰﾄﾘｯｼﾞ ｲｴﾛｰ 130ml</t>
  </si>
  <si>
    <t>JP2V68A</t>
  </si>
  <si>
    <t>HP HP730 P2V68A ｲﾝｸｶｰﾄﾘｯｼﾞｼｱﾝ 300ml</t>
  </si>
  <si>
    <t>JP2V69A</t>
  </si>
  <si>
    <t>HP HP730 P2V69A ｲﾝｸｶｰﾄﾘｯｼﾞﾏｾﾞﾝﾀ 300ml</t>
  </si>
  <si>
    <t>JP2V70A</t>
  </si>
  <si>
    <t>HP HP730 P2V70A ｲﾝｸｶｰﾄﾘｯｼﾞｲｴﾛｰ 300ml</t>
  </si>
  <si>
    <t>JP2V81A</t>
  </si>
  <si>
    <t>HP HP746 P2V81A ｲﾝｸｶｰﾄﾘｯｼﾞ CRﾚｯﾄﾞ 300ml</t>
  </si>
  <si>
    <t>JP2V83A</t>
  </si>
  <si>
    <t>HP HP746 P2V83A ｲﾝｸｶｰﾄﾘｯｼﾞ ﾏｯﾄﾌﾞﾗｯｸ 300ml</t>
  </si>
  <si>
    <t>JP2V84A</t>
  </si>
  <si>
    <t>HP HP747 P2V84A ｲﾝｸ CRｸﾞﾘｰﾝ 300ml</t>
  </si>
  <si>
    <t>JP2V85A</t>
  </si>
  <si>
    <t>HP HP747 P2V85A ｲﾝｸ CRﾌﾞﾙｰ 300ml</t>
  </si>
  <si>
    <t>JP2V86A</t>
  </si>
  <si>
    <t>HP HP747 P2V86A ｲﾝｸ ｸﾞﾚｰ 300ml</t>
  </si>
  <si>
    <t>JP2V87A</t>
  </si>
  <si>
    <t>HP HP747 P2V87A ｸﾞﾛｽｴﾝﾊﾝｻｰ 300ml</t>
  </si>
  <si>
    <t>JP2V89A</t>
  </si>
  <si>
    <t>HP HP766 P2V89A ｲﾝｸｶｰﾄﾘｯｼﾞｼｱﾝ 300ml</t>
  </si>
  <si>
    <t>JP2V90A</t>
  </si>
  <si>
    <t>HP HP766 P2V90A ｲﾝｸｶｰﾄﾘｯｼﾞﾏｾﾞﾝﾀ 300ml</t>
  </si>
  <si>
    <t>JP2V91A</t>
  </si>
  <si>
    <t>HP HP766 P2V91A ｲﾝｸｶｰﾄﾘｯｼﾞｲｴﾛｰ 300ml</t>
  </si>
  <si>
    <t>JP2V97A</t>
  </si>
  <si>
    <t>HP 774 ﾌﾟﾘﾝﾄﾍｯﾄﾞ MK/CR ﾚｯﾄﾞ P2V97A</t>
  </si>
  <si>
    <t>JP2V98A</t>
  </si>
  <si>
    <t>HP 774 ﾌﾟﾘﾝﾄﾍｯﾄﾞ Lm/Lc P2V98A</t>
  </si>
  <si>
    <t>JP2V99A</t>
  </si>
  <si>
    <t>HP 774 ﾌﾟﾘﾝﾄﾍｯﾄﾞ M/Y P2V99A</t>
  </si>
  <si>
    <t>JP2W00A</t>
  </si>
  <si>
    <t>HP 774 ﾌﾟﾘﾝﾄﾍｯﾄﾞ PK/Lg P2W00A</t>
  </si>
  <si>
    <t>JP2W02A</t>
  </si>
  <si>
    <t>HP 774 ｲﾝｸｶｰﾄﾘｯｼﾞ CR ﾚｯﾄﾞ P2W02A</t>
  </si>
  <si>
    <t>JP360DW</t>
  </si>
  <si>
    <t>XEROX ﾚｰｻﾞｰﾌﾟﾘﾝﾀｰ DocuPrint P360 dw  NL300068</t>
  </si>
  <si>
    <t>JP4022</t>
  </si>
  <si>
    <t>XEROX ﾚｰｻﾞｰﾌﾟﾘﾝﾀｰ ApeosPort-VII P4022   NL300080</t>
  </si>
  <si>
    <t>JP4022JM</t>
  </si>
  <si>
    <t>XEROX ﾚｰｻﾞｰﾌﾟﾘﾝﾀｰ ApeosPort-VII P4022JM  NL300081</t>
  </si>
  <si>
    <t>JP500</t>
  </si>
  <si>
    <t>RICOH ﾄﾅｰ P500　【514203】</t>
  </si>
  <si>
    <t>JP500DR</t>
  </si>
  <si>
    <t>RICOH ﾄﾞﾗﾑ P500　【514205】</t>
  </si>
  <si>
    <t>JP500H</t>
  </si>
  <si>
    <t>RICOH ﾄﾅｰP500H　【514204】</t>
  </si>
  <si>
    <t>JP500L</t>
  </si>
  <si>
    <t>RICOH ﾄﾅｰP500L　【514202】</t>
  </si>
  <si>
    <t>JP500S</t>
  </si>
  <si>
    <t>RICOH トナーP500S</t>
  </si>
  <si>
    <t>JP501</t>
  </si>
  <si>
    <t>RICOH ﾚｰｻﾞｰﾌﾟﾘﾝﾀｰ P 501【513997】</t>
  </si>
  <si>
    <t>JP6000</t>
  </si>
  <si>
    <t>-終息-RICOH ﾚｰｻﾞｰﾌﾟﾘﾝﾀｰ P 6000【514307】</t>
  </si>
  <si>
    <t>JP6010</t>
  </si>
  <si>
    <t>RICOH ﾚｰｻﾞｰﾌﾟﾘﾝﾀｰ P 6010【514306】</t>
  </si>
  <si>
    <t>JP6500</t>
  </si>
  <si>
    <t>RICOH ﾄﾅｰP6500 600704</t>
  </si>
  <si>
    <t>JP6500DR</t>
  </si>
  <si>
    <t>RICOH ﾄﾞﾗﾑ P6500 514572</t>
  </si>
  <si>
    <t>JP6500H</t>
  </si>
  <si>
    <t>RICOH ﾄﾅｰP6500H 600703</t>
  </si>
  <si>
    <t>JP6500S</t>
  </si>
  <si>
    <t>RICOH ﾄﾅｰ P6500S(2本入り)</t>
  </si>
  <si>
    <t>JP6500SDR</t>
  </si>
  <si>
    <t>RICOH ﾄﾞﾗﾑ P6500S</t>
  </si>
  <si>
    <t>JPC201BK</t>
  </si>
  <si>
    <t>RICOH ﾄﾅｰｶｰﾄﾘｯｼﾞP C201 BK 514455</t>
  </si>
  <si>
    <t>JPC201C</t>
  </si>
  <si>
    <t>RICOH ﾄﾅｰｶｰﾄﾘｯｼﾞP C201 C 514452</t>
  </si>
  <si>
    <t>JPC201HI</t>
  </si>
  <si>
    <t>RICOH 廃ﾄﾅｰﾎﾞﾄﾙ P C201 514457</t>
  </si>
  <si>
    <t>JPC201M</t>
  </si>
  <si>
    <t>RICOH ﾄﾅｰｶｰﾄﾘｯｼﾞP C201 M 514453</t>
  </si>
  <si>
    <t>JPC201Y</t>
  </si>
  <si>
    <t>RICOH ﾄﾅｰｶｰﾄﾘｯｼﾞP C201 Y 514454</t>
  </si>
  <si>
    <t>JPC2200BK</t>
  </si>
  <si>
    <t>RICOH MP Pﾄﾅｰ C2200 BK</t>
  </si>
  <si>
    <t>JPC2200C</t>
  </si>
  <si>
    <t>RICOH MP Pﾄﾅｰ C2200 C</t>
  </si>
  <si>
    <t>JPC2200M</t>
  </si>
  <si>
    <t>RICOH MP Pﾄﾅｰ C2200 M</t>
  </si>
  <si>
    <t>JPC2200Y</t>
  </si>
  <si>
    <t>RICOH MP Pﾄﾅｰ C2200 Y</t>
  </si>
  <si>
    <t>JPC2201BK</t>
  </si>
  <si>
    <t>RICOH MP Pﾄﾅｰ C2201 BK</t>
  </si>
  <si>
    <t>JPC2201C</t>
  </si>
  <si>
    <t>RICOH MP Pﾄﾅｰ C2201 C</t>
  </si>
  <si>
    <t>JPC2201M</t>
  </si>
  <si>
    <t>RICOH MP Pﾄﾅｰ C2201 M</t>
  </si>
  <si>
    <t>JPC2201Y</t>
  </si>
  <si>
    <t>RICOH MP Pﾄﾅｰ C2201 Y</t>
  </si>
  <si>
    <t>JPC25034P</t>
  </si>
  <si>
    <t>RICOH MP Pﾄﾅｰ KCMY(4本ｾｯﾄ) C2503</t>
  </si>
  <si>
    <t>JPC2503C</t>
  </si>
  <si>
    <t>RICOH MP Pﾄﾅｰ ｼｱﾝ C2503</t>
  </si>
  <si>
    <t>JPC2503K</t>
  </si>
  <si>
    <t>RICOH MP Pﾄﾅｰ ﾌﾞﾗｯｸ C2503</t>
  </si>
  <si>
    <t>JPC2503M</t>
  </si>
  <si>
    <t>RICOH MP Pﾄﾅｰ ﾏｾﾞﾝﾀ C2503</t>
  </si>
  <si>
    <t>JPC2503Y</t>
  </si>
  <si>
    <t>RICOH MP Pﾄﾅｰ ｲｴﾛｰ C2503</t>
  </si>
  <si>
    <t>JPC3000</t>
  </si>
  <si>
    <t>RICOH  imagio　MP Pﾄﾅｰ C3000 BK</t>
  </si>
  <si>
    <t>JPC3000C</t>
  </si>
  <si>
    <t>RICOH  imagio  MP  Pﾄﾅｰ  C3000 C</t>
  </si>
  <si>
    <t>JPC3000M</t>
  </si>
  <si>
    <t>RICOH  imagio  MP  Pﾄﾅｰ  C3000 M</t>
  </si>
  <si>
    <t>JPC3000Y</t>
  </si>
  <si>
    <t>RICOH  imagio  MP  Pﾄﾅｰ  C3000 Y</t>
  </si>
  <si>
    <t>JPC300HBK</t>
  </si>
  <si>
    <t>RICOH ﾄﾅｰｶｰﾄﾘｯｼﾞﾌﾞﾗｯｸP　C300H</t>
  </si>
  <si>
    <t>JPC300HC</t>
  </si>
  <si>
    <t>RICOH ﾄﾅｰｶｰﾄﾘｯｼﾞｼｱﾝP　C300H</t>
  </si>
  <si>
    <t>JPC300HM</t>
  </si>
  <si>
    <t>RICOH ﾄﾅｰｶｰﾄﾘｯｼﾞﾏｾﾞﾝﾀP　C300H</t>
  </si>
  <si>
    <t>JPC300HY</t>
  </si>
  <si>
    <t>RICOH ﾄﾅｰｶｰﾄﾘｯｼﾞｲｴﾛｰP　C300H</t>
  </si>
  <si>
    <t>JPC301</t>
  </si>
  <si>
    <t>RICOH ﾚｰｻﾞｰﾌﾟﾘﾝﾀｰ P C301【514228】</t>
  </si>
  <si>
    <t>JPC301SF</t>
  </si>
  <si>
    <t>RICOH  ﾚｰｻﾞｰ 複合機 P C301SF【514227】</t>
  </si>
  <si>
    <t>JPC3300BK</t>
  </si>
  <si>
    <t>RICOH imgio MP Pﾄﾅｰ C3300 BK</t>
  </si>
  <si>
    <t>JPC3300C</t>
  </si>
  <si>
    <t>RICOH imgio MP Pﾄﾅｰ C3300 C</t>
  </si>
  <si>
    <t>JPC3300M</t>
  </si>
  <si>
    <t>RICOH imgio MP Pﾄﾅｰ C3300 M</t>
  </si>
  <si>
    <t>JPC3300Y</t>
  </si>
  <si>
    <t>RICOH imgio MP Pﾄﾅｰ C3300 Y</t>
  </si>
  <si>
    <t>JPC3301C</t>
  </si>
  <si>
    <t>RICOH MP Pﾄﾅｰ ｼｱﾝ C3301</t>
  </si>
  <si>
    <t>JPC3301K</t>
  </si>
  <si>
    <t>RICOH MP Pﾄﾅｰ ﾌﾞﾗｯｸ C3301</t>
  </si>
  <si>
    <t>JPC3301M</t>
  </si>
  <si>
    <t>RICOH MP Pﾄﾅｰ ﾏｾﾞﾝﾀ C3301</t>
  </si>
  <si>
    <t>JPC3301Y</t>
  </si>
  <si>
    <t>RICOH MP Pﾄﾅｰ ｲｴﾛｰ C3301</t>
  </si>
  <si>
    <t>JPC3302BK</t>
  </si>
  <si>
    <t>RICOH MP Pﾄﾅｰ C3302 BK</t>
  </si>
  <si>
    <t>JPC3302C</t>
  </si>
  <si>
    <t>RICOH MP Pﾄﾅｰ C3302 C</t>
  </si>
  <si>
    <t>JPC3302M</t>
  </si>
  <si>
    <t>RICOH MP Pﾄﾅｰ C3302 M</t>
  </si>
  <si>
    <t>JPC3302Y</t>
  </si>
  <si>
    <t>RICOH MP Pﾄﾅｰ C3302 Y</t>
  </si>
  <si>
    <t>JPC35034P</t>
  </si>
  <si>
    <t>RICOH MP Pﾄﾅｰ KCMY(4本ｾｯﾄ) C3503</t>
  </si>
  <si>
    <t>JPC3503C</t>
  </si>
  <si>
    <t>RICOH MP Pﾄﾅｰ ｼｱﾝ C3503</t>
  </si>
  <si>
    <t>JPC3503K</t>
  </si>
  <si>
    <t>RICOH MP Pﾄﾅｰ ﾌﾞﾗｯｸ C3503</t>
  </si>
  <si>
    <t>JPC3503M</t>
  </si>
  <si>
    <t>RICOH MP Pﾄﾅｰ ﾏｾﾞﾝﾀ C3503</t>
  </si>
  <si>
    <t>JPC3503Y</t>
  </si>
  <si>
    <t>RICOH MP Pﾄﾅｰ ｲｴﾛｰ C3503</t>
  </si>
  <si>
    <t>JPC375BK</t>
  </si>
  <si>
    <t>RICOH ﾄﾅｰ ﾌﾞﾗｯｸ P C375    600750</t>
  </si>
  <si>
    <t>JPC375C</t>
  </si>
  <si>
    <t>RICOH ﾄﾅｰ ｼｱﾝ P C375    600751</t>
  </si>
  <si>
    <t>JPC375HBK</t>
  </si>
  <si>
    <t>RICOH ﾄﾅｰ ﾌﾞﾗｯｸ P C375H    600744</t>
  </si>
  <si>
    <t>JPC375HC</t>
  </si>
  <si>
    <t>RICOH ﾄﾅｰ ｼｱﾝ P C375H    600745</t>
  </si>
  <si>
    <t>JPC375HM</t>
  </si>
  <si>
    <t>RICOH ﾄﾅｰ ﾏｾﾞﾝﾀ P C375H    600746</t>
  </si>
  <si>
    <t>JPC375HY</t>
  </si>
  <si>
    <t>RICOH ﾄﾅｰ ｲｴﾛｰ P C375H    600747</t>
  </si>
  <si>
    <t>JPC375M</t>
  </si>
  <si>
    <t>RICOH ﾄﾅｰ ﾏｾﾞﾝﾀ P C375    600752</t>
  </si>
  <si>
    <t>JPC375Y</t>
  </si>
  <si>
    <t>RICOH ﾄﾅｰ ｲｴﾛｰ P C375    600753</t>
  </si>
  <si>
    <t>JPC5002BK</t>
  </si>
  <si>
    <t>RICOH MP Pﾄﾅｰ C5002 BK</t>
  </si>
  <si>
    <t>JPC5002C</t>
  </si>
  <si>
    <t>RICOH MP Pﾄﾅｰ C5002 C</t>
  </si>
  <si>
    <t>JPC5002M</t>
  </si>
  <si>
    <t>RICOH MP Pﾄﾅｰ C5002 M</t>
  </si>
  <si>
    <t>JPC5002Y</t>
  </si>
  <si>
    <t>RICOH MP Pﾄﾅｰ C5002 Y</t>
  </si>
  <si>
    <t>JPC6000BK</t>
  </si>
  <si>
    <t>RICOH P C6000 BK 600687</t>
  </si>
  <si>
    <t>JPC6000C</t>
  </si>
  <si>
    <t>RICOH P C6000 C 600688</t>
  </si>
  <si>
    <t>JPC6000DBK</t>
  </si>
  <si>
    <t>RICOH P C6000 ﾄﾞﾗﾑﾕﾆｯﾄ ﾌﾞﾗｯｸ 514487</t>
  </si>
  <si>
    <t>JPC6000DC</t>
  </si>
  <si>
    <t>RICOH P C6000 ﾄﾞﾗﾑﾕﾆｯﾄ ｶﾗｰ 514488</t>
  </si>
  <si>
    <t>JPC6000HBK</t>
  </si>
  <si>
    <t>RICOH P C6000H BK 600683</t>
  </si>
  <si>
    <t>JPC6000HC</t>
  </si>
  <si>
    <t>RICOH P C6000H C 600684</t>
  </si>
  <si>
    <t>JPC6000HM</t>
  </si>
  <si>
    <t>RICOH P C6000H M 600685</t>
  </si>
  <si>
    <t>JPC6000HY</t>
  </si>
  <si>
    <t>RICOH P C6000H Y 600686</t>
  </si>
  <si>
    <t>JPC6000M</t>
  </si>
  <si>
    <t>RICOH P C6000 M 600689</t>
  </si>
  <si>
    <t>JPC6000Y</t>
  </si>
  <si>
    <t>RICOH P C6000 Y 600690</t>
  </si>
  <si>
    <t>JPC6003C</t>
  </si>
  <si>
    <t>RICOH MP Pﾄﾅｰ ｼｱﾝ C6003   600243</t>
  </si>
  <si>
    <t>JPC6003K</t>
  </si>
  <si>
    <t>RICOH MP Pﾄﾅｰ ﾌﾞﾗｯｸ C6003   600240</t>
  </si>
  <si>
    <t>JPC6003M</t>
  </si>
  <si>
    <t>RICOH MP Pﾄﾅｰ ﾏｾﾞﾝﾀ C6003   600242</t>
  </si>
  <si>
    <t>JPC6003Y</t>
  </si>
  <si>
    <t>RICOH MP Pﾄﾅｰ ｲｴﾛｰ C6003   600241</t>
  </si>
  <si>
    <t>JPC835</t>
  </si>
  <si>
    <t>OKI A3ｶﾗｰLEDﾌﾟﾘﾝﾀｰ COREFIDOEX C835dnwt</t>
  </si>
  <si>
    <t>JPF03</t>
  </si>
  <si>
    <t>CANON ﾌﾟﾘﾝﾄﾍｯﾄﾞ PF-03</t>
  </si>
  <si>
    <t>JPF04</t>
  </si>
  <si>
    <t>CANON ﾌﾟﾘﾝﾄﾍｯﾄﾞ PF-04</t>
  </si>
  <si>
    <t>JPF05</t>
  </si>
  <si>
    <t>CANON ﾌﾟﾘﾝﾄﾍｯﾄﾞ PF-05</t>
  </si>
  <si>
    <t>JPF05k</t>
  </si>
  <si>
    <t>[旧価格]CANON ﾌﾟﾘﾝﾄﾍｯﾄﾞ PF-05</t>
  </si>
  <si>
    <t>JPF06</t>
  </si>
  <si>
    <t>CANON ﾌﾟﾘﾝﾄﾍｯﾄﾞ PF-06</t>
  </si>
  <si>
    <t>JPF10</t>
  </si>
  <si>
    <t>CANON ﾌﾟﾘﾝﾄﾍｯﾄﾞ PF-10</t>
  </si>
  <si>
    <t>JPF7</t>
  </si>
  <si>
    <t>CANON ﾌﾟﾘﾝﾄﾍｯﾄﾞ PF-7</t>
  </si>
  <si>
    <t>JPFI-106B</t>
  </si>
  <si>
    <t>CANON ｲﾝｸﾀﾝｸ PFI-106B ﾌﾞﾙｰ</t>
  </si>
  <si>
    <t>JPFI-106G</t>
  </si>
  <si>
    <t>CANON ｲﾝｸﾀﾝｸ PFI-106G ｸﾞﾘｰﾝ</t>
  </si>
  <si>
    <t>JPFI-106GY</t>
  </si>
  <si>
    <t>CANON ｲﾝｸﾀﾝｸ PFI-106GY ｸﾞﾚｰ</t>
  </si>
  <si>
    <t>JPFI-106PGY</t>
  </si>
  <si>
    <t>CANON ｲﾝｸﾀﾝｸ PFI-106PGY　ﾌｫﾄｸﾞﾚｰ</t>
  </si>
  <si>
    <t>JPFI-106PM</t>
  </si>
  <si>
    <t>CANON ｲﾝｸﾀﾝｸ PFI-106PM　ﾌｫﾄﾏｾﾞﾝﾀ</t>
  </si>
  <si>
    <t>JPFI-106R</t>
  </si>
  <si>
    <t>CANON ｲﾝｸﾀﾝｸ PFI-106R ﾚｯﾄﾞ</t>
  </si>
  <si>
    <t>JPFI031M</t>
  </si>
  <si>
    <t>CANON ｲﾝｸﾀﾝｸ PFI-031M ﾏｾﾞﾝﾀ</t>
  </si>
  <si>
    <t>JPFI1000B</t>
  </si>
  <si>
    <t>CANON ｲﾝｸﾀﾝｸ PFI-1000B ﾌﾞﾙｰ</t>
  </si>
  <si>
    <t>JPFI1000C</t>
  </si>
  <si>
    <t>CANON ｲﾝｸﾀﾝｸ PFI-1000C ｼｱﾝ</t>
  </si>
  <si>
    <t>JPFI1000CO</t>
  </si>
  <si>
    <t>CANON ｲﾝｸﾀﾝｸ PFI-1000CO ｸﾛﾏｵﾌﾟﾃｨﾏｲｻﾞｰ</t>
  </si>
  <si>
    <t>JPFI1000GY</t>
  </si>
  <si>
    <t>CANON ｲﾝｸﾀﾝｸ PFI-1000GY ｸﾞﾚｰ</t>
  </si>
  <si>
    <t>JPFI1000M</t>
  </si>
  <si>
    <t>CANON ｲﾝｸﾀﾝｸ PFI-1000M ﾏｾﾞﾝﾀ</t>
  </si>
  <si>
    <t>JPFI1000MBK</t>
  </si>
  <si>
    <t>CANON ｲﾝｸﾀﾝｸ PFI-1000MBK ﾏｯﾄﾌﾞﾗｯｸ</t>
  </si>
  <si>
    <t>JPFI1000PBK</t>
  </si>
  <si>
    <t>CANON ｲﾝｸﾀﾝｸ PFI-1000PBK ﾌｫﾄﾌﾞﾗｯｸ</t>
  </si>
  <si>
    <t>JPFI1000PC</t>
  </si>
  <si>
    <t>CANON ｲﾝｸﾀﾝｸ PFI-1000PC ﾌｫﾄｼｱﾝ</t>
  </si>
  <si>
    <t>JPFI1000PGY</t>
  </si>
  <si>
    <t>CANON ｲﾝｸﾀﾝｸ PFI-1000PGY ﾌｫﾄｸﾞﾚｰ</t>
  </si>
  <si>
    <t>JPFI1000PM</t>
  </si>
  <si>
    <t>CANON ｲﾝｸﾀﾝｸ PFI-1000PM ﾌｫﾄﾏｾﾞﾝﾀ</t>
  </si>
  <si>
    <t>JPFI1000R</t>
  </si>
  <si>
    <t>CANON ｲﾝｸﾀﾝｸ PFI-1000R ﾚｯﾄﾞ</t>
  </si>
  <si>
    <t>JPFI1000Y</t>
  </si>
  <si>
    <t>CANON ｲﾝｸﾀﾝｸ PFI-1000Y ｲｴﾛｰ</t>
  </si>
  <si>
    <t>JPFI101B</t>
  </si>
  <si>
    <t>CANON ｲﾝｸﾀﾝｸ PFI-101B ﾌﾞﾙｰ</t>
  </si>
  <si>
    <t>JPFI101BK</t>
  </si>
  <si>
    <t>CANON ｲﾝｸﾀﾝｸ PFI-101BK ﾌﾞﾗｯｸ</t>
  </si>
  <si>
    <t>JPFI101C</t>
  </si>
  <si>
    <t>CANON ｲﾝｸﾀﾝｸ PFI-101C ｼｱﾝ</t>
  </si>
  <si>
    <t>JPFI101G</t>
  </si>
  <si>
    <t>CANON ｲﾝｸﾀﾝｸ PFI-101G ｸﾞﾘｰﾝ</t>
  </si>
  <si>
    <t>JPFI101GY</t>
  </si>
  <si>
    <t>CANON ｲﾝｸﾀﾝｸ PFI-101GY ｸﾞﾚｰ</t>
  </si>
  <si>
    <t>JPFI101M</t>
  </si>
  <si>
    <t>CANON ｲﾝｸﾀﾝｸ PFI-101M ﾏｾﾞﾝﾀ</t>
  </si>
  <si>
    <t>JPFI101MBK</t>
  </si>
  <si>
    <t>CANON ｲﾝｸﾀﾝｸ PFI-101MBK ﾏｯﾄﾌﾞﾗｯｸ</t>
  </si>
  <si>
    <t>JPFI101PC</t>
  </si>
  <si>
    <t>CANON ｲﾝｸﾀﾝｸ PFI-101PC ﾌｫﾄｼｱﾝ</t>
  </si>
  <si>
    <t>JPFI101PM</t>
  </si>
  <si>
    <t>CANON ｲﾝｸﾀﾝｸ PFI-101PM ﾌｫﾄﾏｾﾞﾝﾀ</t>
  </si>
  <si>
    <t>JPFI101R</t>
  </si>
  <si>
    <t>CANON ｲﾝｸﾀﾝｸ PFI-101R ﾚｯﾄﾞ</t>
  </si>
  <si>
    <t>JPFI101Y</t>
  </si>
  <si>
    <t>CANON ｲﾝｸﾀﾝｸ PFI-101Y ｲｴﾛｰ</t>
  </si>
  <si>
    <t>JPFI102BK</t>
  </si>
  <si>
    <t>CANON ｲﾝｸﾀﾝｸ PFI-102BK ﾌﾞﾗｯｸ</t>
  </si>
  <si>
    <t>JPFI102C</t>
  </si>
  <si>
    <t>CANON ｲﾝｸﾀﾝｸ PFI-102C ｼｱﾝ</t>
  </si>
  <si>
    <t>JPFI102M</t>
  </si>
  <si>
    <t>CANON ｲﾝｸﾀﾝｸ PFI-102M ﾏｾﾞﾝﾀ</t>
  </si>
  <si>
    <t>JPFI102MBK</t>
  </si>
  <si>
    <t>CANON ｲﾝｸﾀﾝｸ PFI-102MBK ﾏｯﾄﾌﾞﾗｯｸ</t>
  </si>
  <si>
    <t>JPFI102Y</t>
  </si>
  <si>
    <t>CANON ｲﾝｸﾀﾝｸ PFI-102Y ｲｴﾛｰ</t>
  </si>
  <si>
    <t>JPFI103BK</t>
  </si>
  <si>
    <t>CANON ｲﾝｸﾀﾝｸ PFI-103BK ﾌﾞﾗｯｸ</t>
  </si>
  <si>
    <t>JPFI103GY</t>
  </si>
  <si>
    <t>CANON ｲﾝｸﾀﾝｸ PFI-103GY ｸﾞﾚｰ</t>
  </si>
  <si>
    <t>JPFI103MBK</t>
  </si>
  <si>
    <t>CANON ｲﾝｸﾀﾝｸ PFI-103MBK ﾏｯﾄﾌﾞﾗｯｸ</t>
  </si>
  <si>
    <t>JPFI103PGY</t>
  </si>
  <si>
    <t>CANON ｲﾝｸﾀﾝｸ PFI-103PGY ﾌｫﾄｸﾞﾚｰ</t>
  </si>
  <si>
    <t>JPFI104M</t>
  </si>
  <si>
    <t>CANON ｲﾝｸﾀﾝｸ PFI-104M ﾏｾﾞﾝﾀ</t>
  </si>
  <si>
    <t>JPFI106BK</t>
  </si>
  <si>
    <t>CANON ｲﾝｸﾀﾝｸ PFI-106BK ﾌﾞﾗｯｸ</t>
  </si>
  <si>
    <t>JPFI106C</t>
  </si>
  <si>
    <t>CANON ｲﾝｸﾀﾝｸ PFI-106C ｼｱﾝ</t>
  </si>
  <si>
    <t>JPFI106M</t>
  </si>
  <si>
    <t>CANON ｲﾝｸﾀﾝｸ PFI-106M ﾏｾﾞﾝﾀ</t>
  </si>
  <si>
    <t>JPFI106MBK</t>
  </si>
  <si>
    <t>CANON ｲﾝｸﾀﾝｸ PFI-106MBK ﾏｯﾄﾌﾞﾗｯｸ</t>
  </si>
  <si>
    <t>JPFI106PC</t>
  </si>
  <si>
    <t>CANON ｲﾝｸﾀﾝｸ PFI-106PC　ﾌｫﾄｼｱﾝ</t>
  </si>
  <si>
    <t>JPFI106Y</t>
  </si>
  <si>
    <t>CANON ｲﾝｸﾀﾝｸ PFI-106Y ｲｴﾛｰ</t>
  </si>
  <si>
    <t>JPFI107BK</t>
  </si>
  <si>
    <t>CANON ｲﾝｸﾀﾝｸ PFI-107BK ﾌﾞﾗｯｸ</t>
  </si>
  <si>
    <t>JPFI107C</t>
  </si>
  <si>
    <t>CANON ｲﾝｸﾀﾝｸ PFI-107C ｼｱﾝ</t>
  </si>
  <si>
    <t>JPFI107M</t>
  </si>
  <si>
    <t>CANON ｲﾝｸﾀﾝｸ PFI-107M ﾏｾﾞﾝﾀ</t>
  </si>
  <si>
    <t>JPFI107MBK</t>
  </si>
  <si>
    <t>CANON ｲﾝｸﾀﾝｸ PFI-107MBK ﾏｯﾄﾌﾞﾗｯｸ</t>
  </si>
  <si>
    <t>JPFI107Y</t>
  </si>
  <si>
    <t>CANON ｲﾝｸﾀﾝｸ PFI-107Y ｲｴﾛｰ</t>
  </si>
  <si>
    <t>JPFI1100B</t>
  </si>
  <si>
    <t>CANON ｲﾝｸﾀﾝｸ PFI-1100B ﾌﾞﾙｰ</t>
  </si>
  <si>
    <t>JPFI1100C</t>
  </si>
  <si>
    <t>CANON ｲﾝｸﾀﾝｸ PFI-1100C ｼｱﾝ</t>
  </si>
  <si>
    <t>JPFI1100CO</t>
  </si>
  <si>
    <t>CANON ｲﾝｸﾀﾝｸ PFI-1100CO ｸﾛﾏｵﾌﾟﾃｨﾏｲｻﾞ</t>
  </si>
  <si>
    <t>JPFI1100GY</t>
  </si>
  <si>
    <t>CANON ｲﾝｸﾀﾝｸ PFI-1100GY ｸﾞﾚｰ</t>
  </si>
  <si>
    <t>JPFI1100M</t>
  </si>
  <si>
    <t>CANON ｲﾝｸﾀﾝｸ PFI-1100M ﾏｾﾞﾝﾀ</t>
  </si>
  <si>
    <t>JPFI1100MBK</t>
  </si>
  <si>
    <t>CANON ｲﾝｸﾀﾝｸ PFI-1100MBK ﾏｯﾄﾌﾞﾗｯｸ</t>
  </si>
  <si>
    <t>JPFI1100PBK</t>
  </si>
  <si>
    <t>CANON ｲﾝｸﾀﾝｸ PFI-1100PBK ﾌｫﾄﾌﾞﾗｯｸ</t>
  </si>
  <si>
    <t>JPFI1100PC</t>
  </si>
  <si>
    <t>CANON ｲﾝｸﾀﾝｸ PFI-1100PC ﾌｫﾄｼｱﾝ</t>
  </si>
  <si>
    <t>JPFI1100PGY</t>
  </si>
  <si>
    <t>CANON ｲﾝｸﾀﾝｸ PFI-1100PGY ﾌｫﾄｸﾞﾚｰ</t>
  </si>
  <si>
    <t>JPFI1100PM</t>
  </si>
  <si>
    <t>CANON ｲﾝｸﾀﾝｸ PFI-1100PM ﾌｫﾄﾏｾﾞﾝﾀ</t>
  </si>
  <si>
    <t>JPFI1100R</t>
  </si>
  <si>
    <t>CANON ｲﾝｸﾀﾝｸ PFI-1100R ﾚｯﾄﾞ</t>
  </si>
  <si>
    <t>JPFI1100Y</t>
  </si>
  <si>
    <t>CANON ｲﾝｸﾀﾝｸ PFI-1100Y ｲｴﾛｰ</t>
  </si>
  <si>
    <t>JPFI120BK</t>
  </si>
  <si>
    <t>CANON ｲﾝｸﾀﾝｸ PFI-120BK ﾌﾞﾗｯｸ</t>
  </si>
  <si>
    <t>JPFI120C</t>
  </si>
  <si>
    <t>CANON ｲﾝｸﾀﾝｸ PFI-120C ｼｱﾝ</t>
  </si>
  <si>
    <t>JPFI120FP</t>
  </si>
  <si>
    <t>CANON ｲﾝｸﾀﾝｸ PFI-120FP</t>
  </si>
  <si>
    <t>JPFI120M</t>
  </si>
  <si>
    <t>CANON ｲﾝｸﾀﾝｸ PFI-120M ﾏｾﾞﾝﾀ</t>
  </si>
  <si>
    <t>JPFI120MBK</t>
  </si>
  <si>
    <t>CANON ｲﾝｸﾀﾝｸ PFI-120MBK ﾏｯﾄﾌﾞﾗｯｸ</t>
  </si>
  <si>
    <t>JPFI120Y</t>
  </si>
  <si>
    <t>CANON ｲﾝｸﾀﾝｸ PFI-120Y ｲｴﾛｰ</t>
  </si>
  <si>
    <t>JPFI121M</t>
  </si>
  <si>
    <t>CANON ｲﾝｸﾀﾝｸ PFI-121M ﾏｾﾞﾝﾀ</t>
  </si>
  <si>
    <t>JPFI1300B</t>
  </si>
  <si>
    <t>CANON ｲﾝｸﾀﾝｸ PFI-1300B ﾌﾞﾙｰ</t>
  </si>
  <si>
    <t>JPFI1300C</t>
  </si>
  <si>
    <t>CANON ｲﾝｸﾀﾝｸ PFI-1300C ｼｱﾝ</t>
  </si>
  <si>
    <t>JPFI1300CO</t>
  </si>
  <si>
    <t>CANON ｲﾝｸﾀﾝｸ PFI-1300CO</t>
  </si>
  <si>
    <t>JPFI1300GY</t>
  </si>
  <si>
    <t>CANON ｲﾝｸﾀﾝｸ PFI-1300GY ｸﾞﾚｰ</t>
  </si>
  <si>
    <t>JPFI1300M</t>
  </si>
  <si>
    <t>CANON ｲﾝｸﾀﾝｸ PFI-1300M ﾏｾﾞﾝﾀ</t>
  </si>
  <si>
    <t>JPFI1300MBK</t>
  </si>
  <si>
    <t>CANON ｲﾝｸﾀﾝｸ PFI-1300MBK ﾏｯﾄﾌﾞﾗｯｸ</t>
  </si>
  <si>
    <t>JPFI1300PBK</t>
  </si>
  <si>
    <t>CANON ｲﾝｸﾀﾝｸ PFI-1300PBK ﾌｫﾄﾌﾞﾗｯｸ</t>
  </si>
  <si>
    <t>JPFI1300PC</t>
  </si>
  <si>
    <t>CANON ｲﾝｸﾀﾝｸ PFI-1300PC ﾌｫﾄｼｱﾝ</t>
  </si>
  <si>
    <t>JPFI1300PGY</t>
  </si>
  <si>
    <t>CANON ｲﾝｸﾀﾝｸ PFI-1300PGY ﾌｫﾄｸﾞﾚｰ</t>
  </si>
  <si>
    <t>JPFI1300PM</t>
  </si>
  <si>
    <t>CANON ｲﾝｸﾀﾝｸ PFI-1300PM ﾌｫﾄﾏｾﾞﾝﾀ</t>
  </si>
  <si>
    <t>JPFI1300R</t>
  </si>
  <si>
    <t>CANON ｲﾝｸﾀﾝｸ PFI-1300R ﾚｯﾄﾞ</t>
  </si>
  <si>
    <t>JPFI1300Y</t>
  </si>
  <si>
    <t>CANON ｲﾝｸﾀﾝｸ PFI-1300Y ｲｴﾛｰ</t>
  </si>
  <si>
    <t>JPFI17000B</t>
  </si>
  <si>
    <t>CANON ｲﾝｸﾀﾝｸ PFI-1700B ﾌﾞﾙｰ</t>
  </si>
  <si>
    <t>JPFI17000C</t>
  </si>
  <si>
    <t>CANON ｲﾝｸﾀﾝｸ PFI-1700C ｼｱﾝ</t>
  </si>
  <si>
    <t>JPFI17000CO</t>
  </si>
  <si>
    <t>CANON ｲﾝｸﾀﾝｸ PFI-1700CO</t>
  </si>
  <si>
    <t>JPFI17000GY</t>
  </si>
  <si>
    <t>CANON ｲﾝｸﾀﾝｸ PFI-1700GY ｸﾞﾚｰ</t>
  </si>
  <si>
    <t>JPFI17000M</t>
  </si>
  <si>
    <t>CANON ｲﾝｸﾀﾝｸ PFI-1700M ﾏｾﾞﾝﾀ</t>
  </si>
  <si>
    <t>JPFI17000MBK</t>
  </si>
  <si>
    <t>CANON ｲﾝｸﾀﾝｸ PFI-1700MBK ﾏｯﾄﾌﾞﾗｯｸ</t>
  </si>
  <si>
    <t>JPFI17000PBK</t>
  </si>
  <si>
    <t>CANON ｲﾝｸﾀﾝｸ PFI-1700PBK ﾌｫﾄﾌﾞﾗｯｸ</t>
  </si>
  <si>
    <t>JPFI17000PC</t>
  </si>
  <si>
    <t>CANON ｲﾝｸﾀﾝｸ PFI-1700PC ﾌｫﾄｼｱﾝ</t>
  </si>
  <si>
    <t>JPFI17000PGY</t>
  </si>
  <si>
    <t>CANON ｲﾝｸﾀﾝｸ PFI-1700PGY ﾌｫﾄｸﾞﾚｰ</t>
  </si>
  <si>
    <t>JPFI17000PM</t>
  </si>
  <si>
    <t>CANON ｲﾝｸﾀﾝｸ PFI-1700PM ﾌｫﾄﾏｾﾞﾝﾀ</t>
  </si>
  <si>
    <t>JPFI17000R</t>
  </si>
  <si>
    <t>CANON ｲﾝｸﾀﾝｸ PFI-1700R ﾚｯﾄﾞ</t>
  </si>
  <si>
    <t>JPFI17000Y</t>
  </si>
  <si>
    <t>CANON ｲﾝｸﾀﾝｸ PFI-1700Y ｲｴﾛｰ</t>
  </si>
  <si>
    <t>JPFI206B</t>
  </si>
  <si>
    <t>CANON ｲﾝｸﾀﾝｸ PFI-206B　ﾌﾞﾙｰ</t>
  </si>
  <si>
    <t>JPFI206BK</t>
  </si>
  <si>
    <t>CANON ｲﾝｸﾀﾝｸ PFI-206BK　ﾌﾞﾗｯｸ</t>
  </si>
  <si>
    <t>JPFI206C</t>
  </si>
  <si>
    <t>CANON ｲﾝｸﾀﾝｸ PFI-206C ｼｱﾝ</t>
  </si>
  <si>
    <t>JPFI206G</t>
  </si>
  <si>
    <t>CANON ｲﾝｸﾀﾝｸ PFI-206G　ｸﾞﾘｰﾝ</t>
  </si>
  <si>
    <t>JPFI206GY</t>
  </si>
  <si>
    <t>CANON ｲﾝｸﾀﾝｸ PFI-206GY　ｸﾞﾚｰ</t>
  </si>
  <si>
    <t>JPFI206M</t>
  </si>
  <si>
    <t>CANON ｲﾝｸﾀﾝｸ PFI-206M　ﾏｾﾞﾝﾀ</t>
  </si>
  <si>
    <t>JPFI206MBK</t>
  </si>
  <si>
    <t>CANON ｲﾝｸﾀﾝｸ PFI-206MBK　ﾏｯﾄﾌﾞﾗｯｸ</t>
  </si>
  <si>
    <t>JPFI206PC</t>
  </si>
  <si>
    <t>CANON ｲﾝｸﾀﾝｸ PFI-206PC　ﾌｫﾄｼｱﾝ</t>
  </si>
  <si>
    <t>JPFI206PGY</t>
  </si>
  <si>
    <t>CANON ｲﾝｸﾀﾝｸ PFI-206PGY　ﾌｫﾄｸﾞﾚｰ</t>
  </si>
  <si>
    <t>JPFI206PM</t>
  </si>
  <si>
    <t>CANON ｲﾝｸﾀﾝｸ PFI-206PM　ﾌｫﾄﾏｾﾞﾝﾀ</t>
  </si>
  <si>
    <t>JPFI206R</t>
  </si>
  <si>
    <t>CANON ｲﾝｸﾀﾝｸ PFI-206R ﾚｯﾄﾞ</t>
  </si>
  <si>
    <t>JPFI206Y</t>
  </si>
  <si>
    <t>CANON ｲﾝｸﾀﾝｸ PFI-206Y　ｲｴﾛｰ</t>
  </si>
  <si>
    <t>JPFI207BK</t>
  </si>
  <si>
    <t>CANON PFI-207BK ﾌﾞﾗｯｸ</t>
  </si>
  <si>
    <t>JPFI207C</t>
  </si>
  <si>
    <t>CANON PFI-207C ｼｱﾝ</t>
  </si>
  <si>
    <t>JPFI207M</t>
  </si>
  <si>
    <t>CANON PFI-207M ﾏｾﾞﾝﾀ</t>
  </si>
  <si>
    <t>JPFI207MBK</t>
  </si>
  <si>
    <t>CANON PFI-207MBK ﾏｯﾄﾌﾞﾗｯｸ</t>
  </si>
  <si>
    <t>JPFI207Y</t>
  </si>
  <si>
    <t>CANON PFI-207Y ｲｴﾛｰ</t>
  </si>
  <si>
    <t>JPFI301B</t>
  </si>
  <si>
    <t>-終息-CANON ｲﾝｸﾀﾝｸ PFI-301B ﾌﾞﾙｰ</t>
  </si>
  <si>
    <t>JPFI301BK</t>
  </si>
  <si>
    <t>-終息-CANON ｲﾝｸﾀﾝｸ PFI-301BK ﾌﾞﾗｯｸ</t>
  </si>
  <si>
    <t>JPFI301C</t>
  </si>
  <si>
    <t>-終息-CANON ｲﾝｸﾀﾝｸ PFI-301C ｼｱﾝ</t>
  </si>
  <si>
    <t>JPFI301G</t>
  </si>
  <si>
    <t>-終息-CANON ｲﾝｸﾀﾝｸ PFI-301G ｸﾞﾘｰﾝ</t>
  </si>
  <si>
    <t>JPFI301GY</t>
  </si>
  <si>
    <t>-終息-CANON ｲﾝｸﾀﾝｸ PFI-301GY ｸﾞﾚｰ</t>
  </si>
  <si>
    <t>JPFI301M</t>
  </si>
  <si>
    <t>-終息-CANON ｲﾝｸﾀﾝｸ PFI-301M ﾏｾﾞﾝﾀ</t>
  </si>
  <si>
    <t>JPFI301MBK</t>
  </si>
  <si>
    <t>-終息-CANON ｲﾝｸﾀﾝｸ PFI-301MBK ﾏｯﾄﾌﾞﾗｯｸ</t>
  </si>
  <si>
    <t>JPFI301PC</t>
  </si>
  <si>
    <t>-終息-CANON ｲﾝｸﾀﾝｸ PFI-301PC ﾌｫﾄｼｱﾝ</t>
  </si>
  <si>
    <t>JPFI301PM</t>
  </si>
  <si>
    <t>-終息-CANON ｲﾝｸﾀﾝｸ PFI-301PM ﾌｫﾄﾏｾﾞﾝﾀ</t>
  </si>
  <si>
    <t>JPFI301R</t>
  </si>
  <si>
    <t>-終息-CANON ｲﾝｸﾀﾝｸ PFI-301R ﾚｯﾄﾞ</t>
  </si>
  <si>
    <t>JPFI301Y</t>
  </si>
  <si>
    <t>-終息-CANON ｲﾝｸﾀﾝｸ PFI-301Y ｲｴﾛｰ</t>
  </si>
  <si>
    <t>JPFI303BK</t>
  </si>
  <si>
    <t>CANON PFI-303 BK ﾌﾞﾗｯｸ</t>
  </si>
  <si>
    <t>JPFI303C</t>
  </si>
  <si>
    <t>CANON PFI-303 C ｼｱﾝ</t>
  </si>
  <si>
    <t>JPFI303M</t>
  </si>
  <si>
    <t>CANON PFI-303 M ﾏｾﾞﾝﾀ</t>
  </si>
  <si>
    <t>JPFI303MBK</t>
  </si>
  <si>
    <t>CANON PFI-303 MBK ﾏｯﾄﾌﾞﾗｯｸ</t>
  </si>
  <si>
    <t>JPFI303Y</t>
  </si>
  <si>
    <t>CANON PFI-303 Y ｲｴﾛｰ</t>
  </si>
  <si>
    <t>JPFI306B</t>
  </si>
  <si>
    <t>CANON ｲﾝｸﾀﾝｸ PFI-306B ﾌﾞﾙｰ</t>
  </si>
  <si>
    <t>JPFI306BK</t>
  </si>
  <si>
    <t>CANON ｲﾝｸﾀﾝｸ PFI-306BK ﾌﾞﾗｯｸ</t>
  </si>
  <si>
    <t>JPFI306C</t>
  </si>
  <si>
    <t>CANON ｲﾝｸﾀﾝｸ PFI-306C ｼｱﾝ</t>
  </si>
  <si>
    <t>JPFI306G</t>
  </si>
  <si>
    <t>CANON ｲﾝｸﾀﾝｸ PFI-306G ｸﾞﾘｰﾝ</t>
  </si>
  <si>
    <t>JPFI306GY</t>
  </si>
  <si>
    <t>CANON ｲﾝｸﾀﾝｸ PFI-306GY ｸﾞﾚｰ</t>
  </si>
  <si>
    <t>JPFI306M</t>
  </si>
  <si>
    <t>CANON ｲﾝｸﾀﾝｸ PFI-306M ﾏｾﾞﾝﾀ</t>
  </si>
  <si>
    <t>JPFI306MBK</t>
  </si>
  <si>
    <t>CANON ｲﾝｸﾀﾝｸ PFI-306MBK ﾏｯﾄﾌﾞﾗｯｸ</t>
  </si>
  <si>
    <t>JPFI306PC</t>
  </si>
  <si>
    <t>CANON ｲﾝｸﾀﾝｸ PFI-306PC ﾌｫﾄｼｱﾝ</t>
  </si>
  <si>
    <t>JPFI306PGY</t>
  </si>
  <si>
    <t>CANON ｲﾝｸﾀﾝｸ PFI-306PGY ﾌｫﾄｸﾞﾚｰ</t>
  </si>
  <si>
    <t>JPFI306PM</t>
  </si>
  <si>
    <t>CANON ｲﾝｸﾀﾝｸ PFI-306PM ﾌｫﾄﾏｾﾞﾝﾀ</t>
  </si>
  <si>
    <t>JPFI306R</t>
  </si>
  <si>
    <t>CANON ｲﾝｸﾀﾝｸ PFI-306R ﾚｯﾄﾞ</t>
  </si>
  <si>
    <t>JPFI306Y</t>
  </si>
  <si>
    <t>CANON ｲﾝｸﾀﾝｸ PFI-306Y ｲｴﾛｰ</t>
  </si>
  <si>
    <t>JPFI311M</t>
  </si>
  <si>
    <t>CANON ｲﾝｸﾀﾝｸ PFI-311M ﾏｾﾞﾝﾀ</t>
  </si>
  <si>
    <t>JPFI320BK</t>
  </si>
  <si>
    <t>CANON ｲﾝｸﾀﾝｸ PFI-320BK ﾌﾞﾗｯｸ</t>
  </si>
  <si>
    <t>JPFI320C</t>
  </si>
  <si>
    <t>CANON ｲﾝｸﾀﾝｸ PFI-320C ｼｱﾝ</t>
  </si>
  <si>
    <t>JPFI320FP</t>
  </si>
  <si>
    <t>CANON ｲﾝｸﾀﾝｸ PFI-320FP</t>
  </si>
  <si>
    <t>JPFI320M</t>
  </si>
  <si>
    <t>CANON ｲﾝｸﾀﾝｸ PFI-320M ﾏｾﾞﾝﾀ</t>
  </si>
  <si>
    <t>JPFI320MBK</t>
  </si>
  <si>
    <t>CANON ｲﾝｸﾀﾝｸ PFI-320MBK ﾏｯﾄﾌﾞﾗｯｸ</t>
  </si>
  <si>
    <t>JPFI320Y</t>
  </si>
  <si>
    <t>CANON ｲﾝｸﾀﾝｸ PFI-320Y ｲｴﾛｰ</t>
  </si>
  <si>
    <t>JPFI321M</t>
  </si>
  <si>
    <t>CANON ｲﾝｸﾀﾝｸ PFI-321M ﾏｾﾞﾝﾀ</t>
  </si>
  <si>
    <t>JPFI703BK</t>
  </si>
  <si>
    <t>CANON PFI-703 BK ﾌﾞﾗｯｸ</t>
  </si>
  <si>
    <t>JPFI703C</t>
  </si>
  <si>
    <t>CANON PFI-703 C ｼｱﾝ</t>
  </si>
  <si>
    <t>JPFI703M</t>
  </si>
  <si>
    <t>CANON PFI-703 M ﾏｾﾞﾝﾀ</t>
  </si>
  <si>
    <t>JPFI703MBK</t>
  </si>
  <si>
    <t>CANON PFI-703 MBK ﾏｯﾄﾌﾞﾗｯｸ</t>
  </si>
  <si>
    <t>JPFI703Y</t>
  </si>
  <si>
    <t>CANON PFI-703 Y ｲｴﾛｰ</t>
  </si>
  <si>
    <t>JPFI706B</t>
  </si>
  <si>
    <t>CANON ｲﾝｸﾀﾝｸ PFI-706B ﾌﾞﾙｰ</t>
  </si>
  <si>
    <t>JPFI706BK</t>
  </si>
  <si>
    <t>CANON ｲﾝｸﾀﾝｸ PFI-706BK ﾌﾞﾗｯｸ</t>
  </si>
  <si>
    <t>JPFI706C</t>
  </si>
  <si>
    <t>CANON ｲﾝｸﾀﾝｸ PFI-706C ｼｱﾝ</t>
  </si>
  <si>
    <t>JPFI706G</t>
  </si>
  <si>
    <t>CANON ｲﾝｸﾀﾝｸ PFI-706G ｸﾞﾘｰﾝ</t>
  </si>
  <si>
    <t>JPFI706GY</t>
  </si>
  <si>
    <t>CANON ｲﾝｸﾀﾝｸ PFI-706GY ｸﾞﾚｰ</t>
  </si>
  <si>
    <t>JPFI706M</t>
  </si>
  <si>
    <t>CANON ｲﾝｸﾀﾝｸ PFI-706M ﾏｾﾞﾝﾀ</t>
  </si>
  <si>
    <t>JPFI706MBK</t>
  </si>
  <si>
    <t>CANON ｲﾝｸﾀﾝｸ PFI-706MBK ﾏｯﾄﾌﾞﾗｯｸ</t>
  </si>
  <si>
    <t>JPFI706PC</t>
  </si>
  <si>
    <t>CANON ｲﾝｸﾀﾝｸ PFI-706PC ﾌｫﾄｼｱﾝ</t>
  </si>
  <si>
    <t>JPFI706PGY</t>
  </si>
  <si>
    <t>CANON ｲﾝｸﾀﾝｸ PFI-706PGY ﾌｫﾄｸﾞﾚｰ</t>
  </si>
  <si>
    <t>JPFI706PM</t>
  </si>
  <si>
    <t>CANON ｲﾝｸﾀﾝｸ PFI-706PM ﾌｫﾄﾏｾﾞﾝﾀ</t>
  </si>
  <si>
    <t>JPFI706R</t>
  </si>
  <si>
    <t>CANON ｲﾝｸﾀﾝｸ PFI-706R ﾚｯﾄﾞ</t>
  </si>
  <si>
    <t>JPFI706Y</t>
  </si>
  <si>
    <t>CANON ｲﾝｸﾀﾝｸ PFI-706Y ｲｴﾛｰ</t>
  </si>
  <si>
    <t>JPFI711M</t>
  </si>
  <si>
    <t>CANON ｲﾝｸﾀﾝｸ PFI-711M ﾏｾﾞﾝﾀ</t>
  </si>
  <si>
    <t>JPGI1300BK</t>
  </si>
  <si>
    <t>CANON ｲﾝｸﾀﾝｸ PGI-1300BK ﾌﾞﾗｯｸ</t>
  </si>
  <si>
    <t>JPGI1300C</t>
  </si>
  <si>
    <t>CANON ｲﾝｸﾀﾝｸ PGI-1300C ｼｱﾝ</t>
  </si>
  <si>
    <t>JPGI1300M</t>
  </si>
  <si>
    <t>CANON ｲﾝｸﾀﾝｸ PGI-1300M　ﾏｾﾞﾝﾀ</t>
  </si>
  <si>
    <t>JPGI1300Y</t>
  </si>
  <si>
    <t>CANON ｲﾝｸﾀﾝｸ PGI-1300Y　ｲｴﾛｰ</t>
  </si>
  <si>
    <t>JPGI2300BK</t>
  </si>
  <si>
    <t>CANON ｲﾝｸﾀﾝｸ PGI-2300BK ﾌﾞﾗｯｸ</t>
  </si>
  <si>
    <t>JPGI2300C</t>
  </si>
  <si>
    <t>CANON ｲﾝｸﾀﾝｸ PGI-2300C ｼｱﾝ</t>
  </si>
  <si>
    <t>JPGI2300M</t>
  </si>
  <si>
    <t>CANON ｲﾝｸﾀﾝｸ PGI-2300M ﾏｾﾞﾝﾀ</t>
  </si>
  <si>
    <t>JPGI2300XLBK</t>
  </si>
  <si>
    <t>CANON ｲﾝｸﾀﾝｸ PGI-2300XLBK ﾌﾞﾗｯｸ</t>
  </si>
  <si>
    <t>JPGI2300XLC</t>
  </si>
  <si>
    <t>CANON ｲﾝｸﾀﾝｸ PGI-2300XLC ｼｱﾝ</t>
  </si>
  <si>
    <t>JPGI2300XLM</t>
  </si>
  <si>
    <t>CANON ｲﾝｸﾀﾝｸ PGI-2300XLM ﾏｾﾞﾝﾀ</t>
  </si>
  <si>
    <t>JPGI2300XLY</t>
  </si>
  <si>
    <t>CANON ｲﾝｸﾀﾝｸ PGI-2300XLY ｲｴﾛｰ</t>
  </si>
  <si>
    <t>JPGI2300Y</t>
  </si>
  <si>
    <t>CANON ｲﾝｸﾀﾝｸ PGI-2300Y ｲｴﾛｰ</t>
  </si>
  <si>
    <t>JPGIXLBK</t>
  </si>
  <si>
    <t>CANON ｲﾝｸﾀﾝｸ PGI-1300XL BK　ﾌﾞﾗｯｸ</t>
  </si>
  <si>
    <t>JPGIXLC</t>
  </si>
  <si>
    <t>CANON ｲﾝｸﾀﾝｸ PGI-1300XL C　ｼｱﾝ</t>
  </si>
  <si>
    <t>JPGIXLM</t>
  </si>
  <si>
    <t>CANON ｲﾝｸﾀﾝｸ PGI-1300XL M ﾏｾﾞﾝﾀ</t>
  </si>
  <si>
    <t>JPGIXLY</t>
  </si>
  <si>
    <t>CANON ｲﾝｸﾀﾝｸ PGI-1300XL Y　ｲｴﾛｰ</t>
  </si>
  <si>
    <t>JPPCFWA3</t>
  </si>
  <si>
    <t>PPC Paper Type FW A3 [PPCFW-A3] 1箱(1,500枚:500枚×3冊)</t>
  </si>
  <si>
    <t>※第15489-31686号</t>
  </si>
  <si>
    <t>JPPCFWA4</t>
  </si>
  <si>
    <t>PPC Paper Type FW A4 [PPCFW-A4] 1箱(5000枚:500枚x10冊)</t>
  </si>
  <si>
    <t>JPPCFWA45</t>
  </si>
  <si>
    <t>PPC Paper Type FW A4 [PPCFW-A4-5] 1箱(2500枚:500枚x5冊)</t>
  </si>
  <si>
    <t>※第15489-31718号</t>
  </si>
  <si>
    <t>JPPCFWB4</t>
  </si>
  <si>
    <t>PPC Paper Type FW B4 [PPCFW-B4] 1箱(2500枚:500枚x5冊)</t>
  </si>
  <si>
    <t>JPPCFWB5</t>
  </si>
  <si>
    <t>PPC Paper Type FW B5 [PPCFW-B5] 1箱(2500枚:500枚x5冊)</t>
  </si>
  <si>
    <t>JPRD201MX201</t>
  </si>
  <si>
    <t>NEC ｲﾝｸﾘﾎﾞﾝｶｰﾄﾘｯｼﾞ PR-D201MX2-01　黒</t>
  </si>
  <si>
    <t>JPRD700XX201</t>
  </si>
  <si>
    <t>NEC ｲﾝｸﾘﾎﾞﾝｶｰﾄﾘｯｼﾞ PR-D700XX2-01</t>
  </si>
  <si>
    <t>JPRD700XX202</t>
  </si>
  <si>
    <t>NEC 交換用ｲﾝｸﾘﾎﾞﾝ黒 2個入 PR-D700XX2-02</t>
  </si>
  <si>
    <t>JPRD700XX206</t>
  </si>
  <si>
    <t>NEC ｲﾝｸﾘﾎﾞﾝｶｰﾄﾘｯｼﾞｾｯﾄ黒 PR-D700XX2-06</t>
  </si>
  <si>
    <t>JPRD700XX211</t>
  </si>
  <si>
    <t>NEC PR-D700用ｶﾗｰｲﾝｸﾘﾎﾞﾝｶｰﾄﾘｯｼﾞ(4色)　PR-D700XX2-11</t>
  </si>
  <si>
    <t>JPRD720AE01</t>
  </si>
  <si>
    <t>NEC ｲﾝｸﾘﾎﾞﾝｶｰﾄﾘｯｼﾞ PR-D720AE-01</t>
  </si>
  <si>
    <t>JPRD720AE02</t>
  </si>
  <si>
    <t>NEC 交換用ﾘﾎﾞﾝ PR-D720AE-02</t>
  </si>
  <si>
    <t>JPRL3C73011</t>
  </si>
  <si>
    <t>NEC PR-L3C730-11 Y</t>
  </si>
  <si>
    <t>JPRL3C73012</t>
  </si>
  <si>
    <t>NEC PR-L3C730-12 M</t>
  </si>
  <si>
    <t>JPRL3C73013</t>
  </si>
  <si>
    <t>NEC PR-L3C730-13 C</t>
  </si>
  <si>
    <t>JPRL3C73014</t>
  </si>
  <si>
    <t>NEC PR-L3C730-14 BK</t>
  </si>
  <si>
    <t>JPRL3C75011</t>
  </si>
  <si>
    <t>NEC PR-L3C750-11 Y</t>
  </si>
  <si>
    <t>JPRL3C75012</t>
  </si>
  <si>
    <t>NEC PR-L3C750-12 M</t>
  </si>
  <si>
    <t>JPRL3C75013</t>
  </si>
  <si>
    <t>NEC PR-L3C750-13 C</t>
  </si>
  <si>
    <t>JPRL3C75014</t>
  </si>
  <si>
    <t>NEC PR-L3C750-14 BK</t>
  </si>
  <si>
    <t>JPRL3C750C31</t>
  </si>
  <si>
    <t>NEC PR-L3C750-31　ﾄﾞﾗﾑ</t>
  </si>
  <si>
    <t>JPRL3C750C33</t>
  </si>
  <si>
    <t>NEC PR-L3C750-33</t>
  </si>
  <si>
    <t>JPRL4600SP</t>
  </si>
  <si>
    <t>NEC PR-L4600-SP</t>
  </si>
  <si>
    <t>JPRL4C15011</t>
  </si>
  <si>
    <t>NEC PR-L4C150-11 ｲｴﾛｰ</t>
  </si>
  <si>
    <t>JPRL4C15012</t>
  </si>
  <si>
    <t>NEC PR-L4C150-12 ﾏｾﾞﾝﾀ</t>
  </si>
  <si>
    <t>JPRL4C15013</t>
  </si>
  <si>
    <t>NEC PR-L4C150-13 ｼｱﾝ</t>
  </si>
  <si>
    <t>JPRL4C15014</t>
  </si>
  <si>
    <t>NEC PR-L4C150-14 ﾌﾞﾗｯｸ</t>
  </si>
  <si>
    <t>JPRL4C15016</t>
  </si>
  <si>
    <t>NEC PR-L4C150-16 ｲｴﾛｰ(大容量) ﾄﾅｰｶｰﾄﾘｯｼﾞ</t>
  </si>
  <si>
    <t>JPRL4C15017</t>
  </si>
  <si>
    <t>NEC PR-L4C150-17 ﾏｾﾞﾝﾀ (大容量) ﾄﾅｰｶｰﾄﾘｯｼﾞ</t>
  </si>
  <si>
    <t>JPRL4C15018</t>
  </si>
  <si>
    <t>NEC PR-L4C150-18 ｼｱﾝ (大容量) ﾄﾅｰｶｰﾄﾘｯｼﾞ</t>
  </si>
  <si>
    <t>JPRL4C15019</t>
  </si>
  <si>
    <t>NEC PR-L4C150-19 ﾌﾞﾗｯｸ (大容量) ﾄﾅｰｶｰﾄﾘｯｼﾞ</t>
  </si>
  <si>
    <t>JPRL4C15031</t>
  </si>
  <si>
    <t>NEC PR-L4C150-31 ﾄﾞﾗﾑｶｰﾄﾘｯｼﾞ</t>
  </si>
  <si>
    <t>JPRL4C15033</t>
  </si>
  <si>
    <t>NEC PR-L4C150-33 ﾄﾅｰ回収ﾎﾞﾄﾙ</t>
  </si>
  <si>
    <t>JPRL5800C02</t>
  </si>
  <si>
    <t>NEC PR-L5800C-02 ﾄﾚｲﾓｼﾞｭｰﾙ</t>
  </si>
  <si>
    <t>JPRL600F11</t>
  </si>
  <si>
    <t>NEC PR-L600F-11 ｲｴﾛｰ</t>
  </si>
  <si>
    <t>JPRL600F12</t>
  </si>
  <si>
    <t>NEC PR-L600F-12 ﾏｾﾞﾝﾀ</t>
  </si>
  <si>
    <t>JPRL600F13</t>
  </si>
  <si>
    <t>NEC PR-L600F-13 ｼｱﾝ</t>
  </si>
  <si>
    <t>JPRL600F14</t>
  </si>
  <si>
    <t>NEC PR-L600F-14 ﾌﾞﾗｯｸ</t>
  </si>
  <si>
    <t>JPRL600F31</t>
  </si>
  <si>
    <t>NEC PR-L600F-31 ﾄﾞﾗﾑｶｰﾄﾘｯｼﾞ</t>
  </si>
  <si>
    <t>JPRL600F33</t>
  </si>
  <si>
    <t>NEC PR-L600F-33 ﾄﾅｰ回収ﾎﾞﾄﾙ</t>
  </si>
  <si>
    <t>JPRL720011</t>
  </si>
  <si>
    <t>NEC PR-L7200-11 ﾄﾅｰｶｰﾄﾘｯｼﾞ</t>
  </si>
  <si>
    <t>JPRL720012</t>
  </si>
  <si>
    <t>NEC PR-L7200-12 ﾄﾅｰｶｰﾄﾘｯｼﾞ</t>
  </si>
  <si>
    <t>JPRL720031</t>
  </si>
  <si>
    <t>NEC PR-L7200-31 ﾄﾞﾗﾑｶｰﾄﾘｯｼﾞ</t>
  </si>
  <si>
    <t>JPRL7700C11</t>
  </si>
  <si>
    <t>NEC PR-L7700C-11 ｲｴﾛｰ ﾄﾅｰｶｰﾄﾘｯｼﾞ</t>
  </si>
  <si>
    <t>JPRL7700C12</t>
  </si>
  <si>
    <t>NEC PR-L7700C-12 ﾏｾﾞﾝﾀ ﾄﾅｰｶｰﾄﾘｯｼﾞ</t>
  </si>
  <si>
    <t>JPRL7700C13</t>
  </si>
  <si>
    <t>NEC PR-L7700C-13 ｼｱﾝ ﾄﾅｰｶｰﾄﾘｯｼﾞ</t>
  </si>
  <si>
    <t>JPRL7700C14</t>
  </si>
  <si>
    <t>NEC PR-L7700C-14 ﾌﾞﾗｯｸ ﾄﾅｰｶｰﾄﾘｯｼﾞ</t>
  </si>
  <si>
    <t>JPRL7700C16</t>
  </si>
  <si>
    <t>NEC PR-L7700C-16 ｲｴﾛｰ ﾄﾅｰｶｰﾄﾘｯｼﾞ</t>
  </si>
  <si>
    <t>JPRL7700C17</t>
  </si>
  <si>
    <t>NEC PR-L7700C-17 ﾏｾﾞﾝﾀ ﾄﾅｰｶｰﾄﾘｯｼﾞ</t>
  </si>
  <si>
    <t>JPRL7700C18</t>
  </si>
  <si>
    <t>NEC PR-L7700C-18 ｼｱﾝ ﾄﾅｰｶｰﾄﾘｯｼﾞ</t>
  </si>
  <si>
    <t>JPRL7700C19</t>
  </si>
  <si>
    <t>NEC PR-L7700C-19 ﾌﾞﾗｯｸ ﾄﾅｰｶｰﾄﾘｯｼﾞ</t>
  </si>
  <si>
    <t>JPRL7700C31C</t>
  </si>
  <si>
    <t>NEC PR-L7700C-31 ｼｱﾝ ﾄﾞﾗﾑｶｰﾄﾘｯｼﾞ</t>
  </si>
  <si>
    <t>JPRL7700C31K</t>
  </si>
  <si>
    <t>NEC PR-L7700C-31 ﾌﾞﾗｯｸ ﾄﾞﾗﾑｶｰﾄﾘｯｼﾞ</t>
  </si>
  <si>
    <t>JPRL7700C31M</t>
  </si>
  <si>
    <t>NEC PR-L7700C-31 ﾏｾﾞﾝﾀ ﾄﾞﾗﾑｶｰﾄﾘｯｼﾞ</t>
  </si>
  <si>
    <t>JPRL7700C31Y</t>
  </si>
  <si>
    <t>NEC PR-L7700C-31 ｲｴﾛｰ ﾄﾞﾗﾑｶｰﾄﾘｯｼﾞ</t>
  </si>
  <si>
    <t>JPRL9160C11</t>
  </si>
  <si>
    <t>NEC PR-L9160C-11 ｲｴﾛｰ ﾄﾅｰｶｰﾄﾘｯｼﾞ</t>
  </si>
  <si>
    <t>JPRL9160C12</t>
  </si>
  <si>
    <t>NEC PR-L9160C-12 ﾏｾﾞﾝﾀ ﾄﾅｰｶｰﾄﾘｯｼﾞ</t>
  </si>
  <si>
    <t>JPRL9160C13</t>
  </si>
  <si>
    <t>NEC PR-L9160C-13 ｼｱﾝ ﾄﾅｰｶｰﾄﾘｯｼﾞ</t>
  </si>
  <si>
    <t>JPRL9160C14</t>
  </si>
  <si>
    <t>NEC PR-L9160C-14 ﾌﾞﾗｯｸ ﾄﾅｰｶｰﾄﾘｯｼﾞ</t>
  </si>
  <si>
    <t>JPRL9160C16</t>
  </si>
  <si>
    <t>NEC PR-L9160C-16 ｲｴﾛｰ ﾄﾅｰｶｰﾄﾘｯｼﾞ</t>
  </si>
  <si>
    <t>JPRL9160C17</t>
  </si>
  <si>
    <t>NEC PR-L9160C-17 ﾏｾﾞﾝﾀ ﾄﾅｰｶｰﾄﾘｯｼﾞ</t>
  </si>
  <si>
    <t>JPRL9160C18</t>
  </si>
  <si>
    <t>NEC PR-L9160C-18 ｼｱﾝ ﾄﾅｰｶｰﾄﾘｯｼﾞ</t>
  </si>
  <si>
    <t>JPRL9160C19</t>
  </si>
  <si>
    <t>NEC PR-L9160C-19 ﾌﾞﾗｯｸ ﾄﾅｰｶｰﾄﾘｯｼﾞ</t>
  </si>
  <si>
    <t>JPRL9560C11</t>
  </si>
  <si>
    <t>NEC PR-L9560C-11 ｲｴﾛｰ ﾄﾅｰｶｰﾄﾘｯｼﾞ</t>
  </si>
  <si>
    <t>JPRL9560C12</t>
  </si>
  <si>
    <t>NEC PR-L9560C-12 ﾏｾﾞﾝﾀ ﾄﾅｰｶｰﾄﾘｯｼﾞ</t>
  </si>
  <si>
    <t>JPRL9560C13</t>
  </si>
  <si>
    <t>NEC PR-L9560C-13 ｼｱﾝ ﾄﾅｰｶｰﾄﾘｯｼﾞ</t>
  </si>
  <si>
    <t>JPRL9560C14</t>
  </si>
  <si>
    <t>NEC PR-L9560C-14 ﾌﾞﾗｯｸ ﾄﾅｰｶｰﾄﾘｯｼﾞ</t>
  </si>
  <si>
    <t>JPRL9560C16</t>
  </si>
  <si>
    <t>NEC PR-L9560C-16 大容量ｲｴﾛｰ ﾄﾅｰｶｰﾄﾘｯｼﾞ</t>
  </si>
  <si>
    <t>JPRL9560C17</t>
  </si>
  <si>
    <t>NEC PR-L9560C-17 大容量ﾏｾﾞﾝﾀ ﾄﾅｰｶｰﾄﾘｯｼﾞ</t>
  </si>
  <si>
    <t>JPRL9560C18</t>
  </si>
  <si>
    <t>NEC PR-L9560C-18 大容量ｼｱﾝ ﾄﾅｰｶｰﾄﾘｯｼﾞ</t>
  </si>
  <si>
    <t>JPRL9560C19</t>
  </si>
  <si>
    <t>NEC PR-L9560C-19 大容量ﾌﾞﾗｯｸ ﾄﾅｰｶｰﾄﾘｯｼﾞ</t>
  </si>
  <si>
    <t>JPRT500SAAA010</t>
  </si>
  <si>
    <t>NEC PR-T500-SAAA010 ﾗﾍﾞﾙﾌﾟﾘﾝﾀ用ｶﾙﾃﾒﾓﾗﾍﾞﾙ・ﾘﾎﾞﾝT010ﾗﾍﾞﾙ10巻</t>
  </si>
  <si>
    <t>JPXBMB1</t>
  </si>
  <si>
    <t>EPSON PXBMB1 ﾒﾝﾃﾅﾝｽﾎﾞｯｸｽ</t>
  </si>
  <si>
    <t>JPXBMB2</t>
  </si>
  <si>
    <t>EPSON PXBMB2 ﾒﾝﾃﾅﾝｽﾎﾞｯｸｽ</t>
  </si>
  <si>
    <t>JPXMB3</t>
  </si>
  <si>
    <t>EPSON ﾒﾝﾃﾅﾝｽﾎﾞｯｸｽ PXMB3</t>
  </si>
  <si>
    <t>JPXMB4</t>
  </si>
  <si>
    <t>EPSON ﾒﾝﾃﾅﾝｽﾎﾞｯｸｽ PXMB4</t>
  </si>
  <si>
    <t>JPXMB5</t>
  </si>
  <si>
    <t>EPSON ﾒﾝﾃﾅﾝｽﾎﾞｯｸｽ PXMB5</t>
  </si>
  <si>
    <t>JPXMB6</t>
  </si>
  <si>
    <t>EPSON ﾒﾝﾃﾅﾝｽﾎﾞｯｸｽ PXMB6</t>
  </si>
  <si>
    <t>JPXMB7</t>
  </si>
  <si>
    <t>EPSON ﾒﾝﾃﾅﾝｽﾎﾞｯｸｽ PXMB7</t>
  </si>
  <si>
    <t>JPXMB8</t>
  </si>
  <si>
    <t>EPSON ﾒﾝﾃﾅﾝｽﾎﾞｯｸｽ PXMB8</t>
  </si>
  <si>
    <t>JPXMB9</t>
  </si>
  <si>
    <t>EPSON ﾒﾝﾃﾅﾝｽﾎﾞｯｸｽ PXMB9</t>
  </si>
  <si>
    <t>JPXMC24R12</t>
  </si>
  <si>
    <t>EPSON PXMC24R12 ﾌﾟﾛﾌｪｯｼｮﾅﾙﾌｫﾄﾍﾟｰﾊﾟｰ(薄手半光沢) 24ｲﾝﾁﾛｰﾙ 610mm×30.5m 1本</t>
  </si>
  <si>
    <t>JPXMC24R13</t>
  </si>
  <si>
    <t>EPSON PXMC24R13 薄手半光沢 24ｲﾝﾁ幅610×30.5m</t>
  </si>
  <si>
    <t>JPXMC24R9</t>
  </si>
  <si>
    <t>EPSON PXMC24R9 PXﾏｯﾄ紙ﾛｰﾙ(薄手) 24ｲﾝﾁﾛｰﾙ 610mm×40m 1本</t>
  </si>
  <si>
    <t>JPXMCA1R9</t>
  </si>
  <si>
    <t>EPSON PXﾏｯﾄ紙ﾛｰﾙ&lt;薄手&gt; 594mm×40ｍ PXMCA1R9</t>
  </si>
  <si>
    <t>JPXMCB2R12</t>
  </si>
  <si>
    <t>EPSON PXMCB2R12 ﾌﾟﾛﾌｪｯｼｮﾅﾙﾌｫﾄﾍﾟｰﾊﾟｰ(薄手半光沢) B2ﾛｰﾙ 515mm×30.5m 1本</t>
  </si>
  <si>
    <t>JPXMCB2R9</t>
  </si>
  <si>
    <t>EPSON PXMCB2R9 PXﾏｯﾄ紙ﾛｰﾙ(薄手) B2ﾛｰﾙ 515mm×40m　1本</t>
  </si>
  <si>
    <t>JPXMT3</t>
  </si>
  <si>
    <t>EPSON ﾒﾝﾃﾅﾝｽﾀﾝｸ PXMT3</t>
  </si>
  <si>
    <t>JQ3984A</t>
  </si>
  <si>
    <t>HP ﾌｭｰｻﾞｰｷｯﾄ Q3984A</t>
  </si>
  <si>
    <t>JQ5421A</t>
  </si>
  <si>
    <t>JQ7516A</t>
  </si>
  <si>
    <t>HP Q7516A ﾄﾅｰｶｰﾄﾘｯｼﾞ 黒</t>
  </si>
  <si>
    <t>JQR9001</t>
  </si>
  <si>
    <t>IBM ｲﾝｸﾘﾎﾞﾝｶｰﾄﾘｯｼﾞ QR9001 ﾌﾞﾗｯｸ 1本</t>
  </si>
  <si>
    <t>JQR9002</t>
  </si>
  <si>
    <t>IBM ﾌﾟﾘﾝﾀｽﾍﾟｱﾘﾎﾞﾝ QR9002 ﾌﾞﾗｯｸ 1箱(4本)</t>
  </si>
  <si>
    <t>JQR9006</t>
  </si>
  <si>
    <t>IBM ｲﾝｸﾘﾎﾞﾝｶｰﾄﾘｯｼﾞ QR9006 ﾌﾞﾗｯｸ 1本</t>
  </si>
  <si>
    <t>JQR9007</t>
  </si>
  <si>
    <t>IBM ｽﾍﾟｱﾘﾎﾞﾝ QR9007  1箱(4本)</t>
  </si>
  <si>
    <t>JQR9009</t>
  </si>
  <si>
    <t>IBM ﾘﾎﾞﾝｾｯﾄ QR9009 ﾌﾞﾗｯｸ</t>
  </si>
  <si>
    <t>JQR9010</t>
  </si>
  <si>
    <t>IBM ｲﾝｸﾘﾎﾞﾝｶｾｯﾄ QR9010 ﾌﾞﾗｯｸ 1本</t>
  </si>
  <si>
    <t>JQR9011</t>
  </si>
  <si>
    <t>IBM ｲﾝｸﾘﾎﾞﾝ詰め替え用 QR9011 ﾌﾞﾗｯｸ 1箱(2本)</t>
  </si>
  <si>
    <t>JRBC11001</t>
  </si>
  <si>
    <t>OKI ﾘﾎﾞﾝｶｰﾄﾘｯｼﾞ RBC-11-001</t>
  </si>
  <si>
    <t>JRBC21001</t>
  </si>
  <si>
    <t>OKI ﾘﾎﾞﾝｶｰﾄﾘｯｼﾞ RBC-21-001</t>
  </si>
  <si>
    <t>JRBC22001</t>
  </si>
  <si>
    <t>OKI ﾘﾎﾞﾝｶｰﾄﾘｯｼﾞ RBC-22-001</t>
  </si>
  <si>
    <t>JRBN00006</t>
  </si>
  <si>
    <t>OKI ｶｰﾄﾘｯｼﾞﾘﾎﾞﾝ RBN-00-006</t>
  </si>
  <si>
    <t>JRBN00007</t>
  </si>
  <si>
    <t>OKI ｶｰﾄﾘｯｼﾞﾘﾎﾞﾝ RBN-00-007</t>
  </si>
  <si>
    <t>JRCT019</t>
  </si>
  <si>
    <t>ｶｰﾃﾞｯｸｽ RCT019 単色ﾘﾎﾞﾝ 黒 FLEX 1000枚ｶｰﾄﾞ/巻 1ｾｯﾄ(2巻)</t>
  </si>
  <si>
    <t>JRFAX2</t>
  </si>
  <si>
    <t>RICOH ﾘﾌｧｯｸｽﾄﾅｰﾏｶﾞｼﾞﾝ ﾀｲﾌﾟ2 【614603】純正品</t>
  </si>
  <si>
    <t>JRFAX6000</t>
  </si>
  <si>
    <t>RICOH ﾘﾌｧｯｸｽﾄﾅｰ ﾀｲﾌﾟ6000 【339862】純正品</t>
  </si>
  <si>
    <t>JRIFAX5</t>
  </si>
  <si>
    <t>RICOH RIFAX ﾄﾅｰｶｰﾄﾘｯｼﾞ ﾀｲﾌﾟ5</t>
  </si>
  <si>
    <t>JRN6-00-008</t>
  </si>
  <si>
    <t>OKI  ｲﾝｸﾘﾎﾞﾝ RN6-00-008 ML50HU/80HU用ｲﾝｸﾘﾎﾞﾝ 黒 6本ｾｯﾄ</t>
  </si>
  <si>
    <t>JRN600003</t>
  </si>
  <si>
    <t>OKI ｻﾌﾞﾘﾎﾞﾝ RN6-00-003 1箱(6本)</t>
  </si>
  <si>
    <t>JRN600007</t>
  </si>
  <si>
    <t>OKI  ｻﾌﾞﾘﾎﾞﾝ RN6-00-007 6本ｾｯﾄ</t>
  </si>
  <si>
    <t>JRN600009</t>
  </si>
  <si>
    <t>OKI  ｲﾝｸﾘﾎﾞﾝ RN6-00-009 6本ｾｯﾄ</t>
  </si>
  <si>
    <t>JRP4575TW</t>
  </si>
  <si>
    <t>CASIO RP-4575-TW 電子ﾚｼﾞｽﾀｰ ﾛｰﾙﾍﾟｰﾊﾟｰ 幅45×直径75mm×長さ52m 芯内径12mm 1ﾊﾟｯｸ(20個)</t>
  </si>
  <si>
    <t>JRSC3D</t>
  </si>
  <si>
    <t>OKI 給紙ﾛｰﾗｾｯﾄ RS-C3D</t>
  </si>
  <si>
    <t>JRSC3E</t>
  </si>
  <si>
    <t>OKI 給紙ﾛｰﾗｾｯﾄ RS-C3E</t>
  </si>
  <si>
    <t>JRSC3RT</t>
  </si>
  <si>
    <t>OKI RS-C3RT ﾛｰﾗｰ</t>
  </si>
  <si>
    <t>JRSC4B</t>
  </si>
  <si>
    <t>OKI RS-C4B 給紙ﾛｰﾗｾｯﾄ(ﾄﾚｲ1用)</t>
  </si>
  <si>
    <t>JRSC4D</t>
  </si>
  <si>
    <t>OKI 給紙ﾛｰﾗｰｾｯﾄ RS-C4D</t>
  </si>
  <si>
    <t>JS8113</t>
  </si>
  <si>
    <t>RISO ｲﾝｸ FⅡﾀｲﾌﾟ S-8113 2本/箱(5箱ｾｯﾄ)</t>
  </si>
  <si>
    <t>JS8131</t>
  </si>
  <si>
    <t>RISO ﾏｽﾀｰ FⅡﾀｲﾌﾟAE S-8131 2本/箱</t>
  </si>
  <si>
    <t>JS8200BJP</t>
  </si>
  <si>
    <t>ﾑﾗﾃｯｸ TS8200BJPﾄﾅｰB</t>
  </si>
  <si>
    <t>JS8CC70</t>
  </si>
  <si>
    <t>EPSON ｲﾝｸｶｰﾄﾘｯｼﾞ SC8C70 ｼｱﾝ</t>
  </si>
  <si>
    <t>JSAT6CL</t>
  </si>
  <si>
    <t>EPSON ｲﾝｸｶｰﾄﾘｯｼﾞ SAT-6CL</t>
  </si>
  <si>
    <t>JSATBK</t>
  </si>
  <si>
    <t>EPSON ｲﾝｸｶｰﾄﾘｯｼﾞ SAT-BK</t>
  </si>
  <si>
    <t>JSATC</t>
  </si>
  <si>
    <t>EPSON ｲﾝｸｶｰﾄﾘｯｼﾞ SAT-C</t>
  </si>
  <si>
    <t>JSATLC</t>
  </si>
  <si>
    <t>EPSON ｲﾝｸｶｰﾄﾘｯｼﾞ SAT-LC</t>
  </si>
  <si>
    <t>JSATLM</t>
  </si>
  <si>
    <t>EPSON ｲﾝｸｶｰﾄﾘｯｼﾞ SAT-LM</t>
  </si>
  <si>
    <t>JSATM</t>
  </si>
  <si>
    <t>EPSON ｲﾝｸｶｰﾄﾘｯｼﾞ SAT-M</t>
  </si>
  <si>
    <t>JSATY</t>
  </si>
  <si>
    <t>EPSON ｲﾝｸｶｰﾄﾘｯｼﾞ SAT-Y</t>
  </si>
  <si>
    <t>JSC10BK70</t>
  </si>
  <si>
    <t>EPSON ｲﾝｸｶｰﾄﾘｯｼﾞ SC10BK70 ﾌﾞﾗｯｸ</t>
  </si>
  <si>
    <t>JSC10BK70P</t>
  </si>
  <si>
    <t>EPSON ｲﾝｸｶｰﾄﾘｯｼﾞ SC10BK70 ﾌﾞﾗｯｸ(4本ﾊﾟｯｸ)ﾕｰｻﾞｰ直送限定</t>
  </si>
  <si>
    <t>JSC10C70</t>
  </si>
  <si>
    <t>EPSON ｲﾝｸｶｰﾄﾘｯｼﾞ SC10C70 ｼｱﾝ</t>
  </si>
  <si>
    <t>JSC10C70P</t>
  </si>
  <si>
    <t>EPSON ｲﾝｸｶｰﾄﾘｯｼﾞ SC10C70 ｼｱﾝ(4本ﾊﾟｯｸ)ﾕｰｻﾞｰ直送限定</t>
  </si>
  <si>
    <t>JSC10GY70</t>
  </si>
  <si>
    <t>EPSON ｲﾝｸｶｰﾄﾘｯｼﾞ SC10GY70 ｸﾞﾚｰ</t>
  </si>
  <si>
    <t>JSC10GY70P</t>
  </si>
  <si>
    <t>EPSON ｲﾝｸｶｰﾄﾘｯｼﾞ SC10GY70 ｸﾞﾚｰ(4本ﾊﾟｯｸ)ﾕｰｻﾞｰ直送限定</t>
  </si>
  <si>
    <t>JSC10LC70</t>
  </si>
  <si>
    <t>EPSON ｲﾝｸｶｰﾄﾘｯｼﾞ SC10LC70 ﾗｲﾄｼｱﾝ</t>
  </si>
  <si>
    <t>JSC10LC70P</t>
  </si>
  <si>
    <t>EPSON ｲﾝｸｶｰﾄﾘｯｼﾞ SC10LC70 ﾗｲﾄｼｱﾝ(4本ﾊﾟｯｸ)ﾕｰｻﾞｰ直送限定</t>
  </si>
  <si>
    <t>JSC10LM70</t>
  </si>
  <si>
    <t>EPSON ｲﾝｸｶｰﾄﾘｯｼﾞ SC10LM70 ﾗｲﾄﾏｾﾞﾝﾀ</t>
  </si>
  <si>
    <t>JSC10LM70P</t>
  </si>
  <si>
    <t>EPSON ｲﾝｸｶｰﾄﾘｯｼﾞ SC10LM70 ﾗｲﾄﾏｾﾞﾝﾀ(4本ﾊﾟｯｸ)ﾕｰｻﾞｰ直送限定</t>
  </si>
  <si>
    <t>JSC10M70</t>
  </si>
  <si>
    <t>EPSON ｲﾝｸｶｰﾄﾘｯｼﾞ SC10M70 ﾏｾﾞﾝﾀ</t>
  </si>
  <si>
    <t>JSC10M70P</t>
  </si>
  <si>
    <t>EPSON ｲﾝｸｶｰﾄﾘｯｼﾞ SC10M70 ﾏｾﾞﾝﾀ(4本ﾊﾟｯｸ)ﾕｰｻﾞｰ直送限定</t>
  </si>
  <si>
    <t>JSC10MT35</t>
  </si>
  <si>
    <t>EPSON ｲﾝｸｶｰﾄﾘｯｼﾞ SC10MT35 ﾒﾀﾘｯｸｼﾙﾊﾞｰ</t>
  </si>
  <si>
    <t>JSC10OR70</t>
  </si>
  <si>
    <t>EPSON ｲﾝｸｶｰﾄﾘｯｼﾞ SC10OR70 ｵﾚﾝｼﾞ</t>
  </si>
  <si>
    <t>JSC10OR70P</t>
  </si>
  <si>
    <t>EPSON ｲﾝｸｶｰﾄﾘｯｼﾞ SC10OR70 ｵﾚﾝｼﾞ(4本ﾊﾟｯｸ)ﾕｰｻﾞｰ直送限定</t>
  </si>
  <si>
    <t>JSC10R70</t>
  </si>
  <si>
    <t>EPSON ｲﾝｸｶｰﾄﾘｯｼﾞ SC10R70 ﾚｯﾄﾞ</t>
  </si>
  <si>
    <t>JSC10R70P</t>
  </si>
  <si>
    <t>EPSON ｲﾝｸｶｰﾄﾘｯｼﾞ SC10R70 ﾚｯﾄﾞ(4本ﾊﾟｯｸ)ﾕｰｻﾞｰ直送限定</t>
  </si>
  <si>
    <t>JSC10WW60</t>
  </si>
  <si>
    <t>EPSON ｲﾝｸｶｰﾄﾘｯｼﾞ SC10WW60 ﾎﾜｲﾄ</t>
  </si>
  <si>
    <t>JSC10Y70</t>
  </si>
  <si>
    <t>EPSON ｲﾝｸｶｰﾄﾘｯｼﾞ SC10Y70 ｲｴﾛｰ</t>
  </si>
  <si>
    <t>JSC10Y70P</t>
  </si>
  <si>
    <t>EPSON ｲﾝｸｶｰﾄﾘｯｼﾞ SC10Y70 ｲｴﾛｰ(4本ﾊﾟｯｸ)ﾕｰｻﾞｰ直送限定</t>
  </si>
  <si>
    <t>JSC12BK20</t>
  </si>
  <si>
    <t>EPSON ｲﾝｸｶｰﾄﾘｯｼﾞ 200ml ﾌｫﾄﾌﾞﾗｯｸ SC12BK20</t>
  </si>
  <si>
    <t>JSC12C20</t>
  </si>
  <si>
    <t>EPSON ｲﾝｸｶｰﾄﾘｯｼﾞ ｼｱﾝ SC12C20</t>
  </si>
  <si>
    <t>JSC12GR20</t>
  </si>
  <si>
    <t>EPSON ｲﾝｸｶｰﾄﾘｯｼﾞ 200ml ｸﾞﾘｰﾝ SC12GR20</t>
  </si>
  <si>
    <t>JSC12GY20</t>
  </si>
  <si>
    <t>EPSON ｲﾝｸｶｰﾄﾘｯｼﾞ 200ml ｸﾞﾚｰ SC12GY20</t>
  </si>
  <si>
    <t>JSC12LC20</t>
  </si>
  <si>
    <t>EPSON ｲﾝｸｶｰﾄﾘｯｼﾞ 200ml ﾗｲﾄｼｱﾝ SC12LC20</t>
  </si>
  <si>
    <t>JSC12LGY20</t>
  </si>
  <si>
    <t>EPSON ｲﾝｸｶｰﾄﾘｯｼﾞ 200ml ﾗｲﾄｸﾞﾚｰ SC12LGY20</t>
  </si>
  <si>
    <t>JSC12MB20</t>
  </si>
  <si>
    <t>EPSON ｲﾝｸｶｰﾄﾘｯｼﾞ 200ml ﾏｯﾄﾌﾞﾗｯｸ SC12MB20</t>
  </si>
  <si>
    <t>JSC12OR20</t>
  </si>
  <si>
    <t>EPSON ｲﾝｸｶｰﾄﾘｯｼﾞ 200ml ｵﾚﾝｼﾞ SC12OR20</t>
  </si>
  <si>
    <t>JSC12V20</t>
  </si>
  <si>
    <t>EPSON ｲﾝｸｶｰﾄﾘｯｼﾞ ﾊﾞｲｵﾚｯﾄ 200ml　SC12V20</t>
  </si>
  <si>
    <t>JSC12VLM20</t>
  </si>
  <si>
    <t>EPSON ｲﾝｸｶｰﾄﾘｯｼﾞ 200ml ﾋﾞﾋﾞｯﾄﾞﾗｲﾄﾏｾﾞﾝﾀ SC12VLM20</t>
  </si>
  <si>
    <t>JSC12VM20</t>
  </si>
  <si>
    <t>EPSON ｲﾝｸｶｰﾄﾘｯｼﾞ ﾋﾞﾋﾞｯﾄﾏｾﾞﾝﾀ SC12VM20</t>
  </si>
  <si>
    <t>JSC12Y</t>
  </si>
  <si>
    <t>ｷﾝｸﾞｼﾞﾑ SC12Y ﾃﾌﾟﾗ PRO 12mm 黄/黒文字 1個</t>
  </si>
  <si>
    <t>JSC12Y-5P</t>
  </si>
  <si>
    <t>ｷﾝｸﾞｼﾞﾑ SC12Y-5P ﾃﾌﾟﾗ PRO 12mm 黄/黒文字 5本ｾｯﾄ</t>
  </si>
  <si>
    <t>JSC12Y20</t>
  </si>
  <si>
    <t>EPSON ｲﾝｸｶｰﾄﾘｯｼﾞ ｲｴﾛｰ SC12Y20</t>
  </si>
  <si>
    <t>JSC13CL</t>
  </si>
  <si>
    <t>EPSON ｲﾝｸｶｰﾄﾘｯｼﾞ ｼｱﾝ SC13CL</t>
  </si>
  <si>
    <t>JSC13CM</t>
  </si>
  <si>
    <t>EPSON ｲﾝｸｶｰﾄﾘｯｼﾞ ｼｱﾝ SC13CM</t>
  </si>
  <si>
    <t>JSC13MB</t>
  </si>
  <si>
    <t>EPSON ﾒﾝﾃﾅﾝｽﾎﾞｯｸｽ SC13MB</t>
  </si>
  <si>
    <t>JSC13MBL</t>
  </si>
  <si>
    <t>EPSON ｲﾝｸｶｰﾄﾘｯｼﾞ ﾏｯﾄﾌﾞﾗｯｸ SC13MBL</t>
  </si>
  <si>
    <t>JSC13MBM</t>
  </si>
  <si>
    <t>EPSON ｲﾝｸｶｰﾄﾘｯｼﾞ ﾏｯﾄﾌﾞﾗｯｸ　SC13MBM</t>
  </si>
  <si>
    <t>JSC13ML</t>
  </si>
  <si>
    <t>EPSON ｲﾝｸｶｰﾄﾘｯｼﾞ ﾏｾﾞﾝﾀ SC13ML</t>
  </si>
  <si>
    <t>JSC13MM</t>
  </si>
  <si>
    <t>EPSON ｲﾝｸｶｰﾄﾘｯｼﾞ ﾏｾﾞﾝﾀ SC13MM</t>
  </si>
  <si>
    <t>JSC13YL</t>
  </si>
  <si>
    <t>EPSON ｲﾝｸｶｰﾄﾘｯｼﾞ ｲｴﾛｰ SC13YL</t>
  </si>
  <si>
    <t>JSC13YM</t>
  </si>
  <si>
    <t>EPSON ｲﾝｸｶｰﾄﾘｯｼﾞ ｲｴﾛｰ SC13YM</t>
  </si>
  <si>
    <t>JSC14C11</t>
  </si>
  <si>
    <t>EPSON ｲﾝｸｶｰﾄﾘｯｼﾞ SC14C11 ｼｱﾝ</t>
  </si>
  <si>
    <t>JSC14C35</t>
  </si>
  <si>
    <t>EPSON ｲﾝｸｶｰﾄﾘｯｼﾞ SC14C35 ｼｱﾝ</t>
  </si>
  <si>
    <t>JSC14C70</t>
  </si>
  <si>
    <t>EPSON ｲﾝｸｶｰﾄﾘｯｼﾞ SC14C70 ｼｱﾝ</t>
  </si>
  <si>
    <t>JSC14M11</t>
  </si>
  <si>
    <t>EPSON ｲﾝｸｶｰﾄﾘｯｼﾞ SC14M11 ﾏｾﾞﾝﾀ</t>
  </si>
  <si>
    <t>JSC14M35</t>
  </si>
  <si>
    <t>EPSON ｲﾝｸｶｰﾄﾘｯｼﾞ SC14M35 ﾏｾﾞﾝﾀ</t>
  </si>
  <si>
    <t>JSC14M70</t>
  </si>
  <si>
    <t>EPSON ｲﾝｸｶｰﾄﾘｯｼﾞ SC14M70 ﾏｾﾞﾝﾀ</t>
  </si>
  <si>
    <t>JSC14MB11</t>
  </si>
  <si>
    <t>EPSON ｲﾝｸｶｰﾄﾘｯｼﾞ SC14MB11 ﾏｯﾄﾌﾞﾗｯｸ</t>
  </si>
  <si>
    <t>JSC14MB35</t>
  </si>
  <si>
    <t>EPSON ｲﾝｸｶｰﾄﾘｯｼﾞ SC14MB35 ﾏｯﾄﾌﾞﾗｯｸ</t>
  </si>
  <si>
    <t>JSC14MB70</t>
  </si>
  <si>
    <t>EPSON ｲﾝｸｶｰﾄﾘｯｼﾞ SC14MB70 ﾏｯﾄﾌﾞﾗｯｸ</t>
  </si>
  <si>
    <t>JSC14Y11</t>
  </si>
  <si>
    <t>EPSON ｲﾝｸｶｰﾄﾘｯｼﾞ SC14Y11 ｲｴﾛｰ</t>
  </si>
  <si>
    <t>JSC14Y35</t>
  </si>
  <si>
    <t>EPSON ｲﾝｸｶｰﾄﾘｯｼﾞ SC14Y35 ｲｴﾛｰ</t>
  </si>
  <si>
    <t>JSC14Y70</t>
  </si>
  <si>
    <t>EPSON ｲﾝｸｶｰﾄﾘｯｼﾞ SC14Y70 ｲｴﾛｰ</t>
  </si>
  <si>
    <t>JSC18BK15</t>
  </si>
  <si>
    <t>EPSON ｲﾝｸｶｰﾄﾘｯｼﾞ SC18BK15 ﾌﾞﾗｯｸ</t>
  </si>
  <si>
    <t>JSC18BK35</t>
  </si>
  <si>
    <t>EPSON ｲﾝｸｶｰﾄﾘｯｼﾞ ﾌﾞﾗｯｸ SC18BK35</t>
  </si>
  <si>
    <t>JSC18BK70</t>
  </si>
  <si>
    <t>EPSON ｲﾝｸｶｰﾄﾘｯｼﾞ SC18BK70　ﾌｫﾄﾌﾞﾗｯｸ</t>
  </si>
  <si>
    <t>JSC18C15</t>
  </si>
  <si>
    <t>EPSON ｲﾝｸｶｰﾄﾘｯｼﾞ SC18C15 ｼｱﾝ</t>
  </si>
  <si>
    <t>JSC18C35</t>
  </si>
  <si>
    <t>EPSON ｲﾝｸｶｰﾄﾘｯｼﾞ SC18C35 ｼｱﾝ</t>
  </si>
  <si>
    <t>JSC18C70</t>
  </si>
  <si>
    <t>EPSON ｲﾝｸｶｰﾄﾘｯｼﾞ ｼｱﾝ SC18C70</t>
  </si>
  <si>
    <t>JSC18GR15</t>
  </si>
  <si>
    <t>EPSON ｲﾝｸｶｰﾄﾘｯｼﾞ SC18GR15 ｸﾞﾘｰﾝ</t>
  </si>
  <si>
    <t>JSC18GR35</t>
  </si>
  <si>
    <t>EPSON ｲﾝｸｶｰﾄﾘｯｼﾞ ｸﾞﾘｰﾝ SC18GR35</t>
  </si>
  <si>
    <t>JSC18GR70</t>
  </si>
  <si>
    <t>EPSON ｲﾝｸｶｰﾄﾘｯｼﾞ ｸﾞﾘｰﾝ  SC18GR70</t>
  </si>
  <si>
    <t>JSC18GY15</t>
  </si>
  <si>
    <t>EPSON ｲﾝｸｶｰﾄﾘｯｼﾞ SC18GY15 ｸﾞﾚｰ</t>
  </si>
  <si>
    <t>JSC18GY35</t>
  </si>
  <si>
    <t>EPSON ｲﾝｸｶｰﾄﾘｯｼﾞ ｹﾞﾚｰ SC18GY35</t>
  </si>
  <si>
    <t>JSC18GY70</t>
  </si>
  <si>
    <t>EPSON ｲﾝｸｶｰﾄﾘｯｼﾞ ｸﾞﾚｰ SC18GY70</t>
  </si>
  <si>
    <t>JSC18LC15</t>
  </si>
  <si>
    <t>EPSON ｲﾝｸｶｰﾄﾘｯｼﾞ SC18LC15 ﾗｲﾄｼｱﾝ</t>
  </si>
  <si>
    <t>JSC18LC35</t>
  </si>
  <si>
    <t>EPSON ｲﾝｸｶｰﾄﾘｯｼﾞ ﾗｲﾄｼｱﾝ SC18LC35</t>
  </si>
  <si>
    <t>JSC18LC70</t>
  </si>
  <si>
    <t>EPSON ｲﾝｸｶｰﾄﾘｯｼﾞ ﾗｲﾄｼｱﾝ SC18LC70</t>
  </si>
  <si>
    <t>JSC18LGY15</t>
  </si>
  <si>
    <t>EPSON ｲﾝｸｶｰﾄﾘｯｼﾞ SC18LGY15 ﾗｲﾄｸﾞﾚｰ</t>
  </si>
  <si>
    <t>JSC18LGY35</t>
  </si>
  <si>
    <t>EPSON ｲﾝｸｶｰﾄﾘｯｼﾞ ﾗｲﾄｸﾞﾚｰ SC18LGY35</t>
  </si>
  <si>
    <t>JSC18LGY70</t>
  </si>
  <si>
    <t>EPSON ｲﾝｸｶｰﾄﾘｯｼﾞ ﾗｲﾄｸﾞﾚｰ SC18LGY70</t>
  </si>
  <si>
    <t>JSC18MB15</t>
  </si>
  <si>
    <t>EPSON ｲﾝｸｶｰﾄﾘｯｼﾞ SC18MB15 ﾏｯﾄﾌﾞﾗｯｸ</t>
  </si>
  <si>
    <t>JSC18MB35</t>
  </si>
  <si>
    <t>EPSON ｲﾝｸｶｰﾄﾘｯｼﾞ ﾏｯﾄﾌﾞﾗｯｸ SC18MB35</t>
  </si>
  <si>
    <t>JSC18MB70</t>
  </si>
  <si>
    <t>EPSON ｲﾝｸｶｰﾄﾘｯｼﾞ ﾏｯﾄﾌﾞﾗｯｸ SC18MB70</t>
  </si>
  <si>
    <t>JSC18OR15</t>
  </si>
  <si>
    <t>EPSON ｲﾝｸｶｰﾄﾘｯｼﾞ SC18OR15 ｵﾚﾝｼﾞ</t>
  </si>
  <si>
    <t>JSC18OR35</t>
  </si>
  <si>
    <t>EPSON ｲﾝｸｶｰﾄﾘｯｼﾞ ｵﾚﾝｼﾞ SC18OR35</t>
  </si>
  <si>
    <t>JSC18OR70</t>
  </si>
  <si>
    <t>EPSON ｲﾝｸｶｰﾄﾘｯｼﾞ ｵﾚﾝｼﾞ SC18OR70</t>
  </si>
  <si>
    <t>JSC18V15</t>
  </si>
  <si>
    <t>EPSON ｲﾝｸｶｰﾄﾘｯｼﾞ SC18V15 ﾊﾞｲｵﾚｯﾄ</t>
  </si>
  <si>
    <t>JSC18V35</t>
  </si>
  <si>
    <t>EPSON ｲﾝｸｶｰﾄﾘｯｼﾞ ﾊﾞｲｵﾚｯﾄ SC18V35</t>
  </si>
  <si>
    <t>JSC18V70</t>
  </si>
  <si>
    <t>EPSON ｲﾝｸｶｰﾄﾘｯｼﾞ  ﾊﾞｲｵﾚｯﾄ SC18V70</t>
  </si>
  <si>
    <t>JSC18VLM15</t>
  </si>
  <si>
    <t>EPSON ｲﾝｸｶｰﾄﾘｯｼﾞ SC18VLM15 ﾋﾞﾋﾞｯﾄﾗｲﾄﾏｾﾞﾝﾀ</t>
  </si>
  <si>
    <t>JSC18VLM35</t>
  </si>
  <si>
    <t>EPSON ｲﾝｸｶｰﾄﾘｯｼﾞ ﾋﾞﾋﾞｯﾄﾗｲﾄﾏｾﾞﾝﾀ SC18VLM35</t>
  </si>
  <si>
    <t>JSC18VLM70</t>
  </si>
  <si>
    <t>EPSON ｲﾝｸｶｰﾄﾘｯｼﾞ ﾋﾞﾋﾞｯﾄﾞﾗｲﾄﾏｾﾞﾝﾀ  SC18VLM70</t>
  </si>
  <si>
    <t>JSC18VM15</t>
  </si>
  <si>
    <t>EPSON ｲﾝｸｶｰﾄﾘｯｼﾞ SC18VM15 ﾋﾞﾋﾞｯﾄﾞﾏｾﾞﾝﾀ</t>
  </si>
  <si>
    <t>JSC18VM35</t>
  </si>
  <si>
    <t>EPSON ｲﾝｸｶｰﾄﾘｯｼﾞ ﾋﾞﾋﾞｯﾄﾏｾﾞﾝﾀ SC18VM35</t>
  </si>
  <si>
    <t>JSC18VM70</t>
  </si>
  <si>
    <t>EPSON ｲﾝｸｶｰﾄﾘｯｼﾞ ﾋﾞﾋﾞｯﾄﾞﾏｾﾞﾝﾀ SC18VM70</t>
  </si>
  <si>
    <t>JSC18Y</t>
  </si>
  <si>
    <t>ｷﾝｸﾞｼﾞﾑ SC18Y ﾃﾌﾟﾗ PRO 18mm 黄/黒文字 1個</t>
  </si>
  <si>
    <t>JSC18Y-5P</t>
  </si>
  <si>
    <t>ｷﾝｸﾞｼﾞﾑ SC18Y-5P ﾃﾌﾟﾗ PRO 18mm 黄/黒文字 5本ｾｯﾄ</t>
  </si>
  <si>
    <t>JSC18Y15</t>
  </si>
  <si>
    <t>EPSON ｲﾝｸｶｰﾄﾘｯｼﾞ SC18Y15 ｲｴﾛｰ</t>
  </si>
  <si>
    <t>JSC18Y35</t>
  </si>
  <si>
    <t>EPSON ｲﾝｸｶｰﾄﾘｯｼﾞ ｲｴﾛｰ SC18Y35</t>
  </si>
  <si>
    <t>JSC18Y70</t>
  </si>
  <si>
    <t>EPSON ｲﾝｸｶｰﾄﾘｯｼﾞ ｲｴﾛｰ SC18Y70</t>
  </si>
  <si>
    <t>JSC1BK11</t>
  </si>
  <si>
    <t>EPSON ｲﾝｸｶｰﾄﾘｯｼﾞ SC1BK11 ﾌｫﾄﾌﾞﾗｯｸ</t>
  </si>
  <si>
    <t>JSC1BK35</t>
  </si>
  <si>
    <t>EPSON ｲﾝｸｶｰﾄﾘｯｼﾞ SC1BK35 ﾌｫﾄﾌﾞﾗｯｸ</t>
  </si>
  <si>
    <t>JSC1BK70</t>
  </si>
  <si>
    <t>EPSON ｲﾝｸｶｰﾄﾘｯｼﾞ SC1BK70 ﾌｫﾄﾌﾞﾗｯｸ</t>
  </si>
  <si>
    <t>JSC1C11</t>
  </si>
  <si>
    <t>EPSON ｲﾝｸｶｰﾄﾘｯｼﾞ SC1C11 ｼｱﾝ</t>
  </si>
  <si>
    <t>JSC1C35</t>
  </si>
  <si>
    <t>EPSON ｲﾝｸｶｰﾄﾘｯｼﾞ SC1C35 ｼｱﾝ</t>
  </si>
  <si>
    <t>JSC1C70</t>
  </si>
  <si>
    <t>EPSON ｲﾝｸｶｰﾄﾘｯｼﾞ SC1C70 ｼｱﾝ</t>
  </si>
  <si>
    <t>JSC1M11</t>
  </si>
  <si>
    <t>EPSON ｲﾝｸｶｰﾄﾘｯｼﾞ SC1M11 ﾏｾﾞﾝﾀ</t>
  </si>
  <si>
    <t>JSC1M35</t>
  </si>
  <si>
    <t>EPSON ｲﾝｸｶｰﾄﾘｯｼﾞ SC1M35 ﾏｾﾞﾝﾀ</t>
  </si>
  <si>
    <t>JSC1M70</t>
  </si>
  <si>
    <t>EPSON ｲﾝｸｶｰﾄﾘｯｼﾞ SC1M70 ﾏｾﾞﾝﾀ</t>
  </si>
  <si>
    <t>JSC1MB</t>
  </si>
  <si>
    <t>EPSON ﾒﾝﾃﾅﾝｽﾎﾞｯｸｽ SC1MB</t>
  </si>
  <si>
    <t>JSC1MB11</t>
  </si>
  <si>
    <t>EPSON ｲﾝｸｶｰﾄﾘｯｼﾞ SC1MB11 ﾏｯﾄﾌﾞﾗｯｸ</t>
  </si>
  <si>
    <t>JSC1MB35</t>
  </si>
  <si>
    <t>EPSON ｲﾝｸｶｰﾄﾘｯｼﾞ SC1MB35 ﾏｯﾄﾌﾞﾗｯｸ</t>
  </si>
  <si>
    <t>JSC1MB70</t>
  </si>
  <si>
    <t>EPSON ｲﾝｸｶｰﾄﾘｯｼﾞ SC1MB70 ﾏｯﾄﾌﾞﾗｯｸ</t>
  </si>
  <si>
    <t>JSC1Y11</t>
  </si>
  <si>
    <t>EPSON ｲﾝｸｶｰﾄﾘｯｼﾞ SC1Y11 ｲｴﾛｰ</t>
  </si>
  <si>
    <t>JSC1Y35</t>
  </si>
  <si>
    <t>EPSON ｲﾝｸｶｰﾄﾘｯｼﾞ SC1Y35 ｲｴﾛｰ</t>
  </si>
  <si>
    <t>JSC1Y70</t>
  </si>
  <si>
    <t>EPSON ｲﾝｸｶｰﾄﾘｯｼﾞ SC1Y70 ｲｴﾛｰ</t>
  </si>
  <si>
    <t>JSC22BK15</t>
  </si>
  <si>
    <t>EPSON ｲﾝｸｶｰﾄﾘｯｼﾞ SC22BK15</t>
  </si>
  <si>
    <t>JSC22C15</t>
  </si>
  <si>
    <t>EPSON ｲﾝｸｶｰﾄﾘｯｼﾞ SC22C15</t>
  </si>
  <si>
    <t>JSC22LC15</t>
  </si>
  <si>
    <t>EPSON ｲﾝｸｶｰﾄﾘｯｼﾞ SC22LC15</t>
  </si>
  <si>
    <t>JSC22LM15</t>
  </si>
  <si>
    <t>EPSON ｲﾝｸｶｰﾄﾘｯｼﾞ SC22LM15</t>
  </si>
  <si>
    <t>JSC22M15</t>
  </si>
  <si>
    <t>EPSON ｲﾝｸｶｰﾄﾘｯｼﾞ SC22M15</t>
  </si>
  <si>
    <t>JSC22OP15</t>
  </si>
  <si>
    <t>EPSON ｲﾝｸｶｰﾄﾘｯｼﾞ SC22OP15</t>
  </si>
  <si>
    <t>JSC22Y15</t>
  </si>
  <si>
    <t>EPSON ｲﾝｸｶｰﾄﾘｯｼﾞ SC22Y15</t>
  </si>
  <si>
    <t>JSC24Y</t>
  </si>
  <si>
    <t>ｷﾝｸﾞｼﾞﾑ SC24Y ﾃﾌﾟﾗ PRO 24mm 黄/黒文字 1個</t>
  </si>
  <si>
    <t>JSC24Y-5P</t>
  </si>
  <si>
    <t>ｷﾝｸﾞｼﾞﾑ SC24Y-5P ﾃﾌﾟﾗ PRO 24mm 黄/黒文字 5本ｾｯﾄ</t>
  </si>
  <si>
    <t>JSC25BK</t>
  </si>
  <si>
    <t>EPSON ｲﾝｸｶｰﾄﾘｯｼﾞ SC25BK</t>
  </si>
  <si>
    <t>JSC25C</t>
  </si>
  <si>
    <t>EPSON ｲﾝｸｶｰﾄﾘｯｼﾞ SC25C</t>
  </si>
  <si>
    <t>JSC25M</t>
  </si>
  <si>
    <t>EPSON ｲﾝｸｶｰﾄﾘｯｼﾞ SC25M</t>
  </si>
  <si>
    <t>JSC25Y</t>
  </si>
  <si>
    <t>EPSON ｲﾝｸｶｰﾄﾘｯｼﾞ SC25Y</t>
  </si>
  <si>
    <t>JSC26BK11</t>
  </si>
  <si>
    <t>EPSON ｲﾝｸｶｰﾄﾘｯｼﾞ SC26BK11</t>
  </si>
  <si>
    <t>JSC26BK35</t>
  </si>
  <si>
    <t>EPSON ｲﾝｸｶｰﾄﾘｯｼﾞ SC26BK35</t>
  </si>
  <si>
    <t>JSC26BK70</t>
  </si>
  <si>
    <t>EPSON ｲﾝｸｶｰﾄﾘｯｼﾞ SC26BK70</t>
  </si>
  <si>
    <t>JSC26C11</t>
  </si>
  <si>
    <t>EPSON ｲﾝｸｶｰﾄﾘｯｼﾞ SC26C11</t>
  </si>
  <si>
    <t>JSC26C35</t>
  </si>
  <si>
    <t>EPSON ｲﾝｸｶｰﾄﾘｯｼﾞ SC26C35</t>
  </si>
  <si>
    <t>JSC26C70</t>
  </si>
  <si>
    <t>EPSON ｲﾝｸｶｰﾄﾘｯｼﾞ SC26C70</t>
  </si>
  <si>
    <t>JSC26GY11</t>
  </si>
  <si>
    <t>EPSON ｲﾝｸｶｰﾄﾘｯｼﾞ SC26GY11</t>
  </si>
  <si>
    <t>JSC26GY35</t>
  </si>
  <si>
    <t>EPSON ｲﾝｸｶｰﾄﾘｯｼﾞ SC26GY35</t>
  </si>
  <si>
    <t>JSC26GY70</t>
  </si>
  <si>
    <t>EPSON ｲﾝｸｶｰﾄﾘｯｼﾞ SC26GY70</t>
  </si>
  <si>
    <t>JSC26M11</t>
  </si>
  <si>
    <t>EPSON ｲﾝｸｶｰﾄﾘｯｼﾞ SC26M11</t>
  </si>
  <si>
    <t>JSC26M35</t>
  </si>
  <si>
    <t>EPSON ｲﾝｸｶｰﾄﾘｯｼﾞ SC26M35</t>
  </si>
  <si>
    <t>JSC26M70</t>
  </si>
  <si>
    <t>EPSON ｲﾝｸｶｰﾄﾘｯｼﾞ SC26M70</t>
  </si>
  <si>
    <t>JSC26MB</t>
  </si>
  <si>
    <t>EPSON ｲﾝｸｶｰﾄﾘｯｼﾞ SC26MB</t>
  </si>
  <si>
    <t>JSC26MB11</t>
  </si>
  <si>
    <t>EPSON ｲﾝｸｶｰﾄﾘｯｼﾞ SC26MB11</t>
  </si>
  <si>
    <t>JSC26MB2</t>
  </si>
  <si>
    <t>EPSON ｲﾝｸｶｰﾄﾘｯｼﾞ SC26MB2</t>
  </si>
  <si>
    <t>JSC26MB35</t>
  </si>
  <si>
    <t>EPSON ｲﾝｸｶｰﾄﾘｯｼﾞ SC26MB35</t>
  </si>
  <si>
    <t>JSC26MB70</t>
  </si>
  <si>
    <t>EPSON ｲﾝｸｶｰﾄﾘｯｼﾞ SC26MB70</t>
  </si>
  <si>
    <t>JSC26Y11</t>
  </si>
  <si>
    <t>EPSON ｲﾝｸｶｰﾄﾘｯｼﾞ SC26Y11</t>
  </si>
  <si>
    <t>JSC26Y35</t>
  </si>
  <si>
    <t>EPSON ｲﾝｸｶｰﾄﾘｯｼﾞ SC26Y35</t>
  </si>
  <si>
    <t>JSC26Y70</t>
  </si>
  <si>
    <t>EPSON ｲﾝｸｶｰﾄﾘｯｼﾞ SC26Y70</t>
  </si>
  <si>
    <t>JSC27BK11</t>
  </si>
  <si>
    <t>EPSON ｲﾝｸｶｰﾄﾘｯｼﾞ SC27BK11</t>
  </si>
  <si>
    <t>JSC27BK35</t>
  </si>
  <si>
    <t>EPSON ｲﾝｸｶｰﾄﾘｯｼﾞ SC27BK35</t>
  </si>
  <si>
    <t>JSC27BK70</t>
  </si>
  <si>
    <t>EPSON ｲﾝｸｶｰﾄﾘｯｼﾞ SC27BK70</t>
  </si>
  <si>
    <t>JSC27C11</t>
  </si>
  <si>
    <t>EPSON ｲﾝｸｶｰﾄﾘｯｼﾞ SC27C11</t>
  </si>
  <si>
    <t>JSC27C35</t>
  </si>
  <si>
    <t>EPSON ｲﾝｸｶｰﾄﾘｯｼﾞ SC27C35</t>
  </si>
  <si>
    <t>JSC27C70</t>
  </si>
  <si>
    <t>EPSON ｲﾝｸｶｰﾄﾘｯｼﾞ SC27C70</t>
  </si>
  <si>
    <t>JSC27M11</t>
  </si>
  <si>
    <t>EPSON ｲﾝｸｶｰﾄﾘｯｼﾞ SC27M11</t>
  </si>
  <si>
    <t>JSC27M35</t>
  </si>
  <si>
    <t>EPSON ｲﾝｸｶｰﾄﾘｯｼﾞ SC27M35</t>
  </si>
  <si>
    <t>JSC27M70</t>
  </si>
  <si>
    <t>EPSON ｲﾝｸｶｰﾄﾘｯｼﾞ SC27M70</t>
  </si>
  <si>
    <t>JSC27MB11</t>
  </si>
  <si>
    <t>EPSON ｲﾝｸｶｰﾄﾘｯｼﾞ SC27MB11</t>
  </si>
  <si>
    <t>JSC27MB35</t>
  </si>
  <si>
    <t>EPSON ｲﾝｸｶｰﾄﾘｯｼﾞ SC27MB35</t>
  </si>
  <si>
    <t>JSC27MB70</t>
  </si>
  <si>
    <t>EPSON ｲﾝｸｶｰﾄﾘｯｼﾞ SC27MB70</t>
  </si>
  <si>
    <t>JSC27R11</t>
  </si>
  <si>
    <t>EPSON ｲﾝｸｶｰﾄﾘｯｼﾞ SC27R11</t>
  </si>
  <si>
    <t>JSC27R35</t>
  </si>
  <si>
    <t>EPSON ｲﾝｸｶｰﾄﾘｯｼﾞ SC27R35</t>
  </si>
  <si>
    <t>JSC27R70</t>
  </si>
  <si>
    <t>EPSON ｲﾝｸｶｰﾄﾘｯｼﾞ SC27R70</t>
  </si>
  <si>
    <t>JSC27Y11</t>
  </si>
  <si>
    <t>EPSON ｲﾝｸｶｰﾄﾘｯｼﾞ SC27Y11</t>
  </si>
  <si>
    <t>JSC27Y35</t>
  </si>
  <si>
    <t>EPSON ｲﾝｸｶｰﾄﾘｯｼﾞ SC27Y35</t>
  </si>
  <si>
    <t>JSC27Y70</t>
  </si>
  <si>
    <t>EPSON ｲﾝｸｶｰﾄﾘｯｼﾞ SC27Y70</t>
  </si>
  <si>
    <t>JSC305BK</t>
  </si>
  <si>
    <t>RICOH MP ｽﾎﾟｯﾄﾄﾅｰ C305 BK</t>
  </si>
  <si>
    <t>JSC305C</t>
  </si>
  <si>
    <t>RICOH MP ｽﾎﾟｯﾄﾄﾅｰ C305C ｼｱﾝ</t>
  </si>
  <si>
    <t>JSC305M</t>
  </si>
  <si>
    <t>RICOH MP ｽﾎﾟｯﾄﾄﾅｰ C305M ﾏｾﾞﾝﾀ</t>
  </si>
  <si>
    <t>JSC305Y</t>
  </si>
  <si>
    <t>RICOH MP ｽﾎﾟｯﾄﾄﾅｰ C305Y ｲｴﾛｰ</t>
  </si>
  <si>
    <t>JSC36Y</t>
  </si>
  <si>
    <t>ｷﾝｸﾞｼﾞﾑ SC36Y ﾃﾌﾟﾗ PRO 36mm 黄/黒文字 1個</t>
  </si>
  <si>
    <t>JSC6Y</t>
  </si>
  <si>
    <t>ｷﾝｸﾞｼﾞﾑ SC6Y ﾃﾌﾟﾗ PRO 6mm 黄/黒文字 1個</t>
  </si>
  <si>
    <t>JSC6Y-5P</t>
  </si>
  <si>
    <t>ｷﾝｸﾞｼﾞﾑ SC6Y-5P ﾃﾌﾟﾗ PRO 6mm 黄/黒文字 5本ｾｯﾄ</t>
  </si>
  <si>
    <t>JSC8BK70</t>
  </si>
  <si>
    <t>EPSON ｲﾝｸｶｰﾄﾘｯｼﾞ SC8BK70 ﾌｫﾄﾌﾞﾗｯｸ</t>
  </si>
  <si>
    <t>JSC8DGY70</t>
  </si>
  <si>
    <t>EPSON ｲﾝｸｶｰﾄﾘｯｼﾞ SC8DGY70 ﾀﾞｰｸｸﾞﾚｰ</t>
  </si>
  <si>
    <t>JSC8GY70</t>
  </si>
  <si>
    <t>EPSON ｲﾝｸｶｰﾄﾘｯｼﾞ SC8GY70 ｸﾞﾚｰ</t>
  </si>
  <si>
    <t>JSC8LC70</t>
  </si>
  <si>
    <t>EPSON ｲﾝｸｶｰﾄﾘｯｼﾞ SC8LC70 ﾗｲﾄｼｱﾝ</t>
  </si>
  <si>
    <t>JSC8LGY70</t>
  </si>
  <si>
    <t>EPSON ｲﾝｸｶｰﾄﾘｯｼﾞ SC8LGY70 ﾗｲﾄｸﾞﾚｰ</t>
  </si>
  <si>
    <t>JSC8MB70</t>
  </si>
  <si>
    <t>EPSON ｲﾝｸｶｰﾄﾘｯｼﾞ SC8MB70 ﾏｯﾄﾌﾞﾗｯｸ</t>
  </si>
  <si>
    <t>JSC8VLM70</t>
  </si>
  <si>
    <t>EPSON ｲﾝｸｶｰﾄﾘｯｼﾞ SC8VLM70 ﾋﾞﾋﾞｯﾄﾗｲﾄﾏｾﾞﾝﾀ</t>
  </si>
  <si>
    <t>JSC8VM70</t>
  </si>
  <si>
    <t>EPSON ｲﾝｸｶｰﾄﾘｯｼﾞ SC8VM70 ﾋﾞﾋﾞｯﾄﾏｾﾞﾝﾀ</t>
  </si>
  <si>
    <t>JSC8Y70</t>
  </si>
  <si>
    <t>EPSON ｲﾝｸｶｰﾄﾘｯｼﾞ SC8Y70 ｲｴﾛｰ</t>
  </si>
  <si>
    <t>JSC9BK15</t>
  </si>
  <si>
    <t>EPSON ｲﾝｸｶｰﾄﾘｯｼﾞ SC9BK15 ﾌｫﾄﾌﾞﾗｯｸ</t>
  </si>
  <si>
    <t>JSC9BK35</t>
  </si>
  <si>
    <t>JSC9BK35A</t>
  </si>
  <si>
    <t>EPSON ｲﾝｸｶｰﾄﾘｯｼﾞ SC9BK35A ﾌｫﾄﾌﾞﾗｯｸ</t>
  </si>
  <si>
    <t>JSC9BK70</t>
  </si>
  <si>
    <t>JSC9BK70A</t>
  </si>
  <si>
    <t>EPSON ｲﾝｸｶｰﾄﾘｯｼﾞ SC9BK70A ﾌｫﾄﾌﾞﾗｯｸ</t>
  </si>
  <si>
    <t>JSC9C15</t>
  </si>
  <si>
    <t>EPSON ｲﾝｸｶｰﾄﾘｯｼﾞ SC9C15 ｼｱﾝ</t>
  </si>
  <si>
    <t>JSC9C35</t>
  </si>
  <si>
    <t>JSC9C35A</t>
  </si>
  <si>
    <t>EPSON ｲﾝｸｶｰﾄﾘｯｼﾞ SC9C35A ｼｱﾝ</t>
  </si>
  <si>
    <t>JSC9C70</t>
  </si>
  <si>
    <t>JSC9C70A</t>
  </si>
  <si>
    <t>EPSON ｲﾝｸｶｰﾄﾘｯｼﾞ SC9C70A ｼｱﾝ</t>
  </si>
  <si>
    <t>JSC9GR15</t>
  </si>
  <si>
    <t>EPSON ｲﾝｸｶｰﾄﾘｯｼﾞ SC9GR15 ｸﾞﾘｰﾝ</t>
  </si>
  <si>
    <t>JSC9GR35</t>
  </si>
  <si>
    <t>JSC9GR35A</t>
  </si>
  <si>
    <t>EPSON ｲﾝｸｶｰﾄﾘｯｼﾞ SC9GR35A ｸﾞﾘｰﾝ</t>
  </si>
  <si>
    <t>JSC9GR70</t>
  </si>
  <si>
    <t>JSC9GR70A</t>
  </si>
  <si>
    <t>EPSON ｲﾝｸｶｰﾄﾘｯｼﾞ SC9GR70A ｸﾞﾘｰﾝ</t>
  </si>
  <si>
    <t>JSC9GY15</t>
  </si>
  <si>
    <t>EPSON ｲﾝｸｶｰﾄﾘｯｼﾞ SC9GY15 ｸﾞﾚｰ</t>
  </si>
  <si>
    <t>JSC9GY35</t>
  </si>
  <si>
    <t>JSC9GY35A</t>
  </si>
  <si>
    <t>EPSON ｲﾝｸｶｰﾄﾘｯｼﾞ SC9GY35A ｸﾞﾚｰ</t>
  </si>
  <si>
    <t>JSC9GY70</t>
  </si>
  <si>
    <t>JSC9GY70A</t>
  </si>
  <si>
    <t>EPSON ｲﾝｸｶｰﾄﾘｯｼﾞ SC9GY70A ｸﾞﾚｰ</t>
  </si>
  <si>
    <t>JSC9LC15</t>
  </si>
  <si>
    <t>EPSON ｲﾝｸｶｰﾄﾘｯｼﾞ SC9LC15 ﾗｲﾄｼｱﾝ</t>
  </si>
  <si>
    <t>JSC9LC35</t>
  </si>
  <si>
    <t>JSC9LC35A</t>
  </si>
  <si>
    <t>EPSON ｲﾝｸｶｰﾄﾘｯｼﾞ SC9LC35A ﾗｲﾄｼｱﾝ</t>
  </si>
  <si>
    <t>JSC9LC70</t>
  </si>
  <si>
    <t>JSC9LC70A</t>
  </si>
  <si>
    <t>EPSON ｲﾝｸｶｰﾄﾘｯｼﾞ SC9LC70A ﾗｲﾄｼｱﾝ</t>
  </si>
  <si>
    <t>JSC9LGY35</t>
  </si>
  <si>
    <t>JSC9LGY35A</t>
  </si>
  <si>
    <t>EPSON ｲﾝｸｶｰﾄﾘｯｼﾞ SC9LGY35A ﾗｲﾄｸﾞﾚｰ</t>
  </si>
  <si>
    <t>JSC9LGY70</t>
  </si>
  <si>
    <t>JSC9LGY70A</t>
  </si>
  <si>
    <t>EPSON ｲﾝｸｶｰﾄﾘｯｼﾞ SC9LGY70A ﾗｲﾄｸﾞﾚｰ</t>
  </si>
  <si>
    <t>JSC9MB</t>
  </si>
  <si>
    <t>EPSON ﾒﾝﾃﾅﾝｽﾎﾞｯｸｽ SC9MB</t>
  </si>
  <si>
    <t>JSC9MB15</t>
  </si>
  <si>
    <t>EPSON ｲﾝｸｶｰﾄﾘｯｼﾞ SC9MB15 ﾏｯﾄﾌﾞﾗｯｸ</t>
  </si>
  <si>
    <t>JSC9MB35</t>
  </si>
  <si>
    <t>JSC9MB35A</t>
  </si>
  <si>
    <t>EPSON ｲﾝｸｶｰﾄﾘｯｼﾞ SC9MB35A ﾏｯﾄﾌﾞﾗｯｸ</t>
  </si>
  <si>
    <t>JSC9MB70</t>
  </si>
  <si>
    <t>JSC9MB70A</t>
  </si>
  <si>
    <t>EPSON ｲﾝｸｶｰﾄﾘｯｼﾞ SC9MB70A ﾏｯﾄﾌﾞﾗｯｸ</t>
  </si>
  <si>
    <t>JSC9OR15</t>
  </si>
  <si>
    <t>EPSON ｲﾝｸｶｰﾄﾘｯｼﾞ SC9OR15 ｵﾚﾝｼﾞ</t>
  </si>
  <si>
    <t>JSC9OR35</t>
  </si>
  <si>
    <t>JSC9OR35A</t>
  </si>
  <si>
    <t>EPSON ｲﾝｸｶｰﾄﾘｯｼﾞ SC9OR35A ｵﾚﾝｼﾞ</t>
  </si>
  <si>
    <t>JSC9OR70</t>
  </si>
  <si>
    <t>JSC9OR70A</t>
  </si>
  <si>
    <t>EPSON ｲﾝｸｶｰﾄﾘｯｼﾞ SC9OR70A ｵﾚﾝｼﾞ</t>
  </si>
  <si>
    <t>JSC9V15</t>
  </si>
  <si>
    <t>EPSON ｲﾝｸｶｰﾄﾘｯｼﾞ SC9V15 ﾊﾞｲｵﾚｯﾄ</t>
  </si>
  <si>
    <t>JSC9V35</t>
  </si>
  <si>
    <t>JSC9V35A</t>
  </si>
  <si>
    <t>EPSON ｲﾝｸｶｰﾄﾘｯｼﾞ SC9V35A ﾊﾞｲｵﾚｯﾄ</t>
  </si>
  <si>
    <t>JSC9V70</t>
  </si>
  <si>
    <t>JSC9V70A</t>
  </si>
  <si>
    <t>EPSON ｲﾝｸｶｰﾄﾘｯｼﾞ SC9V70A ﾊﾞｲｵﾚｯﾄ</t>
  </si>
  <si>
    <t>JSC9VLM15</t>
  </si>
  <si>
    <t>EPSON ｲﾝｸｶｰﾄﾘｯｼﾞ SC9VLM15 ﾋﾞﾋﾞｯﾄﾞﾗｲﾄﾏｾﾞﾝﾀ</t>
  </si>
  <si>
    <t>JSC9VLM35</t>
  </si>
  <si>
    <t>JSC9VLM35A</t>
  </si>
  <si>
    <t>EPSON ｲﾝｸｶｰﾄﾘｯｼﾞ SC9VLM35A ﾋﾞﾋﾞｯﾄﾞﾗｲﾄﾏｾﾞﾝﾀ</t>
  </si>
  <si>
    <t>JSC9VLM70</t>
  </si>
  <si>
    <t>JSC9VLM70A</t>
  </si>
  <si>
    <t>EPSON ｲﾝｸｶｰﾄﾘｯｼﾞ SC9VLM70A ﾋﾞﾋﾞｯﾄﾗｲﾄﾏｾﾞﾝﾀ</t>
  </si>
  <si>
    <t>JSC9VM15</t>
  </si>
  <si>
    <t>EPSON ｲﾝｸｶｰﾄﾘｯｼﾞ SC9VM15 ﾋﾞﾋﾞｯﾄﾞﾏｾﾞﾝﾀ</t>
  </si>
  <si>
    <t>JSC9VM35</t>
  </si>
  <si>
    <t>JSC9VM35A</t>
  </si>
  <si>
    <t>EPSON ｲﾝｸｶｰﾄﾘｯｼﾞ SC9VM35A ﾋﾞﾋﾞｯﾄﾞﾏｾﾞﾝﾀ</t>
  </si>
  <si>
    <t>JSC9VM70</t>
  </si>
  <si>
    <t>JSC9VM70A</t>
  </si>
  <si>
    <t>EPSON ｲﾝｸｶｰﾄﾘｯｼﾞ SC9VM70A ﾋﾞﾋﾞｯﾄﾏｾﾞﾝﾀ</t>
  </si>
  <si>
    <t>JSC9Y</t>
  </si>
  <si>
    <t>ｷﾝｸﾞｼﾞﾑ SC9Y ﾃﾌﾟﾗ PRO 9mm 黄/黒文字 1個</t>
  </si>
  <si>
    <t>JSC9Y-5P</t>
  </si>
  <si>
    <t>ｷﾝｸﾞｼﾞﾑ SC9Y-5P ﾃﾌﾟﾗ PRO 9mm 黄/黒文字 5本ｾｯﾄ</t>
  </si>
  <si>
    <t>JSC9Y15</t>
  </si>
  <si>
    <t>EPSON ｲﾝｸｶｰﾄﾘｯｼﾞ SC9Y15 ｲｴﾛｰ</t>
  </si>
  <si>
    <t>JSC9Y35</t>
  </si>
  <si>
    <t>JSC9Y35A</t>
  </si>
  <si>
    <t>EPSON ｲﾝｸｶｰﾄﾘｯｼﾞ SC9Y35A ｲｴﾛｰ</t>
  </si>
  <si>
    <t>JSC9Y70</t>
  </si>
  <si>
    <t>JSC9Y70A</t>
  </si>
  <si>
    <t>EPSON ｲﾝｸｶｰﾄﾘｯｼﾞ SC9Y70A ｲｴﾛｰ</t>
  </si>
  <si>
    <t>JSCMB1</t>
  </si>
  <si>
    <t>EPSON SCMB1 ﾒﾝﾃﾅﾝｽﾎﾞｯｸｽ</t>
  </si>
  <si>
    <t>JSCPADKIT1</t>
  </si>
  <si>
    <t>EPSON 吸収ﾊﾟｯﾄﾞ SCPADKIT1</t>
  </si>
  <si>
    <t>JSDM13</t>
  </si>
  <si>
    <t>富士通　ﾘﾎﾞﾝｶｾｯﾄ SDM-13 黒 0327310</t>
  </si>
  <si>
    <t>JSDM13SUB</t>
  </si>
  <si>
    <t>富士通　ｻﾌﾞｶｾｯﾄ SDM-13 黒 0327320</t>
  </si>
  <si>
    <t>JSDM14</t>
  </si>
  <si>
    <t>富士通 ﾘﾎﾞﾝｶｾｯﾄ SDM-14 黒　0327410</t>
  </si>
  <si>
    <t>JSDM14SUB</t>
  </si>
  <si>
    <t>富士通 ｻﾌﾞｶｾｯﾄ SDM-14 黒　0327420</t>
  </si>
  <si>
    <t>JSDM15</t>
  </si>
  <si>
    <t>富士通 ﾘﾎﾞﾝｶｾｯﾄ SDM-15 黒　0327510</t>
  </si>
  <si>
    <t>JSDM15SUB</t>
  </si>
  <si>
    <t>富士通 ｻﾌﾞｶｾｯﾄ SDM-15 黒　0327520</t>
  </si>
  <si>
    <t>JSDM9RC</t>
  </si>
  <si>
    <t>富士通 ﾘﾎﾞﾝｶｾｯﾄ SDM-9(2) 黒 0325970</t>
  </si>
  <si>
    <t>JSDM9SC</t>
  </si>
  <si>
    <t>富士通 ｻﾌﾞｶｾｯﾄ SDM-9(2) 黒 0325980</t>
  </si>
  <si>
    <t>JSG22001</t>
  </si>
  <si>
    <t>RICOH IPSiO SG 2200 ｲﾝｸｼﾞｪｯﾄﾌﾟﾘﾝﾀｰ【515868】</t>
  </si>
  <si>
    <t>JSG22003</t>
  </si>
  <si>
    <t>RICOH IPSiO SG 2200〔安心3年モデル〕【515869】</t>
  </si>
  <si>
    <t>JSG2300</t>
  </si>
  <si>
    <t>RICOH ｲﾝｸｼﾞｪｯﾄﾌﾟﾘﾝﾀｰ SG 2300【515941】</t>
  </si>
  <si>
    <t>JSG3120BSF</t>
  </si>
  <si>
    <t>RICOH SG 3120B SF【515858】</t>
  </si>
  <si>
    <t>JSG3120SF</t>
  </si>
  <si>
    <t>-終息-RICOH SG 3120SF ｲﾝｸｼﾞｪｯﾄ複合機 515853</t>
  </si>
  <si>
    <t>JSG32001</t>
  </si>
  <si>
    <t>RICOH IPSiO SG 3200 ｲﾝｸｼﾞｪｯﾄﾌﾟﾘﾝﾀｰ【515866】</t>
  </si>
  <si>
    <t>JSG32003</t>
  </si>
  <si>
    <t>RICOH IPSiO SG 3200〔安心3年モデル〕【515867】</t>
  </si>
  <si>
    <t>JSG3300</t>
  </si>
  <si>
    <t>RICOH ｲﾝｸｼﾞｪｯﾄﾌﾟﾘﾝﾀｰ IPSIO SG3300　【515939】</t>
  </si>
  <si>
    <t>JSG51003</t>
  </si>
  <si>
    <t>RICOH IPSiO SG 5100 [3年保証モデル]【515870】</t>
  </si>
  <si>
    <t>JSG5100F3</t>
  </si>
  <si>
    <t>RICOH IPSiO SG 5100 フロント手差し [3年保証モデル]【515871】</t>
  </si>
  <si>
    <t>JSG5200</t>
  </si>
  <si>
    <t>RICOH ｲﾝｸｼﾞｪｯﾄﾌﾟﾘﾝﾀｰ SG 5200</t>
  </si>
  <si>
    <t>JSG72003</t>
  </si>
  <si>
    <t>RICOH ｲﾝｸｼﾞｪｯﾄﾌﾟﾘﾝﾀｰ SG 7200【515898】</t>
  </si>
  <si>
    <t>JSJ12S</t>
  </si>
  <si>
    <t>ｷﾝｸﾞｼﾞﾑ SJ12S ﾃﾌﾟﾗ PROﾏｸﾞﾈｯﾄ 12mm 白/黒文字 1個</t>
  </si>
  <si>
    <t>JSJ12Y</t>
  </si>
  <si>
    <t>ｷﾝｸﾞｼﾞﾑ SJ12Y ﾃﾌﾟﾗ PROﾏｸﾞﾈｯﾄ 12mm 黄/黒文字 1個</t>
  </si>
  <si>
    <t>JSJ18S</t>
  </si>
  <si>
    <t>ｷﾝｸﾞｼﾞﾑ SJ18S ﾃﾌﾟﾗ PROﾏｸﾞﾈｯﾄ 18mm 白/黒文字 1個</t>
  </si>
  <si>
    <t>JSJ18Y</t>
  </si>
  <si>
    <t>ｷﾝｸﾞｼﾞﾑ SJ18Y ﾃﾌﾟﾗ PROﾏｸﾞﾈｯﾄ 18mm 黄/黒文字 1個</t>
  </si>
  <si>
    <t>JSJ24S</t>
  </si>
  <si>
    <t>ｷﾝｸﾞｼﾞﾑ SJ24S ﾃﾌﾟﾗ PROﾏｸﾞﾈｯﾄ 24mm 白/黒文字 1個</t>
  </si>
  <si>
    <t>JSJ24Y</t>
  </si>
  <si>
    <t>ｷﾝｸﾞｼﾞﾑ SJ24Y ﾃﾌﾟﾗ PROﾏｸﾞﾈｯﾄ 24mm 黄/黒文字 1個</t>
  </si>
  <si>
    <t>JSJIC15P</t>
  </si>
  <si>
    <t>EPSON SJIC15P　3色一体型 顔料インク</t>
  </si>
  <si>
    <t>JSJIC22PC</t>
  </si>
  <si>
    <t>EPSON ｲﾝｸｶｰﾄﾘｯｼﾞ SJIC22PC</t>
  </si>
  <si>
    <t>JSJIC22PK</t>
  </si>
  <si>
    <t>EPSON ｲﾝｸｶｰﾄﾘｯｼﾞ SJIC22PK</t>
  </si>
  <si>
    <t>JSJIC22PM</t>
  </si>
  <si>
    <t>EPSON ｲﾝｸｶｰﾄﾘｯｼﾞ SJIC22PM</t>
  </si>
  <si>
    <t>JSJIC22PY</t>
  </si>
  <si>
    <t>EPSON ｲﾝｸｶｰﾄﾘｯｼﾞ SJIC22PY</t>
  </si>
  <si>
    <t>JSJIC43PBK</t>
  </si>
  <si>
    <t>EPSON ｲﾝｸｶｰﾄﾘｯｼﾞ SJIC43P-BK</t>
  </si>
  <si>
    <t>JSJIC43PC</t>
  </si>
  <si>
    <t>EPSON ｲﾝｸｶｰﾄﾘｯｼﾞ SJIC43P-C</t>
  </si>
  <si>
    <t>JSJIC43PM</t>
  </si>
  <si>
    <t>EPSON ｲﾝｸｶｰﾄﾘｯｼﾞ SJIC43P-M</t>
  </si>
  <si>
    <t>JSJIC43PMK</t>
  </si>
  <si>
    <t>EPSON ｲﾝｸｶｰﾄﾘｯｼﾞ SJIC43P-MK</t>
  </si>
  <si>
    <t>JSJIC43PY</t>
  </si>
  <si>
    <t>EPSON ｲﾝｸｶｰﾄﾘｯｼﾞ SJIC43P-Y</t>
  </si>
  <si>
    <t>JSJMB3500</t>
  </si>
  <si>
    <t>EPSON ﾒﾝﾃﾅﾝｽﾎﾞｯｸｽ SJMB3500</t>
  </si>
  <si>
    <t>JSJMB4000</t>
  </si>
  <si>
    <t>EPSON ﾒﾝﾃﾅﾝｽﾎﾞｯｸｽ SJMB4000</t>
  </si>
  <si>
    <t>JSL10RPSD</t>
  </si>
  <si>
    <t>EPSON ｽﾋﾟﾝﾄﾞﾙ SL10RPSD</t>
  </si>
  <si>
    <t>JSLIC3BK</t>
  </si>
  <si>
    <t>EPSON ｲﾝｸｶｰﾄﾘｯｼﾞ  SLIC3BK ﾌﾞﾗｯｸ 200ml</t>
  </si>
  <si>
    <t>JSLIC3C</t>
  </si>
  <si>
    <t>EPSON ｲﾝｸｶｰﾄﾘｯｼﾞ  SLIC3C ｼｱﾝ 200ml</t>
  </si>
  <si>
    <t>JSLIC3LC</t>
  </si>
  <si>
    <t>EPSON ｲﾝｸｶｰﾄﾘｯｼﾞ  SLIC3LC ﾗｲﾄｼｱﾝ 200ml</t>
  </si>
  <si>
    <t>JSLIC3LM</t>
  </si>
  <si>
    <t>EPSON ｲﾝｸｶｰﾄﾘｯｼﾞ  SLIC3LM ﾗｲﾄﾏｾﾞﾝﾀ 200ml</t>
  </si>
  <si>
    <t>JSLIC3M</t>
  </si>
  <si>
    <t>EPSON ｲﾝｸｶｰﾄﾘｯｼﾞ  SLIC3M ﾏｾﾞﾝﾀ 200ml</t>
  </si>
  <si>
    <t>JSLIC3Y</t>
  </si>
  <si>
    <t>EPSON ｲﾝｸｶｰﾄﾘｯｼﾞ  SLIC3Y ｲｴﾛｰ 200ml</t>
  </si>
  <si>
    <t>JSLIC5BK</t>
  </si>
  <si>
    <t>EPSON ｲﾝｸﾊﾟｯｸ  SLIC5BK ﾌｫﾄﾌﾞﾗｯｸ 250ml</t>
  </si>
  <si>
    <t>JSLIC5C</t>
  </si>
  <si>
    <t>EPSON ｲﾝｸﾊﾟｯｸ  SLIC5C ｼｱﾝ 250ml</t>
  </si>
  <si>
    <t>JSLIC5LC</t>
  </si>
  <si>
    <t>EPSON ｲﾝｸﾊﾟｯｸ  SLIC5LC ﾗｲﾄｼｱﾝ 250ml</t>
  </si>
  <si>
    <t>JSLIC5LM</t>
  </si>
  <si>
    <t>EPSON ｲﾝｸﾊﾟｯｸ  SLIC5LM ﾗｲﾄﾏｾﾞﾝﾀ 250ml</t>
  </si>
  <si>
    <t>JSLIC5M</t>
  </si>
  <si>
    <t>EPSON ｲﾝｸﾊﾟｯｸ  SLIC5M ﾏｾﾞﾝﾀ 250ml</t>
  </si>
  <si>
    <t>JSLIC5Y</t>
  </si>
  <si>
    <t>EPSON ｲﾝｸﾊﾟｯｸ  SLIC5Y ｲｴﾛｰ 250ml</t>
  </si>
  <si>
    <t>JSLMB1</t>
  </si>
  <si>
    <t>EPSON ﾒﾝﾃﾅﾝｽﾎﾞｯｸｽ SLMB1</t>
  </si>
  <si>
    <t>JSLRG127N</t>
  </si>
  <si>
    <t>EPSON SLRG127N SureLab用 ﾛｰﾙﾍﾟｰﾊﾟｰ 127mm光沢ﾛｰﾙ紙標準65M/4本入</t>
  </si>
  <si>
    <t>JSLRG210N</t>
  </si>
  <si>
    <t>EPSON SLRG210N SureLab用 ﾛｰﾙﾍﾟｰﾊﾟｰ 210mm光沢ﾛｰﾙ紙標準65M/2本入</t>
  </si>
  <si>
    <t>JSP2100</t>
  </si>
  <si>
    <t>RICOH SPﾄﾅｰｶｰﾄﾘｯｼﾞ　2100　【512503】</t>
  </si>
  <si>
    <t>JSP2100H</t>
  </si>
  <si>
    <t>RICOH SPﾄﾅｰｶｰﾄﾘｯｼﾞ　2100H　【512504】</t>
  </si>
  <si>
    <t>JSP2300</t>
  </si>
  <si>
    <t>RICOH SPﾄﾅｰｶｰﾄﾘｯｼﾞ　2300　【513829】</t>
  </si>
  <si>
    <t>JSP2300H</t>
  </si>
  <si>
    <t>RICOH SPﾄﾅｰｶｰﾄﾘｯｼﾞ　2300H　【513828】</t>
  </si>
  <si>
    <t>JSP2300L</t>
  </si>
  <si>
    <t>RICOH ﾚｰｻﾞｰﾌﾟﾘﾝﾀｰ SP 2300L【513824】</t>
  </si>
  <si>
    <t>JSP2300SFL</t>
  </si>
  <si>
    <t>RICOH ﾚｰｻﾞｰ 複合機 SP 2300SFL【513822】</t>
  </si>
  <si>
    <t>JSP3400</t>
  </si>
  <si>
    <t>RICOH SPﾄﾅｰｶｰﾄﾘｯｼﾞ　3400　【308571】</t>
  </si>
  <si>
    <t>JSP3400H</t>
  </si>
  <si>
    <t>RICOH SPﾄﾅｰｶｰﾄﾘｯｼﾞ　3400H　【308572】</t>
  </si>
  <si>
    <t>JSP3400L</t>
  </si>
  <si>
    <t>RICOH SPﾄﾅｰｶｰﾄﾘｯｼﾞ　3400L</t>
  </si>
  <si>
    <t>JSP3700</t>
  </si>
  <si>
    <t>RICOH SPﾄﾅｰ　3700　【513827】</t>
  </si>
  <si>
    <t>JSP3700H</t>
  </si>
  <si>
    <t>RICOH SPﾄﾅｰ　3700H　【513826】</t>
  </si>
  <si>
    <t>JSP3700SF</t>
  </si>
  <si>
    <t>RICOH ﾚｰｻﾞｰ 複合機 SP 3700SF【513821】</t>
  </si>
  <si>
    <t>JSP3700SP</t>
  </si>
  <si>
    <t>RICOH　SP3700SF 増設ﾄﾚｲ(250枚)【513825】</t>
  </si>
  <si>
    <t>JSP4200</t>
  </si>
  <si>
    <t>RICOH SPﾄﾅｰ　4200　【308534】</t>
  </si>
  <si>
    <t>JSP4200H</t>
  </si>
  <si>
    <t>RICOH SPﾄﾅｰ　4200H　【308535】</t>
  </si>
  <si>
    <t>JSP4500DR</t>
  </si>
  <si>
    <t>RICOH SPﾄﾞﾗﾑ　4500　【512560】</t>
  </si>
  <si>
    <t>JSP4500L</t>
  </si>
  <si>
    <t>RICOH SPﾄﾅｰ　4500L　【600546】</t>
  </si>
  <si>
    <t>JSP6100</t>
  </si>
  <si>
    <t>RICOH  SPﾄﾅｰｶｰﾄﾞﾘｯｼﾞ6100　【515316】</t>
  </si>
  <si>
    <t>JSP6100RE</t>
  </si>
  <si>
    <t>RICOH SPﾄﾅｰｶｰﾄﾘｯｼﾞ6100　REﾒｰｶｰﾘｻｲｸﾙ</t>
  </si>
  <si>
    <t>JSP6400</t>
  </si>
  <si>
    <t>RICOH SPﾄﾅｰｶｰﾄﾘｯｼﾞ6400 【600573】</t>
  </si>
  <si>
    <t>JSP6400DR</t>
  </si>
  <si>
    <t>RICOH SPﾄﾞﾗﾑﾕﾆｯﾄ6400  【512684】</t>
  </si>
  <si>
    <t>JSP6400H</t>
  </si>
  <si>
    <t>RICOH SPﾄﾅｰｶｰﾄﾘｯｼﾞ6400H 【600572】</t>
  </si>
  <si>
    <t>JSP6400S</t>
  </si>
  <si>
    <t>RICOH ﾄﾞﾗﾑﾕﾆｯﾄ6400S【512887】</t>
  </si>
  <si>
    <t>JSP8200</t>
  </si>
  <si>
    <t>RICOH  SPﾄﾅｰ8200 【515503】</t>
  </si>
  <si>
    <t>JSP8200DR</t>
  </si>
  <si>
    <t>RICOH  SPﾄﾞﾗﾑ8200　【515505】</t>
  </si>
  <si>
    <t>JSP8300</t>
  </si>
  <si>
    <t>RICOH SPﾄﾞﾗﾑﾕﾆｯﾄ8300【306563】</t>
  </si>
  <si>
    <t>JSP8400</t>
  </si>
  <si>
    <t>RICOH SPﾄﾅｰ8400 【600652】</t>
  </si>
  <si>
    <t>JSP8400DR</t>
  </si>
  <si>
    <t>RICOH SPﾄﾞﾗﾑ8400 【513721】</t>
  </si>
  <si>
    <t>JSPC2503C</t>
  </si>
  <si>
    <t>RICOH MP ｽﾎﾟｯﾄﾄﾅｰ ｼｱﾝ C2503 3K仕様</t>
  </si>
  <si>
    <t>JSPC2503K</t>
  </si>
  <si>
    <t>RICOH MP ｽﾎﾟｯﾄﾄﾅｰ ﾌﾞﾗｯｸ C2503 10K仕様</t>
  </si>
  <si>
    <t>JSPC2503M</t>
  </si>
  <si>
    <t>RICOH MP ｽﾎﾟｯﾄﾄﾅｰ ﾏｾﾞﾝﾀ C2503 3K仕様</t>
  </si>
  <si>
    <t>JSPC2503Y</t>
  </si>
  <si>
    <t>RICOH MP ｽﾎﾟｯﾄﾄﾅｰ ｲｴﾛｰ C2503 3K仕様</t>
  </si>
  <si>
    <t>JSPC260SFL</t>
  </si>
  <si>
    <t>RICOH ﾚｰｻﾞｰ 複合機 SP C260SFL【513727】</t>
  </si>
  <si>
    <t>JSPC730SBK</t>
  </si>
  <si>
    <t>RICOH SPﾄﾅｰ ﾌﾞﾗｯｸ C730S</t>
  </si>
  <si>
    <t>JSPC730SC</t>
  </si>
  <si>
    <t>RICOH SPﾄﾅｰ ｼｱﾝ C730S</t>
  </si>
  <si>
    <t>JSPC730SM</t>
  </si>
  <si>
    <t>RICOH SPﾄﾅｰ ﾏｾﾞﾝﾀ C730S</t>
  </si>
  <si>
    <t>JSPC730SY</t>
  </si>
  <si>
    <t>RICOH SPﾄﾅｰ ｲｴﾛｰ C730S</t>
  </si>
  <si>
    <t>JSS12KL</t>
  </si>
  <si>
    <t>ｷﾝｸﾞｼﾞﾑ SS12KL ﾃﾌﾟﾗ PROﾛﾝｸﾞ 12mm 白/黒文字 1個</t>
  </si>
  <si>
    <t>JSS12KL-5P</t>
  </si>
  <si>
    <t>ｷﾝｸﾞｼﾞﾑ SS12KL-5P ﾃﾌﾟﾗ PROﾛﾝｸﾞ 12mm 白/黒文字 5本ｾｯﾄ</t>
  </si>
  <si>
    <t>JSS18KL</t>
  </si>
  <si>
    <t>ｷﾝｸﾞｼﾞﾑ SS18KL ﾃﾌﾟﾗ PROﾛﾝｸﾞ 18mm 白/黒文字 1個</t>
  </si>
  <si>
    <t>JSS18KL-5P</t>
  </si>
  <si>
    <t>ｷﾝｸﾞｼﾞﾑ SS18KL-5P ﾃﾌﾟﾗ PROﾛﾝｸﾞ 18mm 白/黒文字 5本ｾｯﾄ</t>
  </si>
  <si>
    <t>JSS24KL</t>
  </si>
  <si>
    <t>ｷﾝｸﾞｼﾞﾑ SS24KL ﾃﾌﾟﾗ PROﾛﾝｸﾞ 24mm 白/黒文字 1個</t>
  </si>
  <si>
    <t>JSS24KL-5P</t>
  </si>
  <si>
    <t>ｷﾝｸﾞｼﾞﾑ SS24KL-5P ﾃﾌﾟﾗ PROﾛﾝｸﾞ 24mm 白/黒文字 5本ｾｯﾄ</t>
  </si>
  <si>
    <t>JSS36K</t>
  </si>
  <si>
    <t>ｷﾝｸﾞｼﾞﾑ SS36K ﾃﾌﾟﾗ PRO 36mm 白/黒文字 1個</t>
  </si>
  <si>
    <t>JSS6K</t>
  </si>
  <si>
    <t>ｷﾝｸﾞｼﾞﾑ SS6K ﾃﾌﾟﾗ PRO 6mm 白/黒文字 1個</t>
  </si>
  <si>
    <t>JSS6K-5P</t>
  </si>
  <si>
    <t>ｷﾝｸﾞｼﾞﾑ SS6K-5P ﾃﾌﾟﾗ PRO 6mm 白/黒文字 5本ｾｯﾄ</t>
  </si>
  <si>
    <t>JSS9K</t>
  </si>
  <si>
    <t>ｷﾝｸﾞｼﾞﾑ SS9K ﾃﾌﾟﾗ PRO 9mm 白/黒文字 1個</t>
  </si>
  <si>
    <t>JSS9K-5P</t>
  </si>
  <si>
    <t>ｷﾝｸﾞｼﾞﾑ SS9K-5P ﾃﾌﾟﾗ PRO 9mm 白/黒文字 5本ｾｯﾄ</t>
  </si>
  <si>
    <t>JST12K</t>
  </si>
  <si>
    <t>ｷﾝｸﾞｼﾞﾑ ST12K ﾃﾌﾟﾗ PRO 12mm 透明/黒文字 1個</t>
  </si>
  <si>
    <t>JST12K-5P</t>
  </si>
  <si>
    <t>ｷﾝｸﾞｼﾞﾑ ST12K-5P ﾃﾌﾟﾗ PRO 12mm 透明/黒文字 5本ｾｯﾄ</t>
  </si>
  <si>
    <t>JSZ11395</t>
  </si>
  <si>
    <t>OKI  ｲﾝｸﾘﾎﾞﾝ SZ-11395 6本ｾｯﾄ</t>
  </si>
  <si>
    <t>JT0B27A</t>
  </si>
  <si>
    <t>HP 982X ｲﾝｸｶｰﾄﾘｯｼﾞ T0B27A ｼｱﾝ</t>
  </si>
  <si>
    <t>JT0B28A</t>
  </si>
  <si>
    <t>HP 982X ｲﾝｸｶｰﾄﾘｯｼﾞ T0B28A ﾏｾﾞﾝﾀ</t>
  </si>
  <si>
    <t>JT0B30A</t>
  </si>
  <si>
    <t>HP 982X ｲﾝｸｶｰﾄﾘｯｼﾞ T0B30A 黒</t>
  </si>
  <si>
    <t>JT50063</t>
  </si>
  <si>
    <t>RICOH ｻﾌﾞﾘﾎﾞﾝ(KD20C/38A/55A用) T50063</t>
  </si>
  <si>
    <t>JT50091</t>
  </si>
  <si>
    <t>RICOH  KD55AH用ｻﾌﾞﾘﾎﾞﾝ T50091</t>
  </si>
  <si>
    <t>JT50092</t>
  </si>
  <si>
    <t>RICOH  KD55AH用ﾘﾎﾞﾝ T50092</t>
  </si>
  <si>
    <t>JT5018JS</t>
  </si>
  <si>
    <t>-終息-東芝 T-5018J-S　50K仕様</t>
  </si>
  <si>
    <t>JT5070JS</t>
  </si>
  <si>
    <t>東芝 T-5070J-S 2508A用ﾄﾅｰ ※在庫限り終息</t>
  </si>
  <si>
    <t>JT6M05AA</t>
  </si>
  <si>
    <t>HP 905XL ｲﾝｸｶｰﾄﾘｯｼﾞ T6M05AA ｼｱﾝ</t>
  </si>
  <si>
    <t>JT6M09AA</t>
  </si>
  <si>
    <t>HP 905XL ｲﾝｸｶｰﾄﾘｯｼﾞ T6M09AA ﾏｾﾞﾝﾀ</t>
  </si>
  <si>
    <t>JT6M13AA</t>
  </si>
  <si>
    <t>HP 905XL ｲﾝｸｶｰﾄﾘｯｼﾞ T6M13AA ｲｴﾛｰ</t>
  </si>
  <si>
    <t>JT6M17AA</t>
  </si>
  <si>
    <t>HP 905XL ｲﾝｸｶｰﾄﾘｯｼﾞ T6M17AA 黒</t>
  </si>
  <si>
    <t>JT6N09AA</t>
  </si>
  <si>
    <t>HP 804 ｲﾝｸｶｰﾄﾘｯｼﾞ T6N09AA ｶﾗｰ</t>
  </si>
  <si>
    <t>JT6N10AA</t>
  </si>
  <si>
    <t>HP 804 ｲﾝｸｶｰﾄﾘｯｼﾞ T6N10AA 黒</t>
  </si>
  <si>
    <t>JT6N11AA</t>
  </si>
  <si>
    <t>HP 804XL ｲﾝｸｶｰﾄﾘｯｼﾞ T6N11AA ｶﾗｰ 増量</t>
  </si>
  <si>
    <t>JT6N12AA</t>
  </si>
  <si>
    <t>HP 804XL ｲﾝｸｶｰﾄﾘｯｼﾞ T6N12AA 黒 増量</t>
  </si>
  <si>
    <t>JTBFC505J</t>
  </si>
  <si>
    <t>TOSHIBA  廃ﾄﾅｰﾎﾞｯｸｽ TB-FC505J</t>
  </si>
  <si>
    <t>JTC-C3BC1</t>
  </si>
  <si>
    <t>OKI TC-C3BC1</t>
  </si>
  <si>
    <t>JTC-C3BC2</t>
  </si>
  <si>
    <t>OKI TC-C3BC2</t>
  </si>
  <si>
    <t>JTC-C3BK1</t>
  </si>
  <si>
    <t>OKI TC-C3BK1</t>
  </si>
  <si>
    <t>JTC-C3BK2</t>
  </si>
  <si>
    <t>OKI TC-C3BK2</t>
  </si>
  <si>
    <t>JTC-C3BM1</t>
  </si>
  <si>
    <t>OKI TC-C3BM1</t>
  </si>
  <si>
    <t>JTC-C3BM2</t>
  </si>
  <si>
    <t>OKI TC-C3BM2</t>
  </si>
  <si>
    <t>JTC-C3BY1</t>
  </si>
  <si>
    <t>OKI TC-C3BY1</t>
  </si>
  <si>
    <t>JTC-C3BY2</t>
  </si>
  <si>
    <t>OKI TC-C3BY2</t>
  </si>
  <si>
    <t>JTC-C4AC1</t>
  </si>
  <si>
    <t>OKI TC-C4AC1</t>
  </si>
  <si>
    <t>JTC-C4AC2</t>
  </si>
  <si>
    <t>OKI TC-C4AC2</t>
  </si>
  <si>
    <t>JTC-C4AK1</t>
  </si>
  <si>
    <t>OKI TC-C4AK1</t>
  </si>
  <si>
    <t>JTC-C4AK2</t>
  </si>
  <si>
    <t>OKI TC-C4AK2</t>
  </si>
  <si>
    <t>JTC-C4AM1</t>
  </si>
  <si>
    <t>OKI TC-C4AM1</t>
  </si>
  <si>
    <t>JTC-C4AM2</t>
  </si>
  <si>
    <t>OKI TC-C4AM2</t>
  </si>
  <si>
    <t>JTC-C4AY1</t>
  </si>
  <si>
    <t>OKI TC-C4AY1</t>
  </si>
  <si>
    <t>JTC-C4AY2</t>
  </si>
  <si>
    <t>OKI TC-C4AY2</t>
  </si>
  <si>
    <t>JTC-C4BC2</t>
  </si>
  <si>
    <t>OKI TC-C4BC2</t>
  </si>
  <si>
    <t>JTC-C4BK2</t>
  </si>
  <si>
    <t>OKI TC-C4BK2</t>
  </si>
  <si>
    <t>JTC-C4BM2</t>
  </si>
  <si>
    <t>OKI TC-C4BM2</t>
  </si>
  <si>
    <t>JTC-C4BY2</t>
  </si>
  <si>
    <t>OKI TC-C4BY2</t>
  </si>
  <si>
    <t>JTC-C4CC1</t>
  </si>
  <si>
    <t>OKI TC-C4CC1</t>
  </si>
  <si>
    <t>JTC-C4CC2</t>
  </si>
  <si>
    <t>OKI TC-C4CC2</t>
  </si>
  <si>
    <t>JTC-C4CK1</t>
  </si>
  <si>
    <t>OKI TC-C4CK1</t>
  </si>
  <si>
    <t>JTC-C4CK2</t>
  </si>
  <si>
    <t>OKI TC-C4CK2</t>
  </si>
  <si>
    <t>JTC-C4CM1</t>
  </si>
  <si>
    <t>OKI TC-C4CM1</t>
  </si>
  <si>
    <t>JTC-C4CM2</t>
  </si>
  <si>
    <t>OKI TC-C4CM2</t>
  </si>
  <si>
    <t>JTC-C4CY1</t>
  </si>
  <si>
    <t>OKI TC-C4CY1</t>
  </si>
  <si>
    <t>JTC-C4CY2</t>
  </si>
  <si>
    <t>OKI TC-C4CY2</t>
  </si>
  <si>
    <t>JTC-C4DC1</t>
  </si>
  <si>
    <t>OKI TC-C4DC1</t>
  </si>
  <si>
    <t>JTC-C4DK1</t>
  </si>
  <si>
    <t>OKI TC-C4DK1</t>
  </si>
  <si>
    <t>JTC-C4DK2</t>
  </si>
  <si>
    <t>OKI TC-C4DK2</t>
  </si>
  <si>
    <t>JTC-C4DM1</t>
  </si>
  <si>
    <t>OKI TC-C4DM1</t>
  </si>
  <si>
    <t>JTC-C4DM2</t>
  </si>
  <si>
    <t>OKI TC-C4DM2</t>
  </si>
  <si>
    <t>JTC-C4DY1</t>
  </si>
  <si>
    <t>OKI TC-C4DY1</t>
  </si>
  <si>
    <t>JTC-C4DY2</t>
  </si>
  <si>
    <t>OKI TC-C4DY2</t>
  </si>
  <si>
    <t>JTCC4BC1</t>
  </si>
  <si>
    <t>OKI TC-C4BC1</t>
  </si>
  <si>
    <t>JTCC4BK1</t>
  </si>
  <si>
    <t>OKI TC-C4BK1</t>
  </si>
  <si>
    <t>JTCC4BM1</t>
  </si>
  <si>
    <t>OKI TC-C4BM1</t>
  </si>
  <si>
    <t>JTCC4BY1</t>
  </si>
  <si>
    <t>OKI TC-C4BY1</t>
  </si>
  <si>
    <t>JTCC4EC1</t>
  </si>
  <si>
    <t>OKI TC-C4EC1</t>
  </si>
  <si>
    <t>JTCC4EK1</t>
  </si>
  <si>
    <t>OKI TC-C4EK1</t>
  </si>
  <si>
    <t>JTCC4EM1</t>
  </si>
  <si>
    <t>OKI TC-C4EM1</t>
  </si>
  <si>
    <t>JTCC4EY1</t>
  </si>
  <si>
    <t>OKI TC-C4EY1</t>
  </si>
  <si>
    <t>JTCC4FC1</t>
  </si>
  <si>
    <t>OKI TC-C4FC1</t>
  </si>
  <si>
    <t>JTCC4FK1</t>
  </si>
  <si>
    <t>OKI TC-C4FK1</t>
  </si>
  <si>
    <t>JTCC4FM1</t>
  </si>
  <si>
    <t>OKI TC-C4FM1</t>
  </si>
  <si>
    <t>JTCC4FY1</t>
  </si>
  <si>
    <t>OKI TC-C4FY1</t>
  </si>
  <si>
    <t>JTCHMC1600C</t>
  </si>
  <si>
    <t>ｺﾆｶﾐﾉﾙﾀ  TCHMC1600C ｼｱﾝ 大容量</t>
  </si>
  <si>
    <t>JTCHMC1600K</t>
  </si>
  <si>
    <t>ｺﾆｶﾐﾉﾙﾀ  TCHMC1600K ﾌﾞﾗｯｸ 大容量</t>
  </si>
  <si>
    <t>JTCHMC1600M</t>
  </si>
  <si>
    <t>ｺﾆｶﾐﾉﾙﾀ  TCHMC1600M ﾏｾﾞﾝﾀ 大容量</t>
  </si>
  <si>
    <t>JTCHMC1600Y</t>
  </si>
  <si>
    <t>ｺﾆｶﾐﾉﾙﾀ  TCHMC1600Y ｲｴﾛｰ 大容量</t>
  </si>
  <si>
    <t>JTCM3A1</t>
  </si>
  <si>
    <t>OKI TC-M3A1</t>
  </si>
  <si>
    <t>JTCM3A2</t>
  </si>
  <si>
    <t>OKI TC-M3A2</t>
  </si>
  <si>
    <t>JTCM4A1</t>
  </si>
  <si>
    <t>OKI TC-M4A1</t>
  </si>
  <si>
    <t>JTCM4A2</t>
  </si>
  <si>
    <t>OKI TC-M4A2</t>
  </si>
  <si>
    <t>JTCSMC1600C</t>
  </si>
  <si>
    <t>ｺﾆｶﾐﾉﾙﾀ  TCSMC1600C ｼｱﾝ</t>
  </si>
  <si>
    <t>JTCSMC1600M</t>
  </si>
  <si>
    <t>ｺﾆｶﾐﾉﾙﾀ  TCSMC1600M ﾏｾﾞﾝﾀ</t>
  </si>
  <si>
    <t>JTCSMC1600Y</t>
  </si>
  <si>
    <t>ｺﾆｶﾐﾉﾙﾀ  TCSMC1600Y ｲｴﾛｰ</t>
  </si>
  <si>
    <t>JTFC25JC</t>
  </si>
  <si>
    <t>TOSHIBA ﾄﾅｰｶｰﾄﾘｯｼﾞ T-FC25J-C ｼｱﾝ</t>
  </si>
  <si>
    <t>JTFC25JK</t>
  </si>
  <si>
    <t>TOSHIBA ﾄﾅｰｶｰﾄﾘｯｼﾞ T-FC25J-K ﾌﾞﾗｯｸ</t>
  </si>
  <si>
    <t>JTFC25JM</t>
  </si>
  <si>
    <t>TOSHIBA ﾄﾅｰｶｰﾄﾘｯｼﾞ T-FC25J-M ﾏｾﾞﾝﾀ</t>
  </si>
  <si>
    <t>JTFC25JY</t>
  </si>
  <si>
    <t>TOSHIBA ﾄﾅｰｶｰﾄﾘｯｼﾞ T-FC25J-Y ｲｴﾛｰ</t>
  </si>
  <si>
    <t>JTFC505JBK</t>
  </si>
  <si>
    <t>東芝 T-FC505J-K 大容量　※20000枚</t>
  </si>
  <si>
    <t>JTFC505JC</t>
  </si>
  <si>
    <t>東芝 T-FC505J-C 大容量　※15000枚</t>
  </si>
  <si>
    <t>JTFC505JCS</t>
  </si>
  <si>
    <t>東芝 T-FC505J-C-S 小容量</t>
  </si>
  <si>
    <t>JTFC505JM</t>
  </si>
  <si>
    <t>東芝 T-FC505J-M 大容量　※15000枚</t>
  </si>
  <si>
    <t>JTFC505JMS</t>
  </si>
  <si>
    <t>東芝 T-FC505J-M-S 小容量</t>
  </si>
  <si>
    <t>JTFC505JY</t>
  </si>
  <si>
    <t>東芝 T-FC505J-Y 大容量　※15000枚</t>
  </si>
  <si>
    <t>JTFC505JYS</t>
  </si>
  <si>
    <t>東芝 T-FC505J-Y-S 小容量</t>
  </si>
  <si>
    <t>JTK1110</t>
  </si>
  <si>
    <t>RICOH　500枚増設ﾄﾚｲ TK1110</t>
  </si>
  <si>
    <t>JTK1141</t>
  </si>
  <si>
    <t>京セラ TK-1141</t>
  </si>
  <si>
    <t>JTK1161</t>
  </si>
  <si>
    <t>京セラ TK-1161</t>
  </si>
  <si>
    <t>JTK1171</t>
  </si>
  <si>
    <t>京セラ TK-1171 ﾄﾅｰ (1本入り)</t>
  </si>
  <si>
    <t>JTK1241</t>
  </si>
  <si>
    <t>京セラ TK-1241</t>
  </si>
  <si>
    <t>JTK1261</t>
  </si>
  <si>
    <t>京セラ TK-1261</t>
  </si>
  <si>
    <t>JTK1271</t>
  </si>
  <si>
    <t>京セラ TK-1271</t>
  </si>
  <si>
    <t>JTK131</t>
  </si>
  <si>
    <t>京セラ TK-131</t>
  </si>
  <si>
    <t>JTK3101</t>
  </si>
  <si>
    <t>京セラ TK-3101 ﾄﾅｰ (1本入り)</t>
  </si>
  <si>
    <t>JTK311</t>
  </si>
  <si>
    <t>[終息]京セラ TK-311</t>
  </si>
  <si>
    <t>JTK3131</t>
  </si>
  <si>
    <t>京セラ TK-3131 ﾄﾅｰ (1本入り)</t>
  </si>
  <si>
    <t>JTK3161</t>
  </si>
  <si>
    <t>京セラ TK-3161 ﾄﾅｰ (1本入り)</t>
  </si>
  <si>
    <t>JTK3191</t>
  </si>
  <si>
    <t>京セラ TK-3191 ﾄﾅｰ (1本入り)</t>
  </si>
  <si>
    <t>JTK331</t>
  </si>
  <si>
    <t>京セラ TK-331</t>
  </si>
  <si>
    <t>JTK3401</t>
  </si>
  <si>
    <t>京セラ TK-3401</t>
  </si>
  <si>
    <t>JTK341</t>
  </si>
  <si>
    <t>京セラ TK-341 ﾄﾅｰ (1本入り)</t>
  </si>
  <si>
    <t>JTK3431</t>
  </si>
  <si>
    <t>京セラ TK-3431</t>
  </si>
  <si>
    <t>JTK361</t>
  </si>
  <si>
    <t>京セラ TK-361 ﾄﾅｰ (1本入り)</t>
  </si>
  <si>
    <t>JTK412</t>
  </si>
  <si>
    <t>京セラ　TK-412</t>
  </si>
  <si>
    <t>JTK436</t>
  </si>
  <si>
    <t>京セラ　TK-436</t>
  </si>
  <si>
    <t>JTK441</t>
  </si>
  <si>
    <t>JTK451</t>
  </si>
  <si>
    <t>京セラ TK-451 ﾄﾅｰ (1本入り)</t>
  </si>
  <si>
    <t>JTK476</t>
  </si>
  <si>
    <t>京セラ TK-476</t>
  </si>
  <si>
    <t>JTK5141C</t>
  </si>
  <si>
    <t>京セラ TK-5141C ﾄﾅｰ ｼｱﾝ</t>
  </si>
  <si>
    <t>JTK5141K</t>
  </si>
  <si>
    <t>京セラ TK-5141K ﾄﾅｰ ﾌﾞﾗｯｸ</t>
  </si>
  <si>
    <t>JTK5141M</t>
  </si>
  <si>
    <t>京セラ TK-5141M ﾄﾅｰ ﾏｾﾞﾝﾀﾞ</t>
  </si>
  <si>
    <t>JTK5141Y</t>
  </si>
  <si>
    <t>京セラ TK-5141Y ﾄﾅｰ ｲｴﾛｰ</t>
  </si>
  <si>
    <t>JTK5151C</t>
  </si>
  <si>
    <t>京セラ TK-5151C ﾄﾅｰ ｼｱﾝ</t>
  </si>
  <si>
    <t>JTK5151K</t>
  </si>
  <si>
    <t>京セラ TK-5151K ﾄﾅｰ ﾌﾞﾗｯｸ</t>
  </si>
  <si>
    <t>JTK5151M</t>
  </si>
  <si>
    <t>京セラ TK-5151M ﾄﾅｰ ﾏｾﾞﾝﾀ</t>
  </si>
  <si>
    <t>JTK5151Y</t>
  </si>
  <si>
    <t>京セラ TK-5151Y ﾄﾅｰ ｲｴﾛｰ</t>
  </si>
  <si>
    <t>JTK5161C</t>
  </si>
  <si>
    <t>京セラ TK-5161C ﾄﾅｰ ｼｱﾝ</t>
  </si>
  <si>
    <t>JTK5161K</t>
  </si>
  <si>
    <t>京セラ TK-5161K ﾄﾅｰ ﾌﾞﾗｯｸ</t>
  </si>
  <si>
    <t>JTK5161M</t>
  </si>
  <si>
    <t>京セラ TK-5161M ﾄﾅｰ ﾏｾﾞﾝﾀ</t>
  </si>
  <si>
    <t>JTK5161Y</t>
  </si>
  <si>
    <t>京セラ TK-5161Y ﾄﾅｰ ｲｴﾛｰ</t>
  </si>
  <si>
    <t>JTK5206BK</t>
  </si>
  <si>
    <t>京セラ TK-5206 ﾄﾅｰ BK</t>
  </si>
  <si>
    <t>JTK5206C</t>
  </si>
  <si>
    <t>京セラ TK-5206 ﾄﾅｰ C</t>
  </si>
  <si>
    <t>JTK5206M</t>
  </si>
  <si>
    <t>京セラ TK-5206 ﾄﾅｰ M</t>
  </si>
  <si>
    <t>JTK5206Y</t>
  </si>
  <si>
    <t>京セラ TK-5206 ﾄﾅｰ Y</t>
  </si>
  <si>
    <t>JTK5216BK</t>
  </si>
  <si>
    <t>京セラ TK-5216 BK</t>
  </si>
  <si>
    <t>JTK5216C</t>
  </si>
  <si>
    <t>京セラ TK-5216 C</t>
  </si>
  <si>
    <t>JTK5216M</t>
  </si>
  <si>
    <t>京セラ TK-5216 M</t>
  </si>
  <si>
    <t>JTK5216Y</t>
  </si>
  <si>
    <t>京セラ TK-5216 Y</t>
  </si>
  <si>
    <t>JTK5241BK</t>
  </si>
  <si>
    <t>京セラ TK-5241K ﾌﾞﾗｯｸ</t>
  </si>
  <si>
    <t>JTK5241C</t>
  </si>
  <si>
    <t>京セラ TK-5241C ｼｱﾝ</t>
  </si>
  <si>
    <t>JTK5241M</t>
  </si>
  <si>
    <t>京セラ TK-5241M ﾏｾﾞﾝﾀ</t>
  </si>
  <si>
    <t>JTK5241Y</t>
  </si>
  <si>
    <t>京セラ TK-5241Y ｲｴﾛｰ</t>
  </si>
  <si>
    <t>JTK5271C</t>
  </si>
  <si>
    <t>京セラ TK-5271C ｼｱﾝ</t>
  </si>
  <si>
    <t>JTK5271K</t>
  </si>
  <si>
    <t>京セラ TK-5271K ﾌﾞﾗｯｸ</t>
  </si>
  <si>
    <t>JTK5271M</t>
  </si>
  <si>
    <t>京セラ TK-5271M ﾏｾﾞﾝﾀ</t>
  </si>
  <si>
    <t>JTK5271Y</t>
  </si>
  <si>
    <t>京セラ TK-5271Y ｲｴﾛｰ</t>
  </si>
  <si>
    <t>JTK5281C</t>
  </si>
  <si>
    <t>京セラ TK-5281C ｼｱﾝ</t>
  </si>
  <si>
    <t>JTK5281K</t>
  </si>
  <si>
    <t>京セラ TK-5281K ﾌﾞﾗｯｸ</t>
  </si>
  <si>
    <t>JTK5281M</t>
  </si>
  <si>
    <t>京セラ TK-5281M ﾏｾﾞﾝﾀ</t>
  </si>
  <si>
    <t>JTK5281Y</t>
  </si>
  <si>
    <t>京セラ TK-5281Y ｲｴﾛｰ</t>
  </si>
  <si>
    <t>JTK5291C</t>
  </si>
  <si>
    <t>京セラ TK-5291C ｼｱﾝ</t>
  </si>
  <si>
    <t>JTK5291K</t>
  </si>
  <si>
    <t>京セラ TK-5291K ﾌﾞﾗｯｸ</t>
  </si>
  <si>
    <t>JTK5291M</t>
  </si>
  <si>
    <t>京セラ TK-5291M ﾏｾﾞﾝﾀ</t>
  </si>
  <si>
    <t>JTK5291Y</t>
  </si>
  <si>
    <t>京セラ TK-5291Y ｲｴﾛｰ</t>
  </si>
  <si>
    <t>JTK5316C</t>
  </si>
  <si>
    <t>京セラ TK-5316 C</t>
  </si>
  <si>
    <t>JTK5316K</t>
  </si>
  <si>
    <t>京セラ TK-5316 K</t>
  </si>
  <si>
    <t>JTK5316M</t>
  </si>
  <si>
    <t>京セラ TK-5316 M</t>
  </si>
  <si>
    <t>JTK5316Y</t>
  </si>
  <si>
    <t>京セラ TK-5316 Y</t>
  </si>
  <si>
    <t>JTK5346C</t>
  </si>
  <si>
    <t>京セラ TK-5346 C</t>
  </si>
  <si>
    <t>JTK5346K</t>
  </si>
  <si>
    <t>京セラ TK-5346 K</t>
  </si>
  <si>
    <t>JTK5346M</t>
  </si>
  <si>
    <t>京セラ TK-5346 M</t>
  </si>
  <si>
    <t>JTK5346Y</t>
  </si>
  <si>
    <t>京セラ TK-5346 Y</t>
  </si>
  <si>
    <t>JTK5371C</t>
  </si>
  <si>
    <t>京セラ TK-5371C ﾄﾅｰ</t>
  </si>
  <si>
    <t>JTK5371K</t>
  </si>
  <si>
    <t>京セラ TK-5371K ﾄﾅｰ</t>
  </si>
  <si>
    <t>JTK5371M</t>
  </si>
  <si>
    <t>京セラ TK-5371M ﾄﾅｰ</t>
  </si>
  <si>
    <t>JTK5371Y</t>
  </si>
  <si>
    <t>京セラ TK-5371Y ﾄﾅｰ</t>
  </si>
  <si>
    <t>JTK5381C</t>
  </si>
  <si>
    <t>京セラ TK-5381C ﾄﾅｰ</t>
  </si>
  <si>
    <t>JTK5381K</t>
  </si>
  <si>
    <t>京セラ TK-5381K ﾄﾅｰ</t>
  </si>
  <si>
    <t>JTK5381M</t>
  </si>
  <si>
    <t>京セラ TK-5381M ﾄﾅｰ</t>
  </si>
  <si>
    <t>JTK5381Y</t>
  </si>
  <si>
    <t>京セラ TK-5381Y ﾄﾅｰ</t>
  </si>
  <si>
    <t>JTK5391C</t>
  </si>
  <si>
    <t>京セラ TK-5391C ﾄﾅｰ</t>
  </si>
  <si>
    <t>JTK5391K</t>
  </si>
  <si>
    <t>京セラ TK-5391K ﾄﾅｰ</t>
  </si>
  <si>
    <t>JTK5391M</t>
  </si>
  <si>
    <t>京セラ TK-5391M ﾄﾅｰ</t>
  </si>
  <si>
    <t>JTK5391Y</t>
  </si>
  <si>
    <t>京セラ TK-5391Y ﾄﾅｰ</t>
  </si>
  <si>
    <t>JTK5451C</t>
  </si>
  <si>
    <t>京セラ TK-5451C</t>
  </si>
  <si>
    <t>JTK5451K</t>
  </si>
  <si>
    <t>京セラ TK-5451K</t>
  </si>
  <si>
    <t>JTK5451M</t>
  </si>
  <si>
    <t>京セラ TK-5451M</t>
  </si>
  <si>
    <t>JTK5451Y</t>
  </si>
  <si>
    <t>京セラ TK-5451Y</t>
  </si>
  <si>
    <t>JTK551</t>
  </si>
  <si>
    <t>京セラ TK-551</t>
  </si>
  <si>
    <t>JTK571C</t>
  </si>
  <si>
    <t>京セラ TK-571C ﾄﾅｰ ｼｱﾝ※2024.9頃終息予定</t>
  </si>
  <si>
    <t>JTK571K</t>
  </si>
  <si>
    <t>京セラ TK-571K ﾄﾅｰ ﾌﾞﾗｯｸ※2024.9頃終息予定</t>
  </si>
  <si>
    <t>JTK571M</t>
  </si>
  <si>
    <t>京セラ TK-571M ﾄﾅｰ ﾏｾﾞﾝﾀ※2024.9頃終息予定</t>
  </si>
  <si>
    <t>JTK571Y</t>
  </si>
  <si>
    <t>京セラ TK-571Y ﾄﾅｰ ｲｴﾛｰ※2024.9頃終息予定</t>
  </si>
  <si>
    <t>JTK591C</t>
  </si>
  <si>
    <t>京セラ TK-591C ｼｱﾝ</t>
  </si>
  <si>
    <t>JTK591K</t>
  </si>
  <si>
    <t>京セラ TK-591K ﾌﾞﾗｯｸ</t>
  </si>
  <si>
    <t>JTK591M</t>
  </si>
  <si>
    <t>京セラ TK-591M ﾏｾﾞﾝﾀﾞ</t>
  </si>
  <si>
    <t>JTK591Y</t>
  </si>
  <si>
    <t>京セラ TK-591Y ｲｴﾛｰ</t>
  </si>
  <si>
    <t>JTK6116</t>
  </si>
  <si>
    <t>京セラ TK-6116 ﾄﾅｰ</t>
  </si>
  <si>
    <t>JTK6306</t>
  </si>
  <si>
    <t>京セラ TK-6306</t>
  </si>
  <si>
    <t>JTK6331</t>
  </si>
  <si>
    <t>京セラ TK-6331</t>
  </si>
  <si>
    <t>JTK6346</t>
  </si>
  <si>
    <t>京セラ  TK-6346</t>
  </si>
  <si>
    <t>JTK6706</t>
  </si>
  <si>
    <t>京セラ  TK-6706</t>
  </si>
  <si>
    <t>JTK6726</t>
  </si>
  <si>
    <t>京セラ　TK-6726</t>
  </si>
  <si>
    <t>JTK676</t>
  </si>
  <si>
    <t>京セラ　TK-676</t>
  </si>
  <si>
    <t>JTK7106</t>
  </si>
  <si>
    <t>京セラ TK-7106</t>
  </si>
  <si>
    <t>JTK711</t>
  </si>
  <si>
    <t>京セラ TK-711 ﾄﾅｰ</t>
  </si>
  <si>
    <t>JTK7126</t>
  </si>
  <si>
    <t>京セラ  TK-7126</t>
  </si>
  <si>
    <t>JTK7136</t>
  </si>
  <si>
    <t>京セラ  TK-7136</t>
  </si>
  <si>
    <t>JTK716</t>
  </si>
  <si>
    <t>京セラ TK-716</t>
  </si>
  <si>
    <t>JTK7301</t>
  </si>
  <si>
    <t>京セラ TK-7301 ﾄﾅｰ (1本入り)</t>
  </si>
  <si>
    <t>JTK7311</t>
  </si>
  <si>
    <t>京セラ TK-7311 ﾄﾅｰ (1本入り)</t>
  </si>
  <si>
    <t>JTK8306BK</t>
  </si>
  <si>
    <t>京セラ TK-8306 BK</t>
  </si>
  <si>
    <t>JTK8306BKS</t>
  </si>
  <si>
    <t>京セラ TK-8306 BK (S)</t>
  </si>
  <si>
    <t>JTK8306C</t>
  </si>
  <si>
    <t>京セラ TK-8306 C</t>
  </si>
  <si>
    <t>JTK8306CS</t>
  </si>
  <si>
    <t>京セラ TK-8306 C (S)</t>
  </si>
  <si>
    <t>JTK8306M</t>
  </si>
  <si>
    <t>京セラ TK-8306 M</t>
  </si>
  <si>
    <t>JTK8306MS</t>
  </si>
  <si>
    <t>京セラ TK-8306 M (S)</t>
  </si>
  <si>
    <t>JTK8306Y</t>
  </si>
  <si>
    <t>京セラ TK-8306 Y</t>
  </si>
  <si>
    <t>JTK8306YS</t>
  </si>
  <si>
    <t>京セラ TK-8306 Y (S)</t>
  </si>
  <si>
    <t>JTK8336SET</t>
  </si>
  <si>
    <t>京セラ　TK-8336 KCMY 4色ｾｯﾄ</t>
  </si>
  <si>
    <t>JTK8516SET</t>
  </si>
  <si>
    <t>京セラ　TK-8516 (4色ｾｯﾄ)</t>
  </si>
  <si>
    <t>JTK8601C</t>
  </si>
  <si>
    <t>京セラ TK-8601C ｼｱﾝ</t>
  </si>
  <si>
    <t>JTK8601K</t>
  </si>
  <si>
    <t>京セラ TK-8601K ﾌﾞﾗｯｸ</t>
  </si>
  <si>
    <t>JTK8601M</t>
  </si>
  <si>
    <t>京セラ TK-8601M ﾏｾﾞﾝﾀ</t>
  </si>
  <si>
    <t>JTK8601Y</t>
  </si>
  <si>
    <t>京セラ TK-8601Y ｲｴﾛｰ</t>
  </si>
  <si>
    <t>JTK866BK</t>
  </si>
  <si>
    <t>京セラ TK-866 BK</t>
  </si>
  <si>
    <t>JTK866C</t>
  </si>
  <si>
    <t>京セラ TK-866 C</t>
  </si>
  <si>
    <t>JTK866M</t>
  </si>
  <si>
    <t>京セラ TK-866 M</t>
  </si>
  <si>
    <t>JTK866Y</t>
  </si>
  <si>
    <t>京セラ TK-866 Y</t>
  </si>
  <si>
    <t>JTK8706C</t>
  </si>
  <si>
    <t>京セラ　TK-8706 C</t>
  </si>
  <si>
    <t>JTK8706K</t>
  </si>
  <si>
    <t>京セラ　TK-8706 K</t>
  </si>
  <si>
    <t>JTK8706M</t>
  </si>
  <si>
    <t>京セラ　TK-8706 M</t>
  </si>
  <si>
    <t>JTK8706Y</t>
  </si>
  <si>
    <t>京セラ　TK-8706 Y</t>
  </si>
  <si>
    <t>JTK8726C</t>
  </si>
  <si>
    <t>京セラ　TK-8726 C</t>
  </si>
  <si>
    <t>JTK8726K</t>
  </si>
  <si>
    <t>京セラ　TK-8726 K</t>
  </si>
  <si>
    <t>JTK8726M</t>
  </si>
  <si>
    <t>京セラ　TK-8726 M</t>
  </si>
  <si>
    <t>JTK8726Y</t>
  </si>
  <si>
    <t>京セラ　TK-8726 Y</t>
  </si>
  <si>
    <t>JTK8801C</t>
  </si>
  <si>
    <t>京セラ TK-8801C ｼｱﾝ</t>
  </si>
  <si>
    <t>JTK8801K</t>
  </si>
  <si>
    <t>京セラ TK-8801K ﾌﾞﾗｯｸ</t>
  </si>
  <si>
    <t>JTK8801M</t>
  </si>
  <si>
    <t>京セラ TK-8801M ﾏｾﾞﾝﾀ</t>
  </si>
  <si>
    <t>JTK8801Y</t>
  </si>
  <si>
    <t>京セラ TK-8801Y ｲｴﾛｰ</t>
  </si>
  <si>
    <t>JTK896BK</t>
  </si>
  <si>
    <t>京セラ TK-896 BK</t>
  </si>
  <si>
    <t>JTK896C</t>
  </si>
  <si>
    <t>京セラ TK-896 C</t>
  </si>
  <si>
    <t>JTK896M</t>
  </si>
  <si>
    <t>京セラ TK-896 M</t>
  </si>
  <si>
    <t>JTK896Y</t>
  </si>
  <si>
    <t>京セラ TK-896 Y</t>
  </si>
  <si>
    <t>JTMCT04</t>
  </si>
  <si>
    <t>CANON MKｼﾘｰｽﾞ用ｶｯﾀｰｾｯﾄ TM-CT04 1ﾊﾟｯｸ 5060C002</t>
  </si>
  <si>
    <t>JTN11J</t>
  </si>
  <si>
    <t>brother ﾄﾅｰｶｰﾄﾘｯｼﾞ TN-11J</t>
  </si>
  <si>
    <t>JTN221BK</t>
  </si>
  <si>
    <t>ｺﾆｶﾐﾉﾙﾀ  TN221BK</t>
  </si>
  <si>
    <t>JTN221C</t>
  </si>
  <si>
    <t>ｺﾆｶﾐﾉﾙﾀ  TN221C</t>
  </si>
  <si>
    <t>JTN221M</t>
  </si>
  <si>
    <t>ｺﾆｶﾐﾉﾙﾀ  TN221M</t>
  </si>
  <si>
    <t>JTN221SET</t>
  </si>
  <si>
    <t>ｺﾆｶﾐﾉﾙﾀ  TN221 4色ｾｯﾄ</t>
  </si>
  <si>
    <t>JTN221Y</t>
  </si>
  <si>
    <t>ｺﾆｶﾐﾉﾙﾀ  TN221Y</t>
  </si>
  <si>
    <t>JTN25J</t>
  </si>
  <si>
    <t>brother ﾄﾅｰｶｰﾄﾘｯｼﾞ TN-25J</t>
  </si>
  <si>
    <t>JTN26J</t>
  </si>
  <si>
    <t>brother ﾄﾅｰｶｰﾄﾘｯｼﾞ TN-26J</t>
  </si>
  <si>
    <t>JTN27J</t>
  </si>
  <si>
    <t>brother ﾄﾅｰｶｰﾄﾘｯｼﾞ TN-27J</t>
  </si>
  <si>
    <t>JTN28J</t>
  </si>
  <si>
    <t>brother  ﾄﾅｰｶｰﾄﾘｯｼﾞTN-28J</t>
  </si>
  <si>
    <t>JTN290BK</t>
  </si>
  <si>
    <t>-終息-brother  ﾄﾅｰｶｰﾄﾘｯｼﾞ  TN-290BK</t>
  </si>
  <si>
    <t>JTN290C</t>
  </si>
  <si>
    <t>-終息-brother  ﾄﾅｰｶｰﾄﾘｯｼﾞ  TN-290C</t>
  </si>
  <si>
    <t>JTN290M</t>
  </si>
  <si>
    <t>-終息-brother  ﾄﾅｰｶｰﾄﾘｯｼﾞ  TN-290M</t>
  </si>
  <si>
    <t>JTN290Y</t>
  </si>
  <si>
    <t>-終息-brother  ﾄﾅｰｶｰﾄﾘｯｼﾞ  TN-290Y</t>
  </si>
  <si>
    <t>JTN291BK</t>
  </si>
  <si>
    <t>brother  ﾄﾅｰｶｰﾄﾘｯｼﾞ  TN-291BK</t>
  </si>
  <si>
    <t>JTN291C</t>
  </si>
  <si>
    <t>brother  ﾄﾅｰｶｰﾄﾘｯｼﾞ  TN-291C</t>
  </si>
  <si>
    <t>JTN291M</t>
  </si>
  <si>
    <t>brother  ﾄﾅｰｶｰﾄﾘｯｼﾞ  TN-291M</t>
  </si>
  <si>
    <t>JTN291Y</t>
  </si>
  <si>
    <t>brother  ﾄﾅｰｶｰﾄﾘｯｼﾞ  TN-291Y</t>
  </si>
  <si>
    <t>JTN293BK</t>
  </si>
  <si>
    <t>brother ﾄﾅｰｶｰﾄﾘｯｼﾞ TN-293BK</t>
  </si>
  <si>
    <t>JTN293C</t>
  </si>
  <si>
    <t>brother ﾄﾅｰｶｰﾄﾘｯｼﾞ TN-293C</t>
  </si>
  <si>
    <t>JTN293M</t>
  </si>
  <si>
    <t>brother ﾄﾅｰｶｰﾄﾘｯｼﾞ TN-293M</t>
  </si>
  <si>
    <t>JTN293Y</t>
  </si>
  <si>
    <t>brother ﾄﾅｰｶｰﾄﾘｯｼﾞ TN-293Y</t>
  </si>
  <si>
    <t>JTN296C</t>
  </si>
  <si>
    <t>brother ﾄﾅｰｶｰﾄﾘｯｼﾞ TN-296C</t>
  </si>
  <si>
    <t>JTN296M</t>
  </si>
  <si>
    <t>brother ﾄﾅｰｶｰﾄﾘｯｼﾞ TN-296M</t>
  </si>
  <si>
    <t>JTN296Y</t>
  </si>
  <si>
    <t>brother ﾄﾅｰｶｰﾄﾘｯｼﾞ TN-296Y</t>
  </si>
  <si>
    <t>JTN297C</t>
  </si>
  <si>
    <t>brother ﾄﾅｰｶｰﾄﾘｯｼﾞ TN-297C</t>
  </si>
  <si>
    <t>JTN297M</t>
  </si>
  <si>
    <t>brother ﾄﾅｰｶｰﾄﾘｯｼﾞ TN-297M</t>
  </si>
  <si>
    <t>JTN297Y</t>
  </si>
  <si>
    <t>brother ﾄﾅｰｶｰﾄﾘｯｼﾞ TN-297Y</t>
  </si>
  <si>
    <t>JTN299C</t>
  </si>
  <si>
    <t>brother ﾄﾅｰｶｰﾄﾘｯｼﾞ TN-299C</t>
  </si>
  <si>
    <t>JTN299M</t>
  </si>
  <si>
    <t>brother ﾄﾅｰｶｰﾄﾘｯｼﾞ TN-299M</t>
  </si>
  <si>
    <t>JTN299XLBK</t>
  </si>
  <si>
    <t>brother ﾄﾅｰｶｰﾄﾘｯｼﾞ TN-299XLBK</t>
  </si>
  <si>
    <t>JTN299XLC</t>
  </si>
  <si>
    <t>brother ﾄﾅｰｶｰﾄﾘｯｼﾞ TN-299XLC</t>
  </si>
  <si>
    <t>JTN299XLM</t>
  </si>
  <si>
    <t>brother ﾄﾅｰｶｰﾄﾘｯｼﾞ TN-299XLM</t>
  </si>
  <si>
    <t>JTN299XLY</t>
  </si>
  <si>
    <t>brother ﾄﾅｰｶｰﾄﾘｯｼﾞ TN-299XLY</t>
  </si>
  <si>
    <t>JTN299XXLBK</t>
  </si>
  <si>
    <t>brother ﾄﾅｰｶｰﾄﾘｯｼﾞ TN-299XXLBK</t>
  </si>
  <si>
    <t>JTN299XXLC</t>
  </si>
  <si>
    <t>brother ﾄﾅｰｶｰﾄﾘｯｼﾞ TN-299XXLC</t>
  </si>
  <si>
    <t>JTN299XXLM</t>
  </si>
  <si>
    <t>brother ﾄﾅｰｶｰﾄﾘｯｼﾞ TN-299XXLM</t>
  </si>
  <si>
    <t>JTN299XXLY</t>
  </si>
  <si>
    <t>brother ﾄﾅｰｶｰﾄﾘｯｼﾞ TN-299XXLY</t>
  </si>
  <si>
    <t>JTN299Y</t>
  </si>
  <si>
    <t>brother ﾄﾅｰｶｰﾄﾘｯｼﾞ TN-299Y</t>
  </si>
  <si>
    <t>JTN29J</t>
  </si>
  <si>
    <t>brother ﾄﾅｰｶｰﾄﾘｯｼﾞ TN-29J</t>
  </si>
  <si>
    <t>JTN321C</t>
  </si>
  <si>
    <t>ｺﾆｶﾐﾉﾙﾀ  TN321C</t>
  </si>
  <si>
    <t>JTN321K</t>
  </si>
  <si>
    <t>ｺﾆｶﾐﾉﾙﾀ  TN321K</t>
  </si>
  <si>
    <t>JTN321M</t>
  </si>
  <si>
    <t>ｺﾆｶﾐﾉﾙﾀ  TN321M</t>
  </si>
  <si>
    <t>JTN321Y</t>
  </si>
  <si>
    <t>ｺﾆｶﾐﾉﾙﾀ  TN321Y</t>
  </si>
  <si>
    <t>JTN323</t>
  </si>
  <si>
    <t>コニカミノルタ　TN-323　終息</t>
  </si>
  <si>
    <t>JTN324C</t>
  </si>
  <si>
    <t>ｺﾆｶﾐﾉﾙﾀ  TN324C ｼｱﾝ　国内純正品</t>
  </si>
  <si>
    <t>JTN324K</t>
  </si>
  <si>
    <t>ｺﾆｶﾐﾉﾙﾀ  TN324K ﾌﾞﾗｯｸ　国内純正品</t>
  </si>
  <si>
    <t>JTN324M</t>
  </si>
  <si>
    <t>ｺﾆｶﾐﾉﾙﾀ  TN324M ﾏｾﾞﾝﾀ　国内純正品</t>
  </si>
  <si>
    <t>JTN324Y</t>
  </si>
  <si>
    <t>ｺﾆｶﾐﾉﾙﾀ  TN324Y ｲｴﾛｰ　国内純正品</t>
  </si>
  <si>
    <t>JTN328C</t>
  </si>
  <si>
    <t>ｺﾆｶﾐﾉﾙﾀ  TN328C</t>
  </si>
  <si>
    <t>JTN328K</t>
  </si>
  <si>
    <t>ｺﾆｶﾐﾉﾙﾀ  TN328K</t>
  </si>
  <si>
    <t>JTN328M</t>
  </si>
  <si>
    <t>ｺﾆｶﾐﾉﾙﾀ  TN328M</t>
  </si>
  <si>
    <t>JTN328Y</t>
  </si>
  <si>
    <t>ｺﾆｶﾐﾉﾙﾀ  TN328Y</t>
  </si>
  <si>
    <t>JTN32JXL</t>
  </si>
  <si>
    <t>brother  ﾄﾅｰｶｰﾄﾘｯｼﾞ TN32JXL</t>
  </si>
  <si>
    <t>JTN32JXXL</t>
  </si>
  <si>
    <t>brother  ﾄﾅｰｶｰﾄﾘｯｼﾞ TN32JXXL</t>
  </si>
  <si>
    <t>JTN35J</t>
  </si>
  <si>
    <t>brother ﾄﾅｰｶｰﾄﾘｯｼﾞ TN-35J</t>
  </si>
  <si>
    <t>JTN37J</t>
  </si>
  <si>
    <t>brother  ﾄﾅｰｶｰﾄﾘｯｼﾞTN-37J</t>
  </si>
  <si>
    <t>JTN390C</t>
  </si>
  <si>
    <t>brother ﾄﾅｰｶｰﾄﾘｯｼﾞ TN-390C</t>
  </si>
  <si>
    <t>JTN390K</t>
  </si>
  <si>
    <t>brother ﾄﾅｰｶｰﾄﾘｯｼﾞ TN-390BK</t>
  </si>
  <si>
    <t>JTN390M</t>
  </si>
  <si>
    <t>brother ﾄﾅｰｶｰﾄﾘｯｼﾞ TN-390M</t>
  </si>
  <si>
    <t>JTN390Y</t>
  </si>
  <si>
    <t>brother ﾄﾅｰｶｰﾄﾘｯｼﾞ TN-390Y</t>
  </si>
  <si>
    <t>JTN391BK</t>
  </si>
  <si>
    <t>brother ﾄﾅｰｶｰﾄﾘｯｼﾞ TN-391BK</t>
  </si>
  <si>
    <t>JTN391C</t>
  </si>
  <si>
    <t>brother ﾄﾅｰｶｰﾄﾘｯｼﾞ TN-391C</t>
  </si>
  <si>
    <t>JTN391M</t>
  </si>
  <si>
    <t>brother ﾄﾅｰｶｰﾄﾘｯｼﾞ TN-391M</t>
  </si>
  <si>
    <t>JTN391Y</t>
  </si>
  <si>
    <t>brother ﾄﾅｰｶｰﾄﾘｯｼﾞ TN-391Y</t>
  </si>
  <si>
    <t>JTN395BK</t>
  </si>
  <si>
    <t>brother ﾄﾅｰｶｰﾄﾘｯｼﾞ TN-395BK</t>
  </si>
  <si>
    <t>JTN395C</t>
  </si>
  <si>
    <t>brother ﾄﾅｰｶｰﾄﾘｯｼﾞ TN-395C</t>
  </si>
  <si>
    <t>JTN395M</t>
  </si>
  <si>
    <t>brother ﾄﾅｰｶｰﾄﾘｯｼﾞ TN-395M</t>
  </si>
  <si>
    <t>JTN395Y</t>
  </si>
  <si>
    <t>brother ﾄﾅｰｶｰﾄﾘｯｼﾞ TN-395Y</t>
  </si>
  <si>
    <t>JTN396BK</t>
  </si>
  <si>
    <t>brother ﾄﾅｰｶｰﾄﾘｯｼﾞ TN-396BK</t>
  </si>
  <si>
    <t>JTN396C</t>
  </si>
  <si>
    <t>brother ﾄﾅｰｶｰﾄﾘｯｼﾞ TN-396C</t>
  </si>
  <si>
    <t>JTN396M</t>
  </si>
  <si>
    <t>brother ﾄﾅｰｶｰﾄﾘｯｼﾞ TN-396M</t>
  </si>
  <si>
    <t>JTN396Y</t>
  </si>
  <si>
    <t>brother ﾄﾅｰｶｰﾄﾘｯｼﾞ TN-396Y</t>
  </si>
  <si>
    <t>JTN43J</t>
  </si>
  <si>
    <t>-終息-brother ﾄﾅｰｶｰﾄﾘｯｼﾞ TN-43J</t>
  </si>
  <si>
    <t>JTN48J</t>
  </si>
  <si>
    <t>-終息- brother ﾄﾅｰｶｰﾄﾘｯｼﾞ TN-48J</t>
  </si>
  <si>
    <t>JTN491C</t>
  </si>
  <si>
    <t>brother ﾄﾅｰｶｰﾄﾘｯｼﾞ TN-491C</t>
  </si>
  <si>
    <t>JTN491K</t>
  </si>
  <si>
    <t>brother ﾄﾅｰｶｰﾄﾘｯｼﾞ TN-491BK</t>
  </si>
  <si>
    <t>JTN491M</t>
  </si>
  <si>
    <t>brother ﾄﾅｰｶｰﾄﾘｯｼﾞ TN-491M</t>
  </si>
  <si>
    <t>JTN491Y</t>
  </si>
  <si>
    <t>brother ﾄﾅｰｶｰﾄﾘｯｼﾞ TN-491Y</t>
  </si>
  <si>
    <t>JTN493BK</t>
  </si>
  <si>
    <t>brother ﾄﾅｰｶｰﾄﾘｯｼﾞ TN-493BK</t>
  </si>
  <si>
    <t>JTN493C</t>
  </si>
  <si>
    <t>brother ﾄﾅｰｶｰﾄﾘｯｼﾞ TN-493C</t>
  </si>
  <si>
    <t>JTN493M</t>
  </si>
  <si>
    <t>brother ﾄﾅｰｶｰﾄﾘｯｼﾞ TN-493M</t>
  </si>
  <si>
    <t>JTN493Y</t>
  </si>
  <si>
    <t>brother ﾄﾅｰｶｰﾄﾘｯｼﾞ TN-493Y</t>
  </si>
  <si>
    <t>JTN499BK</t>
  </si>
  <si>
    <t>brother ﾄﾅｰｶｰﾄﾘｯｼﾞ TN-499BK</t>
  </si>
  <si>
    <t>JTN499C</t>
  </si>
  <si>
    <t>brother ﾄﾅｰｶｰﾄﾘｯｼﾞ TN-499C</t>
  </si>
  <si>
    <t>JTN499M</t>
  </si>
  <si>
    <t>brother ﾄﾅｰｶｰﾄﾘｯｼﾞ TN-499M</t>
  </si>
  <si>
    <t>JTN499Y</t>
  </si>
  <si>
    <t>brother ﾄﾅｰｶｰﾄﾘｯｼﾞ TN-499Y</t>
  </si>
  <si>
    <t>JTN515</t>
  </si>
  <si>
    <t>JTN53J</t>
  </si>
  <si>
    <t>brother ﾄﾅｰｶｰﾄﾘｯｼﾞ TN-53J</t>
  </si>
  <si>
    <t>JTN56J</t>
  </si>
  <si>
    <t>brother ﾄﾅｰｶｰﾄﾘｯｼﾞ TN-56J</t>
  </si>
  <si>
    <t>JTN59J</t>
  </si>
  <si>
    <t>brother ﾄﾅｰｶｰﾄﾘｯｼﾞ TN-59J</t>
  </si>
  <si>
    <t>JTN611K</t>
  </si>
  <si>
    <t>-終息-コニカミノルタ　TN-611K</t>
  </si>
  <si>
    <t>JTN611M</t>
  </si>
  <si>
    <t>-終息-コニカミノルタ　TN-611M</t>
  </si>
  <si>
    <t>JTN611Y</t>
  </si>
  <si>
    <t>-終息-コニカミノルタ　TN-611Y</t>
  </si>
  <si>
    <t>JTN61J</t>
  </si>
  <si>
    <t>brother ﾄﾅｰｶｰﾄﾘｯｼﾞ TN-61J</t>
  </si>
  <si>
    <t>JTN62J</t>
  </si>
  <si>
    <t>brother ﾄﾅｰｶｰﾄﾘｯｼﾞ TN-62J</t>
  </si>
  <si>
    <t>JTN62JXL</t>
  </si>
  <si>
    <t>brother ﾄﾅｰｶｰﾄﾘｯｼﾞ TN-62JXL</t>
  </si>
  <si>
    <t>JTN63J</t>
  </si>
  <si>
    <t>brother ﾄﾅｰｶｰﾄﾘｯｼﾞ TN-63J</t>
  </si>
  <si>
    <t>JTN70J</t>
  </si>
  <si>
    <t>brother  ﾄﾅｰｶｰﾄﾘｯｼﾞ TN70J</t>
  </si>
  <si>
    <t>JTN70JXL</t>
  </si>
  <si>
    <t>brother  ﾄﾅｰｶｰﾄﾘｯｼﾞ TN70JXL</t>
  </si>
  <si>
    <t>JTN70JXXL</t>
  </si>
  <si>
    <t>brother  ﾄﾅｰｶｰﾄﾘｯｼﾞ TN70JXXL</t>
  </si>
  <si>
    <t>JTN71JXL</t>
  </si>
  <si>
    <t>brother  ﾄﾅｰｶｰﾄﾘｯｼﾞ TN71JXL</t>
  </si>
  <si>
    <t>JTNP43</t>
  </si>
  <si>
    <t>ｺﾆｶﾐﾉﾙﾀ TNP-43</t>
  </si>
  <si>
    <t>JTNP50BK</t>
  </si>
  <si>
    <t>コニカミノルタ TNP-50 BK</t>
  </si>
  <si>
    <t>JTNP50C</t>
  </si>
  <si>
    <t>コニカミノルタ TNP-50 C</t>
  </si>
  <si>
    <t>JTNP50M</t>
  </si>
  <si>
    <t>コニカミノルタ TNP-50 M</t>
  </si>
  <si>
    <t>JTNP50Y</t>
  </si>
  <si>
    <t>コニカミノルタ TNP-50 Y</t>
  </si>
  <si>
    <t>JTNP62</t>
  </si>
  <si>
    <t>コニカミノルタ TNP-62</t>
  </si>
  <si>
    <t>JTNP73</t>
  </si>
  <si>
    <t>コニカミノルタ TNP-73</t>
  </si>
  <si>
    <t>JTNP74</t>
  </si>
  <si>
    <t>コニカミノルタ　TNP-74</t>
  </si>
  <si>
    <t>JTNP83</t>
  </si>
  <si>
    <t>コニカミノルタ TNP-83</t>
  </si>
  <si>
    <t>JTNP84</t>
  </si>
  <si>
    <t>コニカミノルタ TNP-84</t>
  </si>
  <si>
    <t>JTNP88C</t>
  </si>
  <si>
    <t>コニカミノルタ　bizhub C3320i用　TNP-88C</t>
  </si>
  <si>
    <t>JTNP88K</t>
  </si>
  <si>
    <t>コニカミノルタ　bizhub C3320i用　TNP-88K</t>
  </si>
  <si>
    <t>JTNP88M</t>
  </si>
  <si>
    <t>コニカミノルタ　bizhub C3320i用　TNP-88M</t>
  </si>
  <si>
    <t>JTNP88Y</t>
  </si>
  <si>
    <t>コニカミノルタ　bizhub C3320i用　TNP-88Y</t>
  </si>
  <si>
    <t>JTNR-C3CC1</t>
  </si>
  <si>
    <t>OKI TNR-C3CC1</t>
  </si>
  <si>
    <t>JTNR-C3CC2</t>
  </si>
  <si>
    <t>OKI TNR-C3CC2</t>
  </si>
  <si>
    <t>JTNR-C3CK1</t>
  </si>
  <si>
    <t>OKI TNR-C3CK1</t>
  </si>
  <si>
    <t>JTNR-C3CK2</t>
  </si>
  <si>
    <t>OKI TNR-C3CK2</t>
  </si>
  <si>
    <t>JTNR-C3CM1</t>
  </si>
  <si>
    <t>OKI TNR-C3CM1</t>
  </si>
  <si>
    <t>JTNR-C3CM2</t>
  </si>
  <si>
    <t>OKI TNR-C3CM2</t>
  </si>
  <si>
    <t>JTNR-C3CY1</t>
  </si>
  <si>
    <t>OKI TNR-C3CY1</t>
  </si>
  <si>
    <t>JTNR-C3CY2</t>
  </si>
  <si>
    <t>OKI TNR-C3CY2</t>
  </si>
  <si>
    <t>JTNR-C3FC1</t>
  </si>
  <si>
    <t>[在庫限り終息] OKI TNR-C3FC1</t>
  </si>
  <si>
    <t>JTNR-C3FK1</t>
  </si>
  <si>
    <t>[在庫限り終息] OKI TNR-C3FK1</t>
  </si>
  <si>
    <t>JTNR-C3FM1</t>
  </si>
  <si>
    <t>[在庫限り終息] OKI TNR-C3FM1</t>
  </si>
  <si>
    <t>JTNR-C3FY1</t>
  </si>
  <si>
    <t>[在庫限り終息] OKI TNR-C3FY1</t>
  </si>
  <si>
    <t>JTNR-C3HC1</t>
  </si>
  <si>
    <t>OKI TNR-C3HC1 ｼｱﾝ</t>
  </si>
  <si>
    <t>JTNR-C3HC2</t>
  </si>
  <si>
    <t>OKI TNR-C3HC2 ｼｱﾝ(大容量)</t>
  </si>
  <si>
    <t>JTNR-C3HK1</t>
  </si>
  <si>
    <t>OKI TNR-C3HK1 ﾌﾞﾗｯｸ</t>
  </si>
  <si>
    <t>JTNR-C3HK2</t>
  </si>
  <si>
    <t>OKI TNR-C3HK2 ﾌﾞﾗｯｸ(大容量)</t>
  </si>
  <si>
    <t>JTNR-C3HM1</t>
  </si>
  <si>
    <t>OKI TNR-C3HM1 ﾏｾﾞﾝﾀﾞ</t>
  </si>
  <si>
    <t>JTNR-C3HM2</t>
  </si>
  <si>
    <t>OKI TNR-C3HM2 ﾏｾﾞﾝﾀﾞ(大容量)</t>
  </si>
  <si>
    <t>JTNR-C3HY1</t>
  </si>
  <si>
    <t>OKI TNR-C3HY1 ｲｴﾛｰ</t>
  </si>
  <si>
    <t>JTNR-C3HY2</t>
  </si>
  <si>
    <t>OKI TNR-C3HY2 ｲｴﾛｰ(大容量)</t>
  </si>
  <si>
    <t>JTNR-C3KC1</t>
  </si>
  <si>
    <t>OKI TNR-C3KC1(7000枚)</t>
  </si>
  <si>
    <t>JTNR-C3KC3</t>
  </si>
  <si>
    <t>OKI TNR-C3KC3</t>
  </si>
  <si>
    <t>JTNR-C3KK1</t>
  </si>
  <si>
    <t>OKI TNR-C3KK1(7000枚)</t>
  </si>
  <si>
    <t>JTNR-C3KK3</t>
  </si>
  <si>
    <t>OKI TNR-C3KK3</t>
  </si>
  <si>
    <t>JTNR-C3KM1</t>
  </si>
  <si>
    <t>OKI TNR-C3KM1(7000枚)</t>
  </si>
  <si>
    <t>JTNR-C3KM3</t>
  </si>
  <si>
    <t>OKI TNR-C3KM3</t>
  </si>
  <si>
    <t>JTNR-C3KY1</t>
  </si>
  <si>
    <t>OKI TNR-C3KY1(7000枚)</t>
  </si>
  <si>
    <t>JTNR-C3KY3</t>
  </si>
  <si>
    <t>OKI TNR-C3KY3</t>
  </si>
  <si>
    <t>JTNR-C3LC1</t>
  </si>
  <si>
    <t>OKI TNR-C3LC1</t>
  </si>
  <si>
    <t>JTNR-C3LC2</t>
  </si>
  <si>
    <t>OKI TNR-C3LC2（大容量）</t>
  </si>
  <si>
    <t>JTNR-C3LC3</t>
  </si>
  <si>
    <t>OKI TNR-C3LC3（小容量）</t>
  </si>
  <si>
    <t>JTNR-C3LK1</t>
  </si>
  <si>
    <t>OKI TNR-C3LK1</t>
  </si>
  <si>
    <t>JTNR-C3LK2</t>
  </si>
  <si>
    <t>OKI TNR-C3LK2（大容量）</t>
  </si>
  <si>
    <t>JTNR-C3LK3</t>
  </si>
  <si>
    <t>OKI TNR-C3LK3（小容量）</t>
  </si>
  <si>
    <t>JTNR-C3LM1</t>
  </si>
  <si>
    <t>OKI TNR-C3LM1</t>
  </si>
  <si>
    <t>JTNR-C3LM2</t>
  </si>
  <si>
    <t>OKI TNR-C3LM2（大容量）</t>
  </si>
  <si>
    <t>JTNR-C3LM3</t>
  </si>
  <si>
    <t>OKI TNR-C3LM3（小容量）</t>
  </si>
  <si>
    <t>JTNR-C3LY1</t>
  </si>
  <si>
    <t>OKI TNR-C3LY1</t>
  </si>
  <si>
    <t>JTNR-C3LY2</t>
  </si>
  <si>
    <t>OKI TNR-C3LY2（大容量）</t>
  </si>
  <si>
    <t>JTNR-C3LY3</t>
  </si>
  <si>
    <t>OKI TNR-C3LY3（小容量）</t>
  </si>
  <si>
    <t>JTNR-C3MC1</t>
  </si>
  <si>
    <t>OKI TNR-C3MC1</t>
  </si>
  <si>
    <t>JTNR-C3MK1</t>
  </si>
  <si>
    <t>OKI TNR-C3MK1</t>
  </si>
  <si>
    <t>JTNR-C3MM1</t>
  </si>
  <si>
    <t>OKI TNR-C3MM1</t>
  </si>
  <si>
    <t>JTNR-C3MY1</t>
  </si>
  <si>
    <t>OKI TNR-C3MY1</t>
  </si>
  <si>
    <t>JTNR-C3PC1</t>
  </si>
  <si>
    <t>OKI TNR-C3PC1</t>
  </si>
  <si>
    <t>JTNR-C3PC2</t>
  </si>
  <si>
    <t>OKI TNR-C3PC2</t>
  </si>
  <si>
    <t>JTNR-C3PK1</t>
  </si>
  <si>
    <t>OKI TNR-C3PK1</t>
  </si>
  <si>
    <t>JTNR-C3PK2</t>
  </si>
  <si>
    <t>OKI TNR-C3PK2</t>
  </si>
  <si>
    <t>JTNR-C3PM1</t>
  </si>
  <si>
    <t>OKI TNR-C3PM1</t>
  </si>
  <si>
    <t>JTNR-C3PM2</t>
  </si>
  <si>
    <t>OKI TNR-C3PM2</t>
  </si>
  <si>
    <t>JTNR-C3PY1</t>
  </si>
  <si>
    <t>OKI TNR-C3PY1</t>
  </si>
  <si>
    <t>JTNR-C3PY2</t>
  </si>
  <si>
    <t>OKI TNR-C3PY2</t>
  </si>
  <si>
    <t>JTNR-C3RC1</t>
  </si>
  <si>
    <t>OKI TNR-C3RC1</t>
  </si>
  <si>
    <t>JTNR-C3RC2</t>
  </si>
  <si>
    <t>OKI TNR-C3RC2</t>
  </si>
  <si>
    <t>JTNR-C3RK1</t>
  </si>
  <si>
    <t>OKI TNR-C3RK1</t>
  </si>
  <si>
    <t>JTNR-C3RK2</t>
  </si>
  <si>
    <t>OKI TNR-C3RK2</t>
  </si>
  <si>
    <t>JTNR-C3RM1</t>
  </si>
  <si>
    <t>OKI TNR-C3RM1</t>
  </si>
  <si>
    <t>JTNR-C3RM2</t>
  </si>
  <si>
    <t>OKI TNR-C3RM2</t>
  </si>
  <si>
    <t>JTNR-C3RSC2</t>
  </si>
  <si>
    <t>OKI TNR-C3RSC2</t>
  </si>
  <si>
    <t>JTNR-C3RSW2</t>
  </si>
  <si>
    <t>OKI TNR-C3RSW2</t>
  </si>
  <si>
    <t>JTNR-C3RY1</t>
  </si>
  <si>
    <t>OKI TNR-C3RY1</t>
  </si>
  <si>
    <t>JTNR-C3RY2</t>
  </si>
  <si>
    <t>OKI TNR-C3RY2</t>
  </si>
  <si>
    <t>JTNR-C4CC1</t>
  </si>
  <si>
    <t>-終息-OKI TNR-C4CC1(約5000枚)</t>
  </si>
  <si>
    <t>JTNR-C4CC3</t>
  </si>
  <si>
    <t>-終息-OKI TNR-C4CC3(約2000枚)</t>
  </si>
  <si>
    <t>JTNR-C4CK1</t>
  </si>
  <si>
    <t>-終息-OKI TNR-C4CK1(約5000枚)</t>
  </si>
  <si>
    <t>JTNR-C4CK3</t>
  </si>
  <si>
    <t>-終息-OKI TNR-C4CK3(約2000枚)</t>
  </si>
  <si>
    <t>JTNR-C4CM1</t>
  </si>
  <si>
    <t>-終息-OKI TNR-C4CM1(約5000枚)</t>
  </si>
  <si>
    <t>JTNR-C4CM3</t>
  </si>
  <si>
    <t>-終息-OKI TNR-C4CM3(約2000枚)</t>
  </si>
  <si>
    <t>JTNR-C4CY1</t>
  </si>
  <si>
    <t>-終息-OKI TNR-C4CY1(約5000枚)</t>
  </si>
  <si>
    <t>JTNR-C4CY3</t>
  </si>
  <si>
    <t>-終息-OKI TNR-C4CY3(約2000枚)</t>
  </si>
  <si>
    <t>JTNR-C4FC1</t>
  </si>
  <si>
    <t>OKI TNR-C4FC1</t>
  </si>
  <si>
    <t>JTNR-C4FC2</t>
  </si>
  <si>
    <t>OKI TNR-C4FC2</t>
  </si>
  <si>
    <t>JTNR-C4FK1</t>
  </si>
  <si>
    <t>OKI TNR-C4FK1</t>
  </si>
  <si>
    <t>JTNR-C4FK2</t>
  </si>
  <si>
    <t>OKI TNR-C4FK2</t>
  </si>
  <si>
    <t>JTNR-C4FM1</t>
  </si>
  <si>
    <t>OKI TNR-C4FM1</t>
  </si>
  <si>
    <t>JTNR-C4FM2</t>
  </si>
  <si>
    <t>OKI TNR-C4FM2</t>
  </si>
  <si>
    <t>JTNR-C4FY1</t>
  </si>
  <si>
    <t>OKI TNR-C4FY1</t>
  </si>
  <si>
    <t>JTNR-C4FY2</t>
  </si>
  <si>
    <t>OKI TNR-C4FY2</t>
  </si>
  <si>
    <t>JTNR-C4GC1</t>
  </si>
  <si>
    <t>OKI TNR-C4GC1</t>
  </si>
  <si>
    <t>JTNR-C4GC2</t>
  </si>
  <si>
    <t>OKI TNR-C4GC2</t>
  </si>
  <si>
    <t>JTNR-C4GK1</t>
  </si>
  <si>
    <t>OKI TNR-C4GK1</t>
  </si>
  <si>
    <t>JTNR-C4GK2</t>
  </si>
  <si>
    <t>OKI TNR-C4GK2</t>
  </si>
  <si>
    <t>JTNR-C4GM1</t>
  </si>
  <si>
    <t>OKI TNR-C4GM1</t>
  </si>
  <si>
    <t>JTNR-C4GM2</t>
  </si>
  <si>
    <t>OKI TNR-C4GM2</t>
  </si>
  <si>
    <t>JTNR-C4GY1</t>
  </si>
  <si>
    <t>OKI TNR-C4GY1</t>
  </si>
  <si>
    <t>JTNR-C4GY2</t>
  </si>
  <si>
    <t>OKI TNR-C4GY2</t>
  </si>
  <si>
    <t>JTNR-C4HC1</t>
  </si>
  <si>
    <t>OKI TNR-C4HC1</t>
  </si>
  <si>
    <t>JTNR-C4HC2</t>
  </si>
  <si>
    <t>OKI TNR-C4HC2</t>
  </si>
  <si>
    <t>JTNR-C4HC3</t>
  </si>
  <si>
    <t>OKI TNR-C4HC3</t>
  </si>
  <si>
    <t>JTNR-C4HK1</t>
  </si>
  <si>
    <t>OKI TNR-C4HK1</t>
  </si>
  <si>
    <t>JTNR-C4HK2</t>
  </si>
  <si>
    <t>OKI TNR-C4HK2</t>
  </si>
  <si>
    <t>JTNR-C4HK3</t>
  </si>
  <si>
    <t>OKI TNR-C4HK3</t>
  </si>
  <si>
    <t>JTNR-C4HM1</t>
  </si>
  <si>
    <t>OKI TNR-C4HM1</t>
  </si>
  <si>
    <t>JTNR-C4HM2</t>
  </si>
  <si>
    <t>OKI TNR-C4HM2</t>
  </si>
  <si>
    <t>JTNR-C4HM3</t>
  </si>
  <si>
    <t>OKI TNR-C4HM3</t>
  </si>
  <si>
    <t>JTNR-C4HY1</t>
  </si>
  <si>
    <t>OKI TNR-C4HY1</t>
  </si>
  <si>
    <t>JTNR-C4HY2</t>
  </si>
  <si>
    <t>OKI TNR-C4HY2</t>
  </si>
  <si>
    <t>JTNR-C4HY3</t>
  </si>
  <si>
    <t>OKI TNR-C4HY3</t>
  </si>
  <si>
    <t>JTNR-C4JC1</t>
  </si>
  <si>
    <t>OKI TNR-C4JC1</t>
  </si>
  <si>
    <t>JTNR-C4JK1</t>
  </si>
  <si>
    <t>OKI TNR-C4JK1</t>
  </si>
  <si>
    <t>JTNR-C4JM1</t>
  </si>
  <si>
    <t>OKI TNR-C4JM1</t>
  </si>
  <si>
    <t>JTNR-C4JY1</t>
  </si>
  <si>
    <t>OKI TNR-C4JY1</t>
  </si>
  <si>
    <t>JTNR-C4KC1</t>
  </si>
  <si>
    <t>OKI TNR-C4KC1</t>
  </si>
  <si>
    <t>JTNR-C4KC2</t>
  </si>
  <si>
    <t>OKI TNR-C4KC2（約5000枚）</t>
  </si>
  <si>
    <t>JTNR-C4KC3</t>
  </si>
  <si>
    <t>OKI TNR-C4KC3（約2000枚）</t>
  </si>
  <si>
    <t>JTNR-C4KK1</t>
  </si>
  <si>
    <t>OKI TNR-C4KK1</t>
  </si>
  <si>
    <t>JTNR-C4KK2</t>
  </si>
  <si>
    <t>OKI TNR-C4KK2（約5000枚）</t>
  </si>
  <si>
    <t>JTNR-C4KK3</t>
  </si>
  <si>
    <t>OKI TNR-C4KK3（約2000枚）</t>
  </si>
  <si>
    <t>JTNR-C4KM1</t>
  </si>
  <si>
    <t>OKI TNR-C4KM1</t>
  </si>
  <si>
    <t>JTNR-C4KM2</t>
  </si>
  <si>
    <t>OKI TNR-C4KM2（約5000枚）</t>
  </si>
  <si>
    <t>JTNR-C4KM3</t>
  </si>
  <si>
    <t>OKI TNR-C4KM3（約2000枚）</t>
  </si>
  <si>
    <t>JTNR-C4KY1</t>
  </si>
  <si>
    <t>OKI TNR-C4KY1</t>
  </si>
  <si>
    <t>JTNR-C4KY2</t>
  </si>
  <si>
    <t>OKI TNR-C4KY2（約5000枚）</t>
  </si>
  <si>
    <t>JTNR-C4KY3</t>
  </si>
  <si>
    <t>OKI TNR-C4KY3（約2000枚）</t>
  </si>
  <si>
    <t>JTNR-C4RC1</t>
  </si>
  <si>
    <t>OKI TNR-C4RC1</t>
  </si>
  <si>
    <t>JTNR-C4RC2</t>
  </si>
  <si>
    <t>OKI TNR-C4RC2</t>
  </si>
  <si>
    <t>JTNR-C4RK1</t>
  </si>
  <si>
    <t>OKI TNR-C4RK1</t>
  </si>
  <si>
    <t>JTNR-C4RM1</t>
  </si>
  <si>
    <t>OKI TNR-C4RM1</t>
  </si>
  <si>
    <t>JTNR-C4RM2</t>
  </si>
  <si>
    <t>OKI TNR-C4RM2</t>
  </si>
  <si>
    <t>JTNR-C4RY1</t>
  </si>
  <si>
    <t>OKI TNR-C4RY1</t>
  </si>
  <si>
    <t>JTNR-M4B</t>
  </si>
  <si>
    <t>OKI TNR-M4B</t>
  </si>
  <si>
    <t>JTNR-M4C</t>
  </si>
  <si>
    <t>OKI TNR-M4C</t>
  </si>
  <si>
    <t>JTNR-M4D1</t>
  </si>
  <si>
    <t>OKI TNR-M4D1</t>
  </si>
  <si>
    <t>JTNR-M4D2</t>
  </si>
  <si>
    <t>OKI TNR-M4D2</t>
  </si>
  <si>
    <t>JTNR-M4E1</t>
  </si>
  <si>
    <t>OKI TNR-M4E1</t>
  </si>
  <si>
    <t>JTNR-M4E3</t>
  </si>
  <si>
    <t>OKI TNR-M4E3</t>
  </si>
  <si>
    <t>JTNR-M4G1</t>
  </si>
  <si>
    <t>OKI TNR-M4G1</t>
  </si>
  <si>
    <t>JTNR-M4G2</t>
  </si>
  <si>
    <t>OKI TNR-M4G2</t>
  </si>
  <si>
    <t>JTNR62J</t>
  </si>
  <si>
    <t>-使用禁止-brother  ﾄﾅｰｶｰﾄﾘｯｼﾞTNR-62J</t>
  </si>
  <si>
    <t>JTNRC3LK4</t>
  </si>
  <si>
    <t>OKI TNR-C3LK4</t>
  </si>
  <si>
    <t>JTNRC4EC1</t>
  </si>
  <si>
    <t>OKI TNR-C4EC1</t>
  </si>
  <si>
    <t>JTNRC4EC2</t>
  </si>
  <si>
    <t>OKI TNR-C4EC2</t>
  </si>
  <si>
    <t>JTNRC4EK1</t>
  </si>
  <si>
    <t>OKI TNR-C4EK1</t>
  </si>
  <si>
    <t>JTNRC4EK2</t>
  </si>
  <si>
    <t>OKI TNR-C4EK2</t>
  </si>
  <si>
    <t>JTNRC4EM1</t>
  </si>
  <si>
    <t>OKI TNR-C4EM1</t>
  </si>
  <si>
    <t>JTNRC4EM2</t>
  </si>
  <si>
    <t>OKI TNR-C4EM2</t>
  </si>
  <si>
    <t>JTNRC4EY1</t>
  </si>
  <si>
    <t>OKI TNR-C4EY1</t>
  </si>
  <si>
    <t>JTNRC4EY2</t>
  </si>
  <si>
    <t>OKI TNR-C4EY2</t>
  </si>
  <si>
    <t>JTNRC4RK2</t>
  </si>
  <si>
    <t>OKI TNR-C4RK2</t>
  </si>
  <si>
    <t>JTNRC4RY2</t>
  </si>
  <si>
    <t>OKI TNR-C4RY2</t>
  </si>
  <si>
    <t>JTNRM4A</t>
  </si>
  <si>
    <t>JTOB</t>
  </si>
  <si>
    <t>EPSON ｲﾝｸﾎﾞﾄﾙ TOB-GY ｸﾞﾚｰ 70ml</t>
  </si>
  <si>
    <t>JTOBC</t>
  </si>
  <si>
    <t>EPSON ｲﾝｸﾎﾞﾄﾙ TOB-C ｼｱﾝ 70ml</t>
  </si>
  <si>
    <t>JTOBM</t>
  </si>
  <si>
    <t>EPSON ｲﾝｸﾎﾞﾄﾙ TOB-M ﾏｾﾞﾝﾀ 70ml</t>
  </si>
  <si>
    <t>JTOBMB</t>
  </si>
  <si>
    <t>EPSON ｲﾝｸﾎﾞﾄﾙ TOB-MB ﾏｯﾄﾌﾞﾗｯｸ 70ml</t>
  </si>
  <si>
    <t>JTOBPB</t>
  </si>
  <si>
    <t>EPSON ｲﾝｸﾎﾞﾄﾙ TOB-PB ﾌｫﾄﾌﾞﾗｯｸ 70ml</t>
  </si>
  <si>
    <t>JTOBY</t>
  </si>
  <si>
    <t>EPSON ｲﾝｸﾎﾞﾄﾙ TOB-Y ｲｴﾛｰ 70ml</t>
  </si>
  <si>
    <t>JTRP08080</t>
  </si>
  <si>
    <t>EPSON TRP080-80 ｻｰﾏﾙﾚｼｰﾄﾛｰﾙ紙 ﾉｰﾏﾙ保存ﾀｲﾌﾟ 80mm幅×巻径80mmφ 3巻/箱</t>
  </si>
  <si>
    <t>JTRP08080H</t>
  </si>
  <si>
    <t>EPSON TRP080-80H ｻｰﾏﾙﾛｰﾙ紙　高保存　幅80mm　1箱(3巻)</t>
  </si>
  <si>
    <t>JTRP5880H</t>
  </si>
  <si>
    <t>CASIO TRP-5880HX5 (3190296)感熱ﾛｰﾙ紙 58mm幅×外径80mm 高保存ﾀｲﾌﾟ 5巻入</t>
  </si>
  <si>
    <t>JTRYM3C1</t>
  </si>
  <si>
    <t>OKI ｾｶﾝﾄﾞﾄﾚｲﾕﾆｯﾄ TRY-M3C1</t>
  </si>
  <si>
    <t>JTS0780AJP</t>
  </si>
  <si>
    <t>ﾑﾗﾃｯｸ V-780 TS0780AJP ﾄﾅｰ</t>
  </si>
  <si>
    <t>JTS0865AWJP</t>
  </si>
  <si>
    <t>ﾑﾗﾃｯｸ TS0865AWJP ﾄﾅｰ (TS86B)</t>
  </si>
  <si>
    <t>JTS30B</t>
  </si>
  <si>
    <t>ﾑﾗﾃｯｸ V-730/740 TS30B ﾄﾅｰ</t>
  </si>
  <si>
    <t>JTS3680CAJP</t>
  </si>
  <si>
    <t>ﾑﾗﾃｯｸ TS3680C AJP ﾄﾅｰ</t>
  </si>
  <si>
    <t>JTS3680KAJP</t>
  </si>
  <si>
    <t>ﾑﾗﾃｯｸ TS3680K AJP ﾄﾅｰ</t>
  </si>
  <si>
    <t>JTS3680MAJP</t>
  </si>
  <si>
    <t>ﾑﾗﾃｯｸ TS3680M AJP ﾄﾅｰ</t>
  </si>
  <si>
    <t>JTS3680YAJP</t>
  </si>
  <si>
    <t>ﾑﾗﾃｯｸ TS3680Y AJP ﾄﾅｰ</t>
  </si>
  <si>
    <t>JTS5180AJP</t>
  </si>
  <si>
    <t>ﾑﾗﾃｯｸ TS5180AJP ﾄﾅｰ ※保守加入の場合注意</t>
  </si>
  <si>
    <t>JTS5180BJP</t>
  </si>
  <si>
    <t>ﾑﾗﾃｯｸ TS5180BJP ﾄﾅｰ※保守加入の場合提供不可</t>
  </si>
  <si>
    <t>JTS8200AJP</t>
  </si>
  <si>
    <t>ﾑﾗﾃｯｸ TS8200AJPﾄﾅｰA</t>
  </si>
  <si>
    <t>JTVP1600K</t>
  </si>
  <si>
    <t>ｺﾆｶﾐﾉﾙﾀ  TVP1600K ﾌﾞﾗｯｸﾄﾅｰﾊﾞﾘｭｰﾊﾟｯｸ(3本) 大容量</t>
  </si>
  <si>
    <t>JTVP1600YMC</t>
  </si>
  <si>
    <t>ｺﾆｶﾐﾉﾙﾀ  TVP1600YMC ｶﾗｰﾄﾅｰﾊﾞﾘｭｰﾊﾟｯｸ 大容量</t>
  </si>
  <si>
    <t>JTYPE23</t>
  </si>
  <si>
    <t>RICOH ﾄﾅｰ ﾀｲﾌﾟ23 ﾌﾞﾗｯｸ</t>
  </si>
  <si>
    <t>JU</t>
  </si>
  <si>
    <t>CANON ｶｰﾄﾘｯｼﾞ U　-在庫限り終息-</t>
  </si>
  <si>
    <t>JUM-C1</t>
  </si>
  <si>
    <t>CANON 定着器ﾕﾆｯﾄ UM-C1 5426C002</t>
  </si>
  <si>
    <t>JUM722FA</t>
  </si>
  <si>
    <t>CANON ﾕｰｻﾞﾒﾝﾃﾅﾝｽｷｯﾄ 定着器ﾕﾆｯﾄ UM-722FA　3932B002</t>
  </si>
  <si>
    <t>JUM722FB</t>
  </si>
  <si>
    <t>CANON ﾕｰｻﾞﾒﾝﾃﾅﾝｽｷｯﾄ 定着器ﾕﾆｯﾄ UM-722FB　3932B003</t>
  </si>
  <si>
    <t>JUM722I</t>
  </si>
  <si>
    <t>CANON ITBﾕﾆｯﾄ UM-722I 3932B004</t>
  </si>
  <si>
    <t>JUM723F</t>
  </si>
  <si>
    <t>CANON ﾕｰｻﾞﾒﾝﾃﾅﾝｽｷｯﾄ 定着器ﾕﾆｯﾄ UM-723F(2022.3終息)</t>
  </si>
  <si>
    <t>JUM98F</t>
  </si>
  <si>
    <t>CANON ﾕｰｻﾞﾒﾝﾃﾅﾝｽｷｯﾄ定着器ﾕﾆｯﾄ UM-98F</t>
  </si>
  <si>
    <t>JUMA1</t>
  </si>
  <si>
    <t>CANON ﾕｰｻﾞﾒﾝﾃﾅﾝｽｷｯﾄ FUSER KIT UM-A1　0563C007</t>
  </si>
  <si>
    <t>JUMB1</t>
  </si>
  <si>
    <t>CANON 定着器ﾕﾆｯﾄ UM-B1　1834C004</t>
  </si>
  <si>
    <t>JUMC1</t>
  </si>
  <si>
    <t>CANON ITBﾕﾆｯﾄ UM-C1 1834C005</t>
  </si>
  <si>
    <t>JUME1</t>
  </si>
  <si>
    <t>CANON ﾕｰｻﾞﾒﾝﾃﾅﾝｽｷｯﾄ FUSER KIT UM-E1　6522C004</t>
  </si>
  <si>
    <t>JUMF1</t>
  </si>
  <si>
    <t>CANON ITBﾕﾆｯﾄ UM-F1 6522C005</t>
  </si>
  <si>
    <t>JUMG1</t>
  </si>
  <si>
    <t>CANON ITBﾕﾆｯﾄ UM-G1 6523C001</t>
  </si>
  <si>
    <t>JV20HTB</t>
  </si>
  <si>
    <t>JV20TDSCG</t>
  </si>
  <si>
    <t>JV20TDSCN</t>
  </si>
  <si>
    <t>JV20TDSKG</t>
  </si>
  <si>
    <t>JV20TDSKN</t>
  </si>
  <si>
    <t>JV20TDSMG</t>
  </si>
  <si>
    <t>JV20TDSMN</t>
  </si>
  <si>
    <t>JV20TDSYG</t>
  </si>
  <si>
    <t>JV20TDSYN</t>
  </si>
  <si>
    <t>JVP1800RC</t>
  </si>
  <si>
    <t>EPSON ﾘﾎﾞﾝｶｰﾄﾘｯｼﾞ VP1800RC</t>
  </si>
  <si>
    <t>JVP3000RC2</t>
  </si>
  <si>
    <t>EPSON ｶｰﾄﾘｯｼﾞﾘﾎﾞﾝ200万ch VP3000RC2</t>
  </si>
  <si>
    <t>JVP4000RC</t>
  </si>
  <si>
    <t>EPSON ﾘﾎﾞﾝｶｰﾄﾘｯｼﾞ VP4000RC 黒</t>
  </si>
  <si>
    <t>JVP4300LRC</t>
  </si>
  <si>
    <t>EPSON ｲﾝｸﾘﾎﾞﾝ VP4300LRC</t>
  </si>
  <si>
    <t>JVP5200RC</t>
  </si>
  <si>
    <t>EPSON ﾘﾎﾞﾝｶｰﾄﾘｯｼﾞ VP5200RC</t>
  </si>
  <si>
    <t>JVP5200RP</t>
  </si>
  <si>
    <t>EPSON ｽﾍﾟｱﾘﾎﾞﾝ VP5200RP</t>
  </si>
  <si>
    <t>JVP880RC</t>
  </si>
  <si>
    <t>EPSON ﾘﾎﾞﾝｶｰﾄﾘｯｼﾞ 黒 VP880RC   1252200</t>
  </si>
  <si>
    <t>JVPD1800RC</t>
  </si>
  <si>
    <t>EPSON ﾘﾎﾞﾝｶｰﾄﾘｯｼﾞ VPD1800RC</t>
  </si>
  <si>
    <t>純正　※VP1800RCではありません</t>
  </si>
  <si>
    <t>JVPD1800RP</t>
  </si>
  <si>
    <t>EPSON ﾘﾎﾞﾝﾊﾟｯｸ VPD1800RP</t>
  </si>
  <si>
    <t>純正　※VP1800RPではありません</t>
  </si>
  <si>
    <t>JVPF2000RC</t>
  </si>
  <si>
    <t>EPSON ﾘﾎﾞﾝｶｰﾄﾘｯｼﾞ VPF2000RC 黒</t>
  </si>
  <si>
    <t>JW</t>
  </si>
  <si>
    <t>-終息-CANON ｶｰﾄﾘｯｼﾞ W　7833A003</t>
  </si>
  <si>
    <t>JW1470Y</t>
  </si>
  <si>
    <t>HP  W1470Y W147Yﾄﾅｰｶｰﾄﾘｯｼﾞ黒(大容量)</t>
  </si>
  <si>
    <t>JW2004A</t>
  </si>
  <si>
    <t>HP 660A ｲﾒｰｼﾞﾄﾞﾗﾑ W2004A</t>
  </si>
  <si>
    <t>JW2010X</t>
  </si>
  <si>
    <t>HP 659X ﾄﾅｰｶｰﾄﾘｯｼﾞ 黒 W2010X</t>
  </si>
  <si>
    <t>JW2011X</t>
  </si>
  <si>
    <t>HP 659X ﾄﾅｰｶｰﾄﾘｯｼﾞ ｼｱﾝ W2011X</t>
  </si>
  <si>
    <t>JW2012X</t>
  </si>
  <si>
    <t>HP 659X ﾄﾅｰｶｰﾄﾘｯｼﾞ ｲｴﾛｰ W2012X</t>
  </si>
  <si>
    <t>JW2013X</t>
  </si>
  <si>
    <t>HP 659X ﾄﾅｰｶｰﾄﾘｯｼﾞ ﾏｾﾞﾝﾀ W2013X</t>
  </si>
  <si>
    <t>JW2120X</t>
  </si>
  <si>
    <t>HP 212X ﾄﾅｰｶｰﾄﾘｯｼﾞ 黒 W2120X</t>
  </si>
  <si>
    <t>JW2121X</t>
  </si>
  <si>
    <t>HP 212X ﾄﾅｰｶｰﾄﾘｯｼﾞ ｼｱﾝ W2121X</t>
  </si>
  <si>
    <t>JW2122X</t>
  </si>
  <si>
    <t>HP 212X ﾄﾅｰｶｰﾄﾘｯｼﾞ ｲｴﾛｰ W2122X</t>
  </si>
  <si>
    <t>JW2123X</t>
  </si>
  <si>
    <t>HP 212X ﾄﾅｰｶｰﾄﾘｯｼﾞ ﾏｾﾞﾝﾀ W2123X</t>
  </si>
  <si>
    <t>JWPA320PRM</t>
  </si>
  <si>
    <t>富士写真ﾌｨﾙﾑ『画彩』 写真仕上げ光沢ﾌﾟﾚﾐｱﾑ&lt;光沢･厚手&gt; WPA320PRM</t>
  </si>
  <si>
    <t>280μ 印画紙ﾍﾞｰｽ A3 20枚/冊</t>
  </si>
  <si>
    <t>JWT200CL</t>
  </si>
  <si>
    <t>brother 廃ﾄﾅｰﾎﾞｯｸｽ WT-200CL</t>
  </si>
  <si>
    <t>JWT202</t>
  </si>
  <si>
    <t>CANON 回収ﾄﾅｰﾎﾞｯｸｽ WT-202 5426C001</t>
  </si>
  <si>
    <t>JWT202MFP</t>
  </si>
  <si>
    <t>CANON 複合機用 回収ﾄﾅｰﾎﾞｯｸｽ WT-202　FM1-A606-050</t>
  </si>
  <si>
    <t>JWT220CL</t>
  </si>
  <si>
    <t>brother 廃ﾄﾅｰﾎﾞｯｸｽ WT-220CL</t>
  </si>
  <si>
    <t>JWT223CL</t>
  </si>
  <si>
    <t>brother 廃ﾄﾅｰﾎﾞｯｸｽ WT-223CL</t>
  </si>
  <si>
    <t>JWT229CL</t>
  </si>
  <si>
    <t>brother 廃ﾄﾅｰﾎﾞｯｸｽ WT-229CL</t>
  </si>
  <si>
    <t>JWT3100</t>
  </si>
  <si>
    <t>京セラ ﾄﾅｰ回収ﾎﾞﾄﾙ WT-3100　10本ｾｯﾄ</t>
  </si>
  <si>
    <t>JWT320CL</t>
  </si>
  <si>
    <t>brother 廃ﾄﾅｰﾎﾞｯｸｽ WT-320CL</t>
  </si>
  <si>
    <t>JWT5191</t>
  </si>
  <si>
    <t>京セラ WT-5191</t>
  </si>
  <si>
    <t>JWT722</t>
  </si>
  <si>
    <t>CANON 回収ﾄﾅｰﾎﾞｯｸｽ WT-722　3932B001</t>
  </si>
  <si>
    <t>JWT723</t>
  </si>
  <si>
    <t>CANON 回収ﾄﾅｰﾎﾞｯｸｽ WT-723　3338B002(2022.3終息)</t>
  </si>
  <si>
    <t>JWT8500</t>
  </si>
  <si>
    <t>京セラ ﾄﾅｰ回収ﾀﾝｸ WT-8500</t>
  </si>
  <si>
    <t>JWT8500MFP</t>
  </si>
  <si>
    <t>-使用不可-京セラ WT-8500 ﾄﾅｰ回収ﾎﾞﾄﾙ</t>
  </si>
  <si>
    <t>JWT860</t>
  </si>
  <si>
    <t>京セラ ﾄﾅｰ回収ﾎﾞﾄﾙ WT-860</t>
  </si>
  <si>
    <t>JWT861</t>
  </si>
  <si>
    <t>京セラ ﾄﾅｰ回収ﾎﾞﾄﾙ WT-861</t>
  </si>
  <si>
    <t>JWT98A</t>
  </si>
  <si>
    <t>CANON 廃ﾄﾅｰﾎﾞｯｸｽ WT-98A</t>
  </si>
  <si>
    <t>JWT98B</t>
  </si>
  <si>
    <t>CANON 回収ﾄﾅｰﾎﾞｯｸｽ WT-98B　0361B008</t>
  </si>
  <si>
    <t>JWTA2</t>
  </si>
  <si>
    <t>CANON 回収ﾄﾅｰﾎﾞｯｸｽWT-A2</t>
  </si>
  <si>
    <t>JWTA4</t>
  </si>
  <si>
    <t>CANON 回収ﾄﾅｰﾎﾞｯｸｽ WT-A4</t>
  </si>
  <si>
    <t>JWTB1</t>
  </si>
  <si>
    <t>CANON 回収ﾄﾅｰﾎﾞｯｸｽ WT-B1　0942C002</t>
  </si>
  <si>
    <t>JWTBC3A</t>
  </si>
  <si>
    <t>OKI MLWTB-C3A 廃ﾄﾅｰﾎﾞｯｸｽ</t>
  </si>
  <si>
    <t>JWTBC3R</t>
  </si>
  <si>
    <t>OKI WTB-C3R　廃ﾄﾅｰﾎﾞｯｸｽ</t>
  </si>
  <si>
    <t>JWTC1</t>
  </si>
  <si>
    <t>CANON 回収ﾄﾅｰﾎﾞｯｸｽ WT-C1　1834C003</t>
  </si>
  <si>
    <t>JWTX401</t>
  </si>
  <si>
    <t>CANON ﾒﾝﾃﾅﾝｽｶｰﾄﾘｯｼﾞ WT-X401</t>
  </si>
  <si>
    <t>JXKIN10PGBK</t>
  </si>
  <si>
    <t>CANON ｲﾝｸﾀﾝｸ XKI-N10PGBK 2022C001</t>
  </si>
  <si>
    <t>JXKIN11BK</t>
  </si>
  <si>
    <t>CANON ｲﾝｸﾀﾝｸ XKI-N11BK ﾌﾞﾗｯｸ</t>
  </si>
  <si>
    <t>JXKIN11C</t>
  </si>
  <si>
    <t>CANON ｲﾝｸﾀﾝｸ XKI-N11C ｼｱﾝ</t>
  </si>
  <si>
    <t>JXKIN11M</t>
  </si>
  <si>
    <t>CANON ｲﾝｸﾀﾝｸ XKI-N11M ﾏｾﾞﾝﾀ</t>
  </si>
  <si>
    <t>JXKIN11N106MP</t>
  </si>
  <si>
    <t>CANON ｲﾝｸﾀﾝｸ XKI-N11+N10/6MP</t>
  </si>
  <si>
    <t>JXKIN11PB</t>
  </si>
  <si>
    <t>CANON ｲﾝｸﾀﾝｸ XKI-N11PB ﾌｫﾄﾌﾞﾙｰ</t>
  </si>
  <si>
    <t>JXKIN11XLBK</t>
  </si>
  <si>
    <t>CANON ｲﾝｸﾀﾝｸ XKI-N11XLBK ﾌﾞﾗｯｸ大容量</t>
  </si>
  <si>
    <t>JXKIN11XLC</t>
  </si>
  <si>
    <t>CANON ｲﾝｸﾀﾝｸ XKI-N11XLC ｼｱﾝ大容量</t>
  </si>
  <si>
    <t>JXKIN11XLM</t>
  </si>
  <si>
    <t>CANON ｲﾝｸﾀﾝｸ XKI-N11XLM ﾏｾﾞﾝﾀ大容量</t>
  </si>
  <si>
    <t>JXKIN11XLPB</t>
  </si>
  <si>
    <t>CANON ｲﾝｸﾀﾝｸ XKI-N11XLPB ﾌｫﾄﾌﾞﾙｰ大容量</t>
  </si>
  <si>
    <t>JXKIN11XLY</t>
  </si>
  <si>
    <t>CANON ｲﾝｸﾀﾝｸ XKI-N11XLY ｲｴﾛｰ大容量</t>
  </si>
  <si>
    <t>JXKIN11Y</t>
  </si>
  <si>
    <t>CANON ｲﾝｸﾀﾝｸ XKI-N11Y ｲｴﾛｰ</t>
  </si>
  <si>
    <t>JXKIN20PGBK</t>
  </si>
  <si>
    <t>XKI-N20PGBK　5107C001</t>
  </si>
  <si>
    <t>JXKIN21N205MP</t>
  </si>
  <si>
    <t>XKI-N21+N20/5MP ﾏﾙﾁﾊﾟｯｸ 5333C002</t>
  </si>
  <si>
    <t>JXKIN21N206MP</t>
  </si>
  <si>
    <t>XKI-N21+N20/6MP　5333C001</t>
  </si>
  <si>
    <t>JYADBK</t>
  </si>
  <si>
    <t>EPSON ｲﾝｸﾎﾞﾄﾙ ﾔﾄﾞｶﾘ YAD-BK ﾌﾞﾗｯｸ</t>
  </si>
  <si>
    <t>JYTH6CL</t>
  </si>
  <si>
    <t>EPSON ｲﾝｸｶｰﾄﾘｯｼﾞ YTH-6CL ﾖｯﾄ 6色ﾊﾟｯｸ</t>
  </si>
  <si>
    <t>KATTENI</t>
  </si>
  <si>
    <t>配達の際、必ず玄関ｲﾝﾀｰﾌｫﾝを押して、事務所の対応を待って下さい。勝手に事務所に入られないよう、ご注意願います。と送り状に記載してください。よろしくお願いいたします。</t>
  </si>
  <si>
    <t>KNEC</t>
  </si>
  <si>
    <t>※NEC送料がかからないようお願いいたします。</t>
  </si>
  <si>
    <t>KON</t>
  </si>
  <si>
    <t>※二重梱包・取扱い注意ｼｰﾙ貼付願います。</t>
  </si>
  <si>
    <t>LBP161</t>
  </si>
  <si>
    <t>CANON ﾚｰｻﾞｰﾌﾟﾘﾝﾀｰ LBP161　2438C017</t>
  </si>
  <si>
    <t>LBP162</t>
  </si>
  <si>
    <t>CANON ﾚｰｻﾞｰﾌﾟﾘﾝﾀｰ LBP162　2438C015</t>
  </si>
  <si>
    <t>LBP221</t>
  </si>
  <si>
    <t>CANON ﾚｰｻﾞｰﾌﾟﾘﾝﾀｰ LBP221　3516C002</t>
  </si>
  <si>
    <t>LBP224</t>
  </si>
  <si>
    <t>CANON ﾚｰｻﾞｰﾌﾟﾘﾝﾀｰ LBP224　3516C001</t>
  </si>
  <si>
    <t>LBP321</t>
  </si>
  <si>
    <t>CANON ﾚｰｻﾞｰﾌﾟﾘﾝﾀｰ LBP321　3515C002</t>
  </si>
  <si>
    <t>LBP322i</t>
  </si>
  <si>
    <t>CANON ﾚｰｻﾞｰﾌﾟﾘﾝﾀｰ LBP322i　3515C001</t>
  </si>
  <si>
    <t>LBP351i</t>
  </si>
  <si>
    <t>CANON ﾚｰｻﾞｰﾌﾟﾘﾝﾀｰ LBP351i ﾓﾉｸﾛ</t>
  </si>
  <si>
    <t>LBP352i</t>
  </si>
  <si>
    <t>CANON ﾚｰｻﾞｰﾌﾟﾘﾝﾀｰ LBP352i　0562C006</t>
  </si>
  <si>
    <t>LBP361i</t>
  </si>
  <si>
    <t>CANON ﾚｰｻﾞｰﾌﾟﾘﾝﾀｰ LBP361i ﾓﾉｸﾛ</t>
  </si>
  <si>
    <t>LBP362i</t>
  </si>
  <si>
    <t>CANON ﾚｰｻﾞｰﾌﾟﾘﾝﾀｰ LBP362i　5644C005</t>
  </si>
  <si>
    <t>LBP441</t>
  </si>
  <si>
    <t>CANON ﾚｰｻﾞｰﾌﾟﾘﾝﾀｰ LBP441　1734C003</t>
  </si>
  <si>
    <t>LBP441e</t>
  </si>
  <si>
    <t>CANON ﾚｰｻﾞｰﾌﾟﾘﾝﾀｰ LBP441e　1734C004</t>
  </si>
  <si>
    <t>LBP442</t>
  </si>
  <si>
    <t>CANON ﾚｰｻﾞｰﾌﾟﾘﾝﾀｰ LBP442　1734C002</t>
  </si>
  <si>
    <t>LBP443i</t>
  </si>
  <si>
    <t>CANON ﾚｰｻﾞｰﾌﾟﾘﾝﾀｰ LBP443i　1734C001</t>
  </si>
  <si>
    <t>LBP5910</t>
  </si>
  <si>
    <t>CANON ﾚｰｻﾞｰﾌﾟﾘﾝﾀｰ LBP5910　0075B016</t>
  </si>
  <si>
    <t>LBP5910F</t>
  </si>
  <si>
    <t>CANON ﾚｰｻﾞｰﾌﾟﾘﾝﾀｰ LBP5910F　0075B017</t>
  </si>
  <si>
    <t>LBP6030</t>
  </si>
  <si>
    <t>CANON ﾚｰｻﾞｰﾌﾟﾘﾝﾀｰ LBP6030　8468B005</t>
  </si>
  <si>
    <t>LBP6040</t>
  </si>
  <si>
    <t>CANON ﾚｰｻﾞｰﾌﾟﾘﾝﾀｰ LBP6040　8468B004</t>
  </si>
  <si>
    <t>LBP621C</t>
  </si>
  <si>
    <t>CANON ﾚｰｻﾞｰﾌﾟﾘﾝﾀｰ LBP621C　3104C010</t>
  </si>
  <si>
    <t>LBP622C</t>
  </si>
  <si>
    <t>CANON ﾚｰｻﾞｰﾌﾟﾘﾝﾀｰ LBP622C　3104C006</t>
  </si>
  <si>
    <t>LBP661C</t>
  </si>
  <si>
    <t>CANON ﾚｰｻﾞｰﾌﾟﾘﾝﾀｰ LBP661C　3103C012</t>
  </si>
  <si>
    <t>LBP662C</t>
  </si>
  <si>
    <t>CANON ﾚｰｻﾞｰﾌﾟﾘﾝﾀｰ LBP662C　3103C011</t>
  </si>
  <si>
    <t>LBP664C</t>
  </si>
  <si>
    <t>CANON ﾚｰｻﾞｰﾌﾟﾘﾝﾀｰ LBP664C　3103C005</t>
  </si>
  <si>
    <t>LBP671C</t>
  </si>
  <si>
    <t>CANON ﾚｰｻﾞｰﾌﾟﾘﾝﾀｰ LBP671C　5456C012</t>
  </si>
  <si>
    <t>LBP672C</t>
  </si>
  <si>
    <t>CANON ﾚｰｻﾞｰﾌﾟﾘﾝﾀｰ LBP672C　5456C011</t>
  </si>
  <si>
    <t>LBP674C</t>
  </si>
  <si>
    <t>CANON ﾚｰｻﾞｰﾌﾟﾘﾝﾀｰ LBP674C　5456C005</t>
  </si>
  <si>
    <t>LBP712Ci</t>
  </si>
  <si>
    <t>CANON ﾚｰｻﾞｰﾌﾟﾘﾝﾀｰ LBP712Ci　0656C005</t>
  </si>
  <si>
    <t>LBP722Ci</t>
  </si>
  <si>
    <t>CANON ﾚｰｻﾞｰﾌﾟﾘﾝﾀｰ LBP722Ci　4929C005</t>
  </si>
  <si>
    <t>LBP8100</t>
  </si>
  <si>
    <t>CANON ﾚｰｻﾞｰﾌﾟﾘﾝﾀｰ LBP8100　9975B001</t>
  </si>
  <si>
    <t>LBP841C</t>
  </si>
  <si>
    <t>CANON ﾚｰｻﾞｰﾌﾟﾘﾝﾀｰ LBP841C　2716B026</t>
  </si>
  <si>
    <t>LBP841CS</t>
  </si>
  <si>
    <t>-終息-CANON ﾚｰｻﾞｰﾌﾟﾘﾝﾀｰ LBP841CS　0128T079</t>
  </si>
  <si>
    <t>LBP851C</t>
  </si>
  <si>
    <t>CANON ﾚｰｻﾞｰﾌﾟﾘﾝﾀｰ LBP851C　1830C005</t>
  </si>
  <si>
    <t>LBP852Ci</t>
  </si>
  <si>
    <t>CANON ﾚｰｻﾞｰﾌﾟﾘﾝﾀｰ LBP852Ci　1830C003</t>
  </si>
  <si>
    <t>LBP853Ci</t>
  </si>
  <si>
    <t>CANON ﾚｰｻﾞｰﾌﾟﾘﾝﾀｰ LBP853Ci　1830C010</t>
  </si>
  <si>
    <t>LC8543X</t>
  </si>
  <si>
    <t>HP ﾄﾅｰｶｰﾄﾘｯｼﾞ C8543X</t>
  </si>
  <si>
    <t>LFMGPS24170</t>
  </si>
  <si>
    <t>CANON ｽﾀﾝﾀﾞｰﾄﾞ光沢紙 LFM-GPS/24/170</t>
  </si>
  <si>
    <t>LFMPPS23664</t>
  </si>
  <si>
    <t>CANON ｽﾀﾝﾀﾞｰﾄﾞ普通紙 LFM-PPS2/36/64　2本/箱</t>
  </si>
  <si>
    <t>LP-M8180A</t>
  </si>
  <si>
    <t>EPSON ﾚｰｻﾞｰ 複合機 LP-M8180A</t>
  </si>
  <si>
    <t>LP-M8180F</t>
  </si>
  <si>
    <t>EPSON ﾚｰｻﾞｰ 複合機 LP-M8180F</t>
  </si>
  <si>
    <t>LP500</t>
  </si>
  <si>
    <t>RICOH レーザープリンター P500　【514201】</t>
  </si>
  <si>
    <t>LPA3CZ1C14</t>
  </si>
  <si>
    <t>EPSON LPA3CZ1C14 増設1段ｶｾｯﾄ</t>
  </si>
  <si>
    <t>LPA3CZ3CU4</t>
  </si>
  <si>
    <t>EPSON LPA3CZ3CU4 増設3段ｶｾｯﾄ</t>
  </si>
  <si>
    <t>LPB3T23S</t>
  </si>
  <si>
    <t>LPB3T25S</t>
  </si>
  <si>
    <t>EPSON LPB3T25S 環境推進トナー</t>
  </si>
  <si>
    <t>LPC3K10C</t>
  </si>
  <si>
    <t>LPC3K10KM</t>
  </si>
  <si>
    <t>LPC3T16CS</t>
  </si>
  <si>
    <t>LPC3T16KS</t>
  </si>
  <si>
    <t>LPC3T16MS</t>
  </si>
  <si>
    <t>LPC3T16YS</t>
  </si>
  <si>
    <t>LPC3T21CS</t>
  </si>
  <si>
    <t>LPC3T21KS</t>
  </si>
  <si>
    <t>LPC3T21MS</t>
  </si>
  <si>
    <t>LPC3T21YS</t>
  </si>
  <si>
    <t>MB2130</t>
  </si>
  <si>
    <t>CANON ｲﾝｸｼﾞｪｯﾄ 複合機 MB2130</t>
  </si>
  <si>
    <t>MB2730</t>
  </si>
  <si>
    <t>CANON ｲﾝｸｼﾞｪｯﾄ 複合機 MB2730</t>
  </si>
  <si>
    <t>MB5130</t>
  </si>
  <si>
    <t>CANON ｲﾝｸｼﾞｪｯﾄ 複合機 MB5130</t>
  </si>
  <si>
    <t>MB5430</t>
  </si>
  <si>
    <t>CANON ｲﾝｸｼﾞｪｯﾄ 複合機 MB5430</t>
  </si>
  <si>
    <t>MC843dnw</t>
  </si>
  <si>
    <t>OKI ﾚｰｻﾞｰ 複合機 ｶﾗｰ MC843dnw</t>
  </si>
  <si>
    <t>MC843dnwv</t>
  </si>
  <si>
    <t>OKI ﾚｰｻﾞｰ 複合機 ｶﾗｰ MC843dnwv</t>
  </si>
  <si>
    <t>MC863dnw</t>
  </si>
  <si>
    <t>OKI ﾚｰｻﾞｰ 複合機 ｶﾗｰ MC863dnw</t>
  </si>
  <si>
    <t>MC863dnwv</t>
  </si>
  <si>
    <t>OKI ﾚｰｻﾞｰ 複合機 ｶﾗｰ MC863dnwv</t>
  </si>
  <si>
    <t>MC883dnw</t>
  </si>
  <si>
    <t>OKI ﾚｰｻﾞｰ 複合機 ｶﾗｰ MC883dnw</t>
  </si>
  <si>
    <t>MC883dnwv</t>
  </si>
  <si>
    <t>OKI ﾚｰｻﾞｰ 複合機 ｶﾗｰ MC883dnwv</t>
  </si>
  <si>
    <t>MF262dw</t>
  </si>
  <si>
    <t>CANON ﾓﾉｸﾛﾌﾟﾘﾝﾀｰ複合機 MF262dw（FAX機能無し）2925C055</t>
  </si>
  <si>
    <t>MF264dw</t>
  </si>
  <si>
    <t>CANON ﾓﾉｸﾛﾌﾟﾘﾝﾀｰ複合機 MF264dw（FAX機能無し）2925C054</t>
  </si>
  <si>
    <t>MF265dw</t>
  </si>
  <si>
    <t>CANON ﾓﾉｸﾛﾌﾟﾘﾝﾀｰ複合機 MF265dw　2925C053</t>
  </si>
  <si>
    <t>MF265dwII</t>
  </si>
  <si>
    <t>CANON ﾚｰｻﾞｰ 複合機 ﾓﾉｸﾛ MF265dw II</t>
  </si>
  <si>
    <t>MF266dn</t>
  </si>
  <si>
    <t>CANON ﾓﾉｸﾛﾌﾟﾘﾝﾀｰ複合機 MF266dn　2925C052</t>
  </si>
  <si>
    <t>MF266dnII</t>
  </si>
  <si>
    <t>CANON ﾚｰｻﾞｰ 複合機 ﾓﾉｸﾛ MF266dn II</t>
  </si>
  <si>
    <t>MF269dw</t>
  </si>
  <si>
    <t>CANON ﾓﾉｸﾛﾌﾟﾘﾝﾀｰ複合機 MF269dw　2925C051</t>
  </si>
  <si>
    <t>MF269dwII</t>
  </si>
  <si>
    <t>CANON ﾚｰｻﾞｰ 複合機 ﾓﾉｸﾛ MF269dw II</t>
  </si>
  <si>
    <t>MF447dw</t>
  </si>
  <si>
    <t>CANON ﾓﾉｸﾛﾌﾟﾘﾝﾀｰ複合機 MF447dw　3514C001</t>
  </si>
  <si>
    <t>MF457dw</t>
  </si>
  <si>
    <t>CANON ﾚｰｻﾞｰ 複合機 ﾓﾉｸﾛ MF457dw</t>
  </si>
  <si>
    <t>MF541dw</t>
  </si>
  <si>
    <t>CANON ﾓﾉｸﾛﾌﾟﾘﾝﾀｰ複合機 MF541dw　3513C001</t>
  </si>
  <si>
    <t>MF551dw</t>
  </si>
  <si>
    <t>CANON ﾚｰｻﾞｰ 複合機 ﾓﾉｸﾛ MF551dw</t>
  </si>
  <si>
    <t>MF642Cdw</t>
  </si>
  <si>
    <t>CANON ｶﾗｰﾌﾟﾘﾝﾀｰ複合機 MF642Cdw（FAX機能無し）3102C014</t>
  </si>
  <si>
    <t>MF644Cdw</t>
  </si>
  <si>
    <t>CANON ｶﾗｰﾌﾟﾘﾝﾀｰ複合機 MF644Cdw　3102C007</t>
  </si>
  <si>
    <t>MF654Cdw</t>
  </si>
  <si>
    <t>CANON ﾚｰｻﾞｰ 複合機 ｶﾗｰ MF654Cdw　5158C006</t>
  </si>
  <si>
    <t>MF656CDW</t>
  </si>
  <si>
    <t>CANON  ｶﾗｰﾚｰｻﾞ-複合機 MF656Cdw　5158C003</t>
  </si>
  <si>
    <t>MF741Cdw</t>
  </si>
  <si>
    <t>CANON ｶﾗｰﾌﾟﾘﾝﾀｰ複合機 MF741Cdw 3101C016</t>
  </si>
  <si>
    <t>MF743Cdw</t>
  </si>
  <si>
    <t>CANON ｶﾗｰﾌﾟﾘﾝﾀｰ複合機 MF743Cdw　3101C012</t>
  </si>
  <si>
    <t>MF745Cdw</t>
  </si>
  <si>
    <t>CANON ｶﾗｰﾌﾟﾘﾝﾀｰ複合機 MF745Cdw　3101C007</t>
  </si>
  <si>
    <t>MF751Cdw</t>
  </si>
  <si>
    <t>CANON ﾚｰｻﾞｰ 複合機 ｶﾗｰ MF751Cdw</t>
  </si>
  <si>
    <t>MF753Cdw</t>
  </si>
  <si>
    <t>CANON ﾚｰｻﾞｰ 複合機 ｶﾗｰ MF753Cdw</t>
  </si>
  <si>
    <t>MF755Cdw</t>
  </si>
  <si>
    <t>CANON ﾚｰｻﾞｰ 複合機 ｶﾗｰ MF755Cdw</t>
  </si>
  <si>
    <t>MF832Cdw</t>
  </si>
  <si>
    <t>CANON ﾚｰｻﾞｰ 複合機 ｶﾗｰ MF832Cdw</t>
  </si>
  <si>
    <t>MFCL2750DW</t>
  </si>
  <si>
    <t>brother A4ﾓﾉｸﾛﾚｰｻﾞｰ複合機  MFC-L2750DW</t>
  </si>
  <si>
    <t>MX235NT</t>
  </si>
  <si>
    <t>SHARP MX-235NT　海外純正品</t>
  </si>
  <si>
    <t>海外純正</t>
  </si>
  <si>
    <t>N053D</t>
  </si>
  <si>
    <t>ﾄﾞﾗﾑｶｰﾄﾘｯｼﾞ053 汎用</t>
  </si>
  <si>
    <t>汎用</t>
  </si>
  <si>
    <t>N335C</t>
  </si>
  <si>
    <t>ｶｰﾄﾘｯｼﾞ 335 汎用 ｼｱﾝ</t>
  </si>
  <si>
    <t>N335K</t>
  </si>
  <si>
    <t>ｶｰﾄﾘｯｼﾞ 335 汎用 ﾌﾞﾗｯｸ</t>
  </si>
  <si>
    <t>N335M</t>
  </si>
  <si>
    <t>ｶｰﾄﾘｯｼﾞ 335 汎用 ﾏｾﾞﾝﾀ</t>
  </si>
  <si>
    <t>N335Y</t>
  </si>
  <si>
    <t>ｶｰﾄﾘｯｼﾞ 335 汎用 ｲｴﾛｰ</t>
  </si>
  <si>
    <t>N380XLPGBK</t>
  </si>
  <si>
    <t>互換ｲﾝｸ BCI-380XLPGBK</t>
  </si>
  <si>
    <t>N381XLBK</t>
  </si>
  <si>
    <t>互換ｲﾝｸ BCI-381XLBK</t>
  </si>
  <si>
    <t>N381XLC</t>
  </si>
  <si>
    <t>互換ｲﾝｸ BCI-381XLC</t>
  </si>
  <si>
    <t>N381XLGY</t>
  </si>
  <si>
    <t>互換ｲﾝｸ BCI-381XLGY</t>
  </si>
  <si>
    <t>N381XLM</t>
  </si>
  <si>
    <t>互換ｲﾝｸ BCI-381XLM</t>
  </si>
  <si>
    <t>N381XLY</t>
  </si>
  <si>
    <t>互換ｲﾝｸ BCI-381XLY</t>
  </si>
  <si>
    <t>N9K01AA</t>
  </si>
  <si>
    <t>HP65 ｲﾝｸｶｰﾄﾘｯｼﾞ ｶﾗｰ N9K01AA</t>
  </si>
  <si>
    <t>N9K02AA</t>
  </si>
  <si>
    <t>HP65 ｲﾝｸｶｰﾄﾘｯｼﾞ 黒 N9K02AA</t>
  </si>
  <si>
    <t>N9K03AA</t>
  </si>
  <si>
    <t>HP65XL ｲﾝｸｶｰﾄﾘｯｼﾞ ｶﾗｰ(増量) N9K03AA</t>
  </si>
  <si>
    <t>NB041H</t>
  </si>
  <si>
    <t>CANON ﾄﾅｰｶｰﾄﾘｯｼﾞ 041H 汎用</t>
  </si>
  <si>
    <t>NB042</t>
  </si>
  <si>
    <t>CANON 汎用品 ﾄﾅｰｶｰﾄﾘｯｼﾞ 042</t>
  </si>
  <si>
    <t>NB042H</t>
  </si>
  <si>
    <t>CANON 汎用品 ﾄﾅｰｶｰﾄﾘｯｼﾞ042H 17K仕様</t>
  </si>
  <si>
    <t>NB059BK</t>
  </si>
  <si>
    <t>CANON 汎用品 ﾄﾅｰｶｰﾄﾘｯｼﾞ059 ﾌﾞﾗｯｸ</t>
  </si>
  <si>
    <t>NB059C</t>
  </si>
  <si>
    <t>CANON 汎用品 ﾄﾅｰｶｰﾄﾘｯｼﾞ059 ｼｱﾝ</t>
  </si>
  <si>
    <t>NB059M</t>
  </si>
  <si>
    <t>CANON 汎用品 ﾄﾅｰｶｰﾄﾘｯｼﾞ059 ﾏｾﾞﾝﾀ</t>
  </si>
  <si>
    <t>NB059Y</t>
  </si>
  <si>
    <t>CANON 汎用品 ﾄﾅｰｶｰﾄﾘｯｼﾞ059 ｲｴﾛｰ</t>
  </si>
  <si>
    <t>NB062</t>
  </si>
  <si>
    <t>ﾄﾅｰｶｰﾄﾘｯｼﾞ062　汎用品</t>
  </si>
  <si>
    <t>NB3700H</t>
  </si>
  <si>
    <t>RICOH 汎用品 SPﾄﾅｰ 3700H</t>
  </si>
  <si>
    <t>NB3C73111</t>
  </si>
  <si>
    <t>NEC 汎用品 PR-L3C731-11 Y</t>
  </si>
  <si>
    <t>NB3C73112</t>
  </si>
  <si>
    <t>NEC 汎用品 PR-L3C731-12 M</t>
  </si>
  <si>
    <t>NB3C73113</t>
  </si>
  <si>
    <t>NEC 汎用品 PR-L3C731-13 C</t>
  </si>
  <si>
    <t>NB3C73114</t>
  </si>
  <si>
    <t>NEC 汎用品 PR-L3C731-14 BK</t>
  </si>
  <si>
    <t>NB3C75111</t>
  </si>
  <si>
    <t>NEC 汎用品 PR-L3C751-11 Y</t>
  </si>
  <si>
    <t>NB3C75112</t>
  </si>
  <si>
    <t>NEC 汎用品 PR-L3C751-12 M</t>
  </si>
  <si>
    <t>NB3C75113</t>
  </si>
  <si>
    <t>NEC 汎用品 PR-L3C751-13 C</t>
  </si>
  <si>
    <t>NB3C75114</t>
  </si>
  <si>
    <t>NEC 汎用品 PR-L3C751-14 BK</t>
  </si>
  <si>
    <t>NB3M53012</t>
  </si>
  <si>
    <t>NEC PR-L3M530-12 汎用 (10K)</t>
  </si>
  <si>
    <t>NB3M5301215</t>
  </si>
  <si>
    <t>NEC PR-L3M530-12 汎用 (15K)</t>
  </si>
  <si>
    <t>NB3M55012</t>
  </si>
  <si>
    <t>NEC PR-L3M550-12 汎用</t>
  </si>
  <si>
    <t>NB4C55016</t>
  </si>
  <si>
    <t>NEC PR-L4C550-16 ｲｴﾛｰ  汎用</t>
  </si>
  <si>
    <t>NB4C55017</t>
  </si>
  <si>
    <t>NEC PR-L4C550-17 ﾏｾﾞﾝﾀ  汎用</t>
  </si>
  <si>
    <t>NB4C55018</t>
  </si>
  <si>
    <t>NEC PR-L4C550-18 ｼｱﾝ  汎用</t>
  </si>
  <si>
    <t>NB4C55019</t>
  </si>
  <si>
    <t>NEC PR-L4C550-19 ﾌﾞﾗｯｸ  汎用</t>
  </si>
  <si>
    <t>NB4M55012</t>
  </si>
  <si>
    <t>NEC 汎用 PR-L4M550-12 ﾄﾅｰｶｰﾄﾘｯｼﾞ</t>
  </si>
  <si>
    <t>NB509</t>
  </si>
  <si>
    <t>CANON 汎用品 ﾄﾅｰｶｰﾄﾘｯｼﾞ 509</t>
  </si>
  <si>
    <t>NB52712K</t>
  </si>
  <si>
    <t>CANON 汎用品 ﾄﾅｰｶｰﾄﾘｯｼﾞ 527 12K</t>
  </si>
  <si>
    <t>NB52715K</t>
  </si>
  <si>
    <t>CANON 汎用品 ﾄﾅｰｶｰﾄﾘｯｼﾞ 527 15K</t>
  </si>
  <si>
    <t>NB533</t>
  </si>
  <si>
    <t>CANON 汎用品 ﾄﾅｰｶｰﾄﾘｯｼﾞ 533</t>
  </si>
  <si>
    <t>NB533H</t>
  </si>
  <si>
    <t>CANON 汎用品 ﾄﾅｰｶｰﾄﾘｯｼﾞ533H</t>
  </si>
  <si>
    <t>NB6100H</t>
  </si>
  <si>
    <t>RICOH 汎用品 ﾄﾅｰ 6100H</t>
  </si>
  <si>
    <t>NB8400</t>
  </si>
  <si>
    <t>RICOH ﾄﾅｰ 8400 汎用品</t>
  </si>
  <si>
    <t>NB85B</t>
  </si>
  <si>
    <t>RICOH 汎用品 ﾄﾅｰｶｰﾄﾘｯｼﾞﾀｲﾌﾟ85B</t>
  </si>
  <si>
    <t>NBB95TSN</t>
  </si>
  <si>
    <t>CASIO 汎用品 B95-TS-N（一般ﾄﾅｰ）</t>
  </si>
  <si>
    <t>NBC810HC</t>
  </si>
  <si>
    <t>-終息-RICOH 汎用品 IPSiO SPﾄﾅｰｶｰﾄﾘｯｼﾞ C810Ｈｼｱﾝ</t>
  </si>
  <si>
    <t>NBC810HK</t>
  </si>
  <si>
    <t>-終息-RICOH 汎用品 IPSiO SPﾄﾅｰｶｰﾄﾘｯｼﾞ C810Ｈﾌﾞﾗｯｸ</t>
  </si>
  <si>
    <t>NBC810HM</t>
  </si>
  <si>
    <t>-終息-RICOH 汎用品 IPSiO SPﾄﾅｰｶｰﾄﾘｯｼﾞ C810Ｈﾏｾﾞﾝﾀ</t>
  </si>
  <si>
    <t>NBC810HY</t>
  </si>
  <si>
    <t>-終息-RICOH 汎用品 IPSiO SPﾄﾅｰｶｰﾄﾘｯｼﾞ C810Ｈｲｴﾛｰ</t>
  </si>
  <si>
    <t>NBC820HC</t>
  </si>
  <si>
    <t>RICOH 汎用品 IPSiO SPﾄﾅｰｶｰﾄﾘｯｼﾞ C820Ｈｼｱﾝ</t>
  </si>
  <si>
    <t>NBC820HK</t>
  </si>
  <si>
    <t>RICOH 汎用品 IPSiO SPﾄﾅｰｶｰﾄﾘｯｼﾞ C820Ｈﾌﾞﾗｯｸ</t>
  </si>
  <si>
    <t>NBC820HM</t>
  </si>
  <si>
    <t>RICOH 汎用品 IPSiO SPﾄﾅｰｶｰﾄﾘｯｼﾞ C820Ｈﾏｾﾞﾝﾀ</t>
  </si>
  <si>
    <t>NBC820HY</t>
  </si>
  <si>
    <t>RICOH 汎用品 IPSiO SPﾄﾅｰｶｰﾄﾘｯｼﾞ C820Ｈｲｴﾛｰ</t>
  </si>
  <si>
    <t>NBC830HC</t>
  </si>
  <si>
    <t>RICOH 汎用品 IPSiO SPﾄﾅｰｶｰﾄﾘｯｼﾞ C830Ｈｼｱﾝ</t>
  </si>
  <si>
    <t>NBC830HK</t>
  </si>
  <si>
    <t>RICOH 汎用品 IPSiO SPﾄﾅｰｶｰﾄﾘｯｼﾞ C830Ｈﾌﾞﾗｯｸ</t>
  </si>
  <si>
    <t>NBC830HM</t>
  </si>
  <si>
    <t>RICOH 汎用品 IPSiO SPﾄﾅｰｶｰﾄﾘｯｼﾞ C830Ｈﾏｾﾞﾝﾀ</t>
  </si>
  <si>
    <t>NBC830HY</t>
  </si>
  <si>
    <t>RICOH 汎用品 IPSiO SPﾄﾅｰｶｰﾄﾘｯｼﾞ C830Ｈｲｴﾛｰ</t>
  </si>
  <si>
    <t>NBC840HC</t>
  </si>
  <si>
    <t>RICOH 汎用品 IPSiO SPﾄﾅｰｶｰﾄﾘｯｼﾞ C840Ｈｼｱﾝ</t>
  </si>
  <si>
    <t>NBC840HK</t>
  </si>
  <si>
    <t>RICOH 汎用品 IPSiO SPﾄﾅｰｶｰﾄﾘｯｼﾞ C840Ｈﾌﾞﾗｯｸ</t>
  </si>
  <si>
    <t>NBC840HM</t>
  </si>
  <si>
    <t>RICOH 汎用品 IPSiO SPﾄﾅｰｶｰﾄﾘｯｼﾞ C840Ｈﾏｾﾞﾝﾀ</t>
  </si>
  <si>
    <t>NBC840HY</t>
  </si>
  <si>
    <t>RICOH 汎用品 IPSiO SPﾄﾅｰｶｰﾄﾘｯｼﾞ C840Ｈｲｴﾛｰ</t>
  </si>
  <si>
    <t>NBCI330PGBK</t>
  </si>
  <si>
    <t>互換ｲﾝｸ BCI-330 PGBK</t>
  </si>
  <si>
    <t>NBCI330XLPGBK</t>
  </si>
  <si>
    <t>互換ｲﾝｸ BCI-330XL PGBK</t>
  </si>
  <si>
    <t>NBCI331BK</t>
  </si>
  <si>
    <t>互換ｲﾝｸ BCI-331 BK</t>
  </si>
  <si>
    <t>NBCI331C</t>
  </si>
  <si>
    <t>互換ｲﾝｸ BCI-331 C</t>
  </si>
  <si>
    <t>NBCI331GY</t>
  </si>
  <si>
    <t>互換ｲﾝｸ BCI-331 GY</t>
  </si>
  <si>
    <t>NBCI331M</t>
  </si>
  <si>
    <t>互換ｲﾝｸ BCI-331 M</t>
  </si>
  <si>
    <t>NBCI331XLBK</t>
  </si>
  <si>
    <t>互換ｲﾝｸ BCI-331XL BK</t>
  </si>
  <si>
    <t>NBCI331XLC</t>
  </si>
  <si>
    <t>互換ｲﾝｸ BCI-331XL C</t>
  </si>
  <si>
    <t>NBCI331XLGY</t>
  </si>
  <si>
    <t>互換ｲﾝｸ BCI-331XL GY</t>
  </si>
  <si>
    <t>NBCI331XLM</t>
  </si>
  <si>
    <t>互換ｲﾝｸ BCI-331XL M</t>
  </si>
  <si>
    <t>NBCI331XLY</t>
  </si>
  <si>
    <t>互換ｲﾝｸ BCI-331XL Y</t>
  </si>
  <si>
    <t>NBCI331Y</t>
  </si>
  <si>
    <t>互換ｲﾝｸ BCI-331 Y</t>
  </si>
  <si>
    <t>NBCI350XLPGBK</t>
  </si>
  <si>
    <t>互換ｲﾝｸ BCI-350XL PGBK</t>
  </si>
  <si>
    <t>NBCI351XLBK</t>
  </si>
  <si>
    <t>互換ｲﾝｸ BCI-351XL BK</t>
  </si>
  <si>
    <t>NBCI351XLC</t>
  </si>
  <si>
    <t>互換ｲﾝｸ BCI-351XL C</t>
  </si>
  <si>
    <t>NBCI351XLGY</t>
  </si>
  <si>
    <t>互換ｲﾝｸ BCI-351XL GY</t>
  </si>
  <si>
    <t>NBCI351XLM</t>
  </si>
  <si>
    <t>互換ｲﾝｸ BCI-351XL M</t>
  </si>
  <si>
    <t>NBCI351XLY</t>
  </si>
  <si>
    <t>互換ｲﾝｸ BCI-351XL Y</t>
  </si>
  <si>
    <t>NBCR5650</t>
  </si>
  <si>
    <t>汎用ﾘﾎﾞﾝｶｾｯﾄ CR5650用</t>
  </si>
  <si>
    <t>NBCT200425</t>
  </si>
  <si>
    <t>XEROX 汎用品 CT200425 ﾄﾅｰｶｰﾄﾘｯｼﾞ</t>
  </si>
  <si>
    <t>NBCT200822K</t>
  </si>
  <si>
    <t>XEROX 汎用品 CT200822 ﾌﾞﾗｯｸ</t>
  </si>
  <si>
    <t>NBCT200823C</t>
  </si>
  <si>
    <t>XEROX 汎用品 CT200823 ｼｱﾝ</t>
  </si>
  <si>
    <t>NBCT200824M</t>
  </si>
  <si>
    <t>XEROX 汎用品 CT200824 ﾏｾﾞﾝﾀ</t>
  </si>
  <si>
    <t>NBCT200825Y</t>
  </si>
  <si>
    <t>XEROX 汎用品 CT200825 ｲｴﾛｰ</t>
  </si>
  <si>
    <t>NBCT201129</t>
  </si>
  <si>
    <t>XEROX 汎用品 CT201129 ﾌﾞﾗｯｸ 大容量</t>
  </si>
  <si>
    <t>NBCT201130</t>
  </si>
  <si>
    <t>XEROX 汎用品 CT201130 ｼｱﾝ 大容量</t>
  </si>
  <si>
    <t>NBCT201131</t>
  </si>
  <si>
    <t>XEROX 汎用品 CT201131 ﾏｾﾞﾝﾀ 大容量</t>
  </si>
  <si>
    <t>NBCT201132</t>
  </si>
  <si>
    <t>XEROX 汎用品 CT201132 ｲｴﾛｰ 大容量</t>
  </si>
  <si>
    <t>NBCT201225</t>
  </si>
  <si>
    <t>XEROX 汎用品 CT201225</t>
  </si>
  <si>
    <t>NBCT201380Y</t>
  </si>
  <si>
    <t>XEROX 汎用品 CT203180 ｲｴﾛｰ 大容量</t>
  </si>
  <si>
    <t>NBCT201398K</t>
  </si>
  <si>
    <t>XEROX 汎用品 CT201398 ﾌﾞﾗｯｸ</t>
  </si>
  <si>
    <t>NBCT201399</t>
  </si>
  <si>
    <t>XEROX 汎用品 CT201399 ｼｱﾝ</t>
  </si>
  <si>
    <t>NBCT201400</t>
  </si>
  <si>
    <t>XEROX 汎用品 CT201400 ﾏｾﾞﾝﾀ</t>
  </si>
  <si>
    <t>NBCT201401Y</t>
  </si>
  <si>
    <t>XEROX 汎用品 CT201401 ｲｴﾛｰ</t>
  </si>
  <si>
    <t>NBCT201688</t>
  </si>
  <si>
    <t>XEROX 汎用品 CT201688 ﾌﾞﾗｯｸ</t>
  </si>
  <si>
    <t>NBCT201689</t>
  </si>
  <si>
    <t>XEROX 汎用品 CT201689 ｼｱﾝ</t>
  </si>
  <si>
    <t>NBCT201690</t>
  </si>
  <si>
    <t>XEROX 汎用品 CT201690 ﾏｾﾞﾝﾀ</t>
  </si>
  <si>
    <t>NBCT201691</t>
  </si>
  <si>
    <t>XEROX 汎用品 CT201691 ｲｴﾛｰ</t>
  </si>
  <si>
    <t>NBCT201779</t>
  </si>
  <si>
    <t>XEROX 汎用品 CT201779</t>
  </si>
  <si>
    <t>NBCT202054K</t>
  </si>
  <si>
    <t>XEROX 汎用品 CT202054 ﾌﾞﾗｯｸ 大容量</t>
  </si>
  <si>
    <t>NBCT202055C</t>
  </si>
  <si>
    <t>XEROX 汎用品 CT202055 ｼｱﾝ 大容量</t>
  </si>
  <si>
    <t>NBCT202056M</t>
  </si>
  <si>
    <t>XEROX 汎用品 CT202056 ﾏｾﾞﾝﾀ 大容量</t>
  </si>
  <si>
    <t>NBCT202057Y</t>
  </si>
  <si>
    <t>XEROX 汎用品 CT202057 ｲｴﾛｰ 大容量</t>
  </si>
  <si>
    <t>NBCT202074</t>
  </si>
  <si>
    <t>XEROX 汎用品 CT202074</t>
  </si>
  <si>
    <t>NBCT202078</t>
  </si>
  <si>
    <t>汎用品 ﾄﾅｰｶｰﾄﾘｯｼﾞCT202078</t>
  </si>
  <si>
    <t>NBCT202089</t>
  </si>
  <si>
    <t>XEROX 汎用品 CT202089 ﾌﾞﾗｯｸ</t>
  </si>
  <si>
    <t>NBCT202090</t>
  </si>
  <si>
    <t>XEROX 汎用品 CT202090 ｼｱﾝ</t>
  </si>
  <si>
    <t>NBCT202091</t>
  </si>
  <si>
    <t>XEROX 汎用品 CT202091 ﾏｾﾞﾝﾀ</t>
  </si>
  <si>
    <t>NBCT202092</t>
  </si>
  <si>
    <t>XEROX 汎用品 CT202092 ｲｴﾛｰ</t>
  </si>
  <si>
    <t>NBCT202342</t>
  </si>
  <si>
    <t>XEROX 汎用品 CT202342</t>
  </si>
  <si>
    <t>NBCT202451K</t>
  </si>
  <si>
    <t>XEROX 汎用品 CT202451 ﾌﾞﾗｯｸ</t>
  </si>
  <si>
    <t>NBCT202452C</t>
  </si>
  <si>
    <t>XEROX 汎用品 CT202452 ｼｱﾝ</t>
  </si>
  <si>
    <t>NBCT202453</t>
  </si>
  <si>
    <t>XEROX 汎用品 CT202453 ﾏｾﾞﾝﾀ</t>
  </si>
  <si>
    <t>NBCT202454Y</t>
  </si>
  <si>
    <t>XEROX 汎用品 CT202454 ｲｴﾛｰ</t>
  </si>
  <si>
    <t>NBCT202459</t>
  </si>
  <si>
    <t>XEROX 汎用品 CT202459 ﾌﾞﾗｯｸ</t>
  </si>
  <si>
    <t>NBCT202460</t>
  </si>
  <si>
    <t>XEROX 汎用品 CT202460 ｼｱﾝ</t>
  </si>
  <si>
    <t>NBCT202461</t>
  </si>
  <si>
    <t>XEROX 汎用品 CT202461 ﾏｾﾞﾝﾀ</t>
  </si>
  <si>
    <t>NBCT202462</t>
  </si>
  <si>
    <t>XEROX 汎用品 CT202462 ｲｴﾛｰ</t>
  </si>
  <si>
    <t>NBCT202681</t>
  </si>
  <si>
    <t>XEROX 汎用品 CT202681 ﾌﾞﾗｯｸ</t>
  </si>
  <si>
    <t>NBCT202682</t>
  </si>
  <si>
    <t>XEROX 汎用品 CT202682 ｼｱﾝ</t>
  </si>
  <si>
    <t>NBCT202683</t>
  </si>
  <si>
    <t>XEROX 汎用品 CT202683 ﾏｾﾞﾝﾀ</t>
  </si>
  <si>
    <t>NBCT202684</t>
  </si>
  <si>
    <t>XEROX 汎用品 CT202684 ｲｴﾛｰ</t>
  </si>
  <si>
    <t>NBCT203057</t>
  </si>
  <si>
    <t>XEROX 汎用品 CT203057 ﾌﾞﾗｯｸ</t>
  </si>
  <si>
    <t>NBCT203058</t>
  </si>
  <si>
    <t>XEROX 汎用品 CT203058 ｼｱﾝ</t>
  </si>
  <si>
    <t>NBCT203059</t>
  </si>
  <si>
    <t>XEROX 汎用品 CT203059 ﾏｾﾞﾝﾀ</t>
  </si>
  <si>
    <t>NBCT203060</t>
  </si>
  <si>
    <t>XEROX 汎用品 CT203060 ｲｴﾛｰ</t>
  </si>
  <si>
    <t>NBCT203091</t>
  </si>
  <si>
    <t>XEROX 汎用品 CT203091</t>
  </si>
  <si>
    <t>NBCT203092</t>
  </si>
  <si>
    <t>XEROX 汎用品 CT203092</t>
  </si>
  <si>
    <t>NBCT203169</t>
  </si>
  <si>
    <t>XEROX 汎用品 CT203169 ﾌﾞﾗｯｸ</t>
  </si>
  <si>
    <t>NBCT203170</t>
  </si>
  <si>
    <t>XEROX 汎用品 CT203170 ｼｱﾝ</t>
  </si>
  <si>
    <t>NBCT203171</t>
  </si>
  <si>
    <t>XEROX 汎用品 CT203171 ﾏｾﾞﾝﾀ</t>
  </si>
  <si>
    <t>NBCT203172</t>
  </si>
  <si>
    <t>XEROX 汎用品 CT203172 ｲｴﾛｰ</t>
  </si>
  <si>
    <t>NBCT203177</t>
  </si>
  <si>
    <t>XEROX 汎用品 CT203177 ﾌﾞﾗｯｸ 大容量</t>
  </si>
  <si>
    <t>NBCT203178C</t>
  </si>
  <si>
    <t>XEROX 汎用品 CT203178 ｼｱﾝ 大容量</t>
  </si>
  <si>
    <t>NBCT203179M</t>
  </si>
  <si>
    <t>XEROX 汎用品 CT203179 ﾏｾﾞﾝﾀ 大容量</t>
  </si>
  <si>
    <t>NBCT203334</t>
  </si>
  <si>
    <t>XEROX 汎用品 CT203334 ﾌﾞﾗｯｸ</t>
  </si>
  <si>
    <t>NBCT203335</t>
  </si>
  <si>
    <t>XEROX 汎用品 CT203335 ｼｱﾝ</t>
  </si>
  <si>
    <t>NBCT203336</t>
  </si>
  <si>
    <t>XEROX 汎用品 CT203336 ﾏｾﾞﾝﾀ</t>
  </si>
  <si>
    <t>NBCT203337</t>
  </si>
  <si>
    <t>XEROX 汎用品 CT203337 ｲｴﾛｰ</t>
  </si>
  <si>
    <t>NBCT203338</t>
  </si>
  <si>
    <t>XEROX 汎用品 CT203338 ﾌﾞﾗｯｸ</t>
  </si>
  <si>
    <t>NBCT203339</t>
  </si>
  <si>
    <t>XEROX 汎用品 CT203339 ｼｱﾝ</t>
  </si>
  <si>
    <t>NBCT203340</t>
  </si>
  <si>
    <t>XEROX 汎用品 CT203340 ﾏｾﾞﾝﾀ</t>
  </si>
  <si>
    <t>NBCT203341</t>
  </si>
  <si>
    <t>XEROX 汎用品 CT203341 ｲｴﾛｰ</t>
  </si>
  <si>
    <t>NBCT203364</t>
  </si>
  <si>
    <t>XEROX 汎用品 CT203364</t>
  </si>
  <si>
    <t>NBCT203418</t>
  </si>
  <si>
    <t>XEROX 汎用品 CT203418 ﾌﾞﾗｯｸ</t>
  </si>
  <si>
    <t>NBCT203419</t>
  </si>
  <si>
    <t>XEROX 汎用品 CT203419 ｼｱﾝ</t>
  </si>
  <si>
    <t>NBCT203420</t>
  </si>
  <si>
    <t>XEROX 汎用品 CT203420 ﾏｾﾞﾝﾀ</t>
  </si>
  <si>
    <t>NBCT203421</t>
  </si>
  <si>
    <t>XEROX 汎用品 CT203421 ｲｴﾛｰ</t>
  </si>
  <si>
    <t>NBCT203668</t>
  </si>
  <si>
    <t>富士ﾌｨﾙﾑ 汎用 CT203668</t>
  </si>
  <si>
    <t>NBCT203887</t>
  </si>
  <si>
    <t>汎用 CT203887 BK</t>
  </si>
  <si>
    <t>NBCT203888</t>
  </si>
  <si>
    <t>汎用 CT203888 C</t>
  </si>
  <si>
    <t>NBCT203889</t>
  </si>
  <si>
    <t>汎用 CT203889 M</t>
  </si>
  <si>
    <t>NBCT203890</t>
  </si>
  <si>
    <t>汎用 CT203890 Y</t>
  </si>
  <si>
    <t>NBCT203924</t>
  </si>
  <si>
    <t>富士ﾌｲﾙﾑ CT203924 汎用</t>
  </si>
  <si>
    <t>NBCT203925</t>
  </si>
  <si>
    <t>富士ﾌｲﾙﾑ CT203925 汎用</t>
  </si>
  <si>
    <t>NBCT203970</t>
  </si>
  <si>
    <t>富士ﾌｲﾙﾑ CT203970 BK 汎用</t>
  </si>
  <si>
    <t>NBCT203971</t>
  </si>
  <si>
    <t>富士ﾌｲﾙﾑ CT203971 C 汎用</t>
  </si>
  <si>
    <t>NBCT203972</t>
  </si>
  <si>
    <t>富士ﾌｲﾙﾑ CT203972 M 汎用</t>
  </si>
  <si>
    <t>NBCT203973</t>
  </si>
  <si>
    <t>富士ﾌｲﾙﾑ CT203973 Y 汎用</t>
  </si>
  <si>
    <t>NBCT203996</t>
  </si>
  <si>
    <t>富士ﾌｲﾙﾑ CT203996 汎用</t>
  </si>
  <si>
    <t>NBCT350307</t>
  </si>
  <si>
    <t>XEROX 汎用品 CT350307 ﾄﾞﾗﾑｶｰﾄﾘｯｼﾞ</t>
  </si>
  <si>
    <t>NBCT350516</t>
  </si>
  <si>
    <t>XEROX 汎用品 CT350516</t>
  </si>
  <si>
    <t>NBCT350615</t>
  </si>
  <si>
    <t>XEROX 汎用品 CT350615 ﾄﾞﾗﾑ</t>
  </si>
  <si>
    <t>NBCT350761</t>
  </si>
  <si>
    <t>ﾄﾅｰｶｰﾄﾘｯｼﾞ 汎用　CT350761</t>
  </si>
  <si>
    <t>NBCT350765</t>
  </si>
  <si>
    <t>XEROX 汎用品 CT350765</t>
  </si>
  <si>
    <t>NBCT350812</t>
  </si>
  <si>
    <t>富士ﾌｲﾙﾑ 汎用品 CT350812 ﾌﾞﾗｯｸ</t>
  </si>
  <si>
    <t>NBCT350813</t>
  </si>
  <si>
    <t>富士ﾌｲﾙﾑ 汎用品 CT350813 ｶﾗｰ</t>
  </si>
  <si>
    <t>NBCT350872</t>
  </si>
  <si>
    <t>XEROX 汎用品 CT350872</t>
  </si>
  <si>
    <t>NBCT350904</t>
  </si>
  <si>
    <t>XEROX 汎用品 CT350904 ﾄﾞﾗﾑ（K/C/M/Y）</t>
  </si>
  <si>
    <t>NBCT350988</t>
  </si>
  <si>
    <t>XEROX 汎用品 CT350988 ﾄﾞﾗﾑ（K/C/M/Y）</t>
  </si>
  <si>
    <t>NBCT351060</t>
  </si>
  <si>
    <t>XEROX 汎用品 CT351060</t>
  </si>
  <si>
    <t>NBCT351237</t>
  </si>
  <si>
    <t>XEROX 汎用品 CT351237</t>
  </si>
  <si>
    <t>NBCT351369</t>
  </si>
  <si>
    <t>富士ﾌｲﾙﾑ 汎用品 CT351369</t>
  </si>
  <si>
    <t>NBCT351381</t>
  </si>
  <si>
    <t>汎用 ﾄﾞﾗﾑｶｰﾄﾘｯｼﾞ CT351381</t>
  </si>
  <si>
    <t>NBDPK3800C</t>
  </si>
  <si>
    <t>ﾉｰﾌﾞﾗﾝﾄﾞﾘﾎﾞﾝｶｾｯﾄ DPK3800 ｶﾗｰ</t>
  </si>
  <si>
    <t>NBDREP2</t>
  </si>
  <si>
    <t>NTT 汎用品 EP-2（Ｈ7200）ﾄﾞﾗﾑ</t>
  </si>
  <si>
    <t>NBDRH7300</t>
  </si>
  <si>
    <t>NTT 汎用品 （Ｈ7300）ﾄﾞﾗﾑ</t>
  </si>
  <si>
    <t>NBDRLB316</t>
  </si>
  <si>
    <t>富士通 汎用品 ﾄﾞﾗﾑｶｰﾄﾘｯｼﾞLB316</t>
  </si>
  <si>
    <t>NBDRPRL9300C31</t>
  </si>
  <si>
    <t>NEC 汎用品 PR-L9300Ｃ-31 ﾄﾞﾗﾑ</t>
  </si>
  <si>
    <t>NBDRPRL9600C31</t>
  </si>
  <si>
    <t>NEC 汎用品 PR-L9600Ｃ-31 ﾄﾞﾗﾑ</t>
  </si>
  <si>
    <t>NBDRPRL9950C31</t>
  </si>
  <si>
    <t>NEC 汎用品 PR-L9950C-31 ﾄﾞﾗﾑ</t>
  </si>
  <si>
    <t>NBEP2</t>
  </si>
  <si>
    <t>NTT 汎用品 EP-2（Ｈ7200）ﾄﾅｰ</t>
  </si>
  <si>
    <t>NBEPCM3A2</t>
  </si>
  <si>
    <t>OKI 汎用品 EPC-M3A2</t>
  </si>
  <si>
    <t>NBEPCM3B2</t>
  </si>
  <si>
    <t>OKI 汎用品 EPC-M3B2</t>
  </si>
  <si>
    <t>NBEPCM3C2</t>
  </si>
  <si>
    <t>OKI 汎用品 EPC-M3C2</t>
  </si>
  <si>
    <t>NBGC41C</t>
  </si>
  <si>
    <t>汎用ｲﾝｸ GC41C</t>
  </si>
  <si>
    <t>NBGC41CH</t>
  </si>
  <si>
    <t>互換ｲﾝｸ GC41CH</t>
  </si>
  <si>
    <t>NBGC41K</t>
  </si>
  <si>
    <t>汎用ｲﾝｸ GC41K</t>
  </si>
  <si>
    <t>NBGC41KH</t>
  </si>
  <si>
    <t>互換ｲﾝｸ GC41KH</t>
  </si>
  <si>
    <t>NBGC41M</t>
  </si>
  <si>
    <t>汎用ｲﾝｸ GC41M</t>
  </si>
  <si>
    <t>NBGC41MH</t>
  </si>
  <si>
    <t>互換ｲﾝｸ GC41MH</t>
  </si>
  <si>
    <t>NBGC41Y</t>
  </si>
  <si>
    <t>汎用ｲﾝｸ GC41Y</t>
  </si>
  <si>
    <t>NBGC41YH</t>
  </si>
  <si>
    <t>互換ｲﾝｸ GC41YH</t>
  </si>
  <si>
    <t>NBGC43C</t>
  </si>
  <si>
    <t>互換ｲﾝｸ GC43C</t>
  </si>
  <si>
    <t>NBGC43K</t>
  </si>
  <si>
    <t>互換ｲﾝｸ GC43K</t>
  </si>
  <si>
    <t>NBGC43M</t>
  </si>
  <si>
    <t>互換ｲﾝｸ GC43M</t>
  </si>
  <si>
    <t>NBGC43Y</t>
  </si>
  <si>
    <t>互換ｲﾝｸ GC43Y</t>
  </si>
  <si>
    <t>NBGI36BK</t>
  </si>
  <si>
    <t>ｲﾝｸﾎﾞﾄﾙ  GI-36BK 汎用品</t>
  </si>
  <si>
    <t>NBGI36C</t>
  </si>
  <si>
    <t>ｲﾝｸﾎﾞﾄﾙ  GI-36C 汎用品</t>
  </si>
  <si>
    <t>NBGI36M</t>
  </si>
  <si>
    <t>ｲﾝｸﾎﾞﾄﾙ  GI-36M 汎用品</t>
  </si>
  <si>
    <t>NBGI36Y</t>
  </si>
  <si>
    <t>ｲﾝｸﾎﾞﾄﾙ  GI-36Y 汎用品</t>
  </si>
  <si>
    <t>NBH7300</t>
  </si>
  <si>
    <t>NTT 汎用品 （Ｈ7300）ﾄﾅｰ</t>
  </si>
  <si>
    <t>NBHARC</t>
  </si>
  <si>
    <t>汎用ｲﾝｸ HAR-C</t>
  </si>
  <si>
    <t>NBHARM</t>
  </si>
  <si>
    <t>汎用ｲﾝｸ HAR-M</t>
  </si>
  <si>
    <t>NBHARY</t>
  </si>
  <si>
    <t>汎用ｲﾝｸ HAR-Y</t>
  </si>
  <si>
    <t>NBIB02CB</t>
  </si>
  <si>
    <t>汎用ｲﾝｸ IB02CB</t>
  </si>
  <si>
    <t>NBIB02KB</t>
  </si>
  <si>
    <t>汎用ｲﾝｸ IB02KB</t>
  </si>
  <si>
    <t>NBIB02MB</t>
  </si>
  <si>
    <t>汎用ｲﾝｸ IB02MB</t>
  </si>
  <si>
    <t>NBIB02YB</t>
  </si>
  <si>
    <t>汎用ｲﾝｸ IB02YB</t>
  </si>
  <si>
    <t>NBIB06CA</t>
  </si>
  <si>
    <t>汎用ｲﾝｸ IB06CA ｼｱﾝ</t>
  </si>
  <si>
    <t>NBIB06CL5A</t>
  </si>
  <si>
    <t>汎用ｲﾝｸ IB06CL5A (IB06-5P・A)</t>
  </si>
  <si>
    <t>NBIB06KA</t>
  </si>
  <si>
    <t>汎用ｲﾝｸ IB06KA ﾌﾞﾗｯｸ</t>
  </si>
  <si>
    <t>NBIB06MA</t>
  </si>
  <si>
    <t>汎用ｲﾝｸ IB06MA ﾏｾﾞﾝﾀ</t>
  </si>
  <si>
    <t>NBIB06YA</t>
  </si>
  <si>
    <t>汎用ｲﾝｸ IB06YA ｲｴﾛｰ</t>
  </si>
  <si>
    <t>NBIB07CB</t>
  </si>
  <si>
    <t>汎用ｲﾝｸ IB07CB</t>
  </si>
  <si>
    <t>NBIB07CL4B</t>
  </si>
  <si>
    <t>汎用ｲﾝｸ IB07CL4B</t>
  </si>
  <si>
    <t>NBIB07KB</t>
  </si>
  <si>
    <t>汎用ｲﾝｸ IB07KB</t>
  </si>
  <si>
    <t>NBIB07MB</t>
  </si>
  <si>
    <t>汎用ｲﾝｸ IB07MB</t>
  </si>
  <si>
    <t>NBIB07YB</t>
  </si>
  <si>
    <t>汎用ｲﾝｸ IB07YB</t>
  </si>
  <si>
    <t>NBIB15CB</t>
  </si>
  <si>
    <t>汎用ｲﾝｸ IB15CB</t>
  </si>
  <si>
    <t>NBIB15KB</t>
  </si>
  <si>
    <t>汎用ｲﾝｸ IB15KB</t>
  </si>
  <si>
    <t>NBIB15MB</t>
  </si>
  <si>
    <t>汎用ｲﾝｸ IB15MB</t>
  </si>
  <si>
    <t>NBIB15YB</t>
  </si>
  <si>
    <t>汎用ｲﾝｸ IB15YB</t>
  </si>
  <si>
    <t>NBICBK70L</t>
  </si>
  <si>
    <t>汎用ｲﾝｸ ICBK70L</t>
  </si>
  <si>
    <t>NBICC70L</t>
  </si>
  <si>
    <t>汎用ｲﾝｸ ICC70L</t>
  </si>
  <si>
    <t>NBICLC70L</t>
  </si>
  <si>
    <t>汎用ｲﾝｸ ICLC70L</t>
  </si>
  <si>
    <t>NBICLM70L</t>
  </si>
  <si>
    <t>汎用ｲﾝｸ ICLM70L</t>
  </si>
  <si>
    <t>NBICM70L</t>
  </si>
  <si>
    <t>汎用ｲﾝｸ ICM70L</t>
  </si>
  <si>
    <t>NBICY70L</t>
  </si>
  <si>
    <t>汎用ｲﾝｸ ICY70L</t>
  </si>
  <si>
    <t>NBIP12KB</t>
  </si>
  <si>
    <t>汎用ｲﾝｸ IP12KB</t>
  </si>
  <si>
    <t>NBIPC8500HBK</t>
  </si>
  <si>
    <t>RICOH 汎用品 ﾄﾅｰ IP C8500HBK</t>
  </si>
  <si>
    <t>NBIPC8500HM</t>
  </si>
  <si>
    <t>RICOH 汎用品 ﾄﾅｰ IP C8500HM</t>
  </si>
  <si>
    <t>NBIPC8500HV</t>
  </si>
  <si>
    <t>RICOH 汎用品 ﾄﾅｰ IP C8500HC</t>
  </si>
  <si>
    <t>NBIPC8500HY</t>
  </si>
  <si>
    <t>RICOH 汎用品 ﾄﾅｰ IP C8500HY</t>
  </si>
  <si>
    <t>NBLB109B</t>
  </si>
  <si>
    <t>富士通 汎用品 プロセスカートリッジLB109B</t>
  </si>
  <si>
    <t>NBLB110B</t>
  </si>
  <si>
    <t>富士通 汎用品 ﾄﾅｰｶｰﾄﾘｯｼﾞLB110B（12K） 0899320</t>
  </si>
  <si>
    <t>NBLB316</t>
  </si>
  <si>
    <t>富士通 汎用品 ﾄﾅｰｶｰﾄﾘｯｼﾞLB316</t>
  </si>
  <si>
    <t>NBLB317B</t>
  </si>
  <si>
    <t>富士通 汎用品 ﾌﾟﾛｾｽｶｰﾄﾘｯｼﾞLB317B（10Ｋ）</t>
  </si>
  <si>
    <t>NBLB318B</t>
  </si>
  <si>
    <t>富士通 汎用品 ﾌﾟﾛｾｽｶｰﾄﾘｯｼﾞLB318B（15Ｋ）</t>
  </si>
  <si>
    <t>NBLB319B</t>
  </si>
  <si>
    <t>富士通 汎用品 ﾌﾟﾛｾｽｶｰﾄﾘｯｼﾞLB319B（10K）</t>
  </si>
  <si>
    <t>NBLB320B</t>
  </si>
  <si>
    <t>富士通 汎用品 ﾄﾅｰｶｰﾄﾘｯｼﾞLB320B（12K）</t>
  </si>
  <si>
    <t>NBLB320M</t>
  </si>
  <si>
    <t>富士通 汎用品 ﾄﾅｰｶｰﾄﾘｯｼﾞLB320M（10K）</t>
  </si>
  <si>
    <t>NBLB321B</t>
  </si>
  <si>
    <t>富士通 汎用品 ﾄﾅｰｶｰﾄﾘｯｼﾞLB321B（12K）</t>
  </si>
  <si>
    <t>NBLB321M</t>
  </si>
  <si>
    <t>富士通 汎用品 ﾄﾅｰｶｰﾄﾘｯｼﾞLB321M（10K）</t>
  </si>
  <si>
    <t>NBLB322</t>
  </si>
  <si>
    <t>富士通 汎用品 ﾄﾞﾗﾑｶｰﾄﾘｯｼﾞLB322</t>
  </si>
  <si>
    <t>NBLB322B</t>
  </si>
  <si>
    <t>富士通 汎用品 ﾄﾅｰｶｰﾄﾘｯｼﾞLB322B</t>
  </si>
  <si>
    <t>NBLB502</t>
  </si>
  <si>
    <t>富士通 汎用品 ﾄﾅｰｶｰﾄﾘｯｼﾞLB502</t>
  </si>
  <si>
    <t>NBLC1114PK</t>
  </si>
  <si>
    <t>汎用ｲﾝｸ LC111-4PK</t>
  </si>
  <si>
    <t>NBLC111BK</t>
  </si>
  <si>
    <t>汎用ｲﾝｸ LC111BK</t>
  </si>
  <si>
    <t>NBLC111C</t>
  </si>
  <si>
    <t>汎用ｲﾝｸ LC111C</t>
  </si>
  <si>
    <t>NBLC111M</t>
  </si>
  <si>
    <t>汎用ｲﾝｸ LC111M</t>
  </si>
  <si>
    <t>NBLC111Y</t>
  </si>
  <si>
    <t>汎用ｲﾝｸ LC111Y</t>
  </si>
  <si>
    <t>NBLC416XLBK</t>
  </si>
  <si>
    <t>汎用ｲﾝｸ LC416XLBK</t>
  </si>
  <si>
    <t>NBLC416XLC</t>
  </si>
  <si>
    <t>汎用ｲﾝｸ LC416XLC</t>
  </si>
  <si>
    <t>NBLC416XLM</t>
  </si>
  <si>
    <t>汎用ｲﾝｸ LC416XLM</t>
  </si>
  <si>
    <t>NBLC416XLY</t>
  </si>
  <si>
    <t>汎用ｲﾝｸ LC416XLY</t>
  </si>
  <si>
    <t>NBLPA3T14K</t>
  </si>
  <si>
    <t>EPSON 汎用品 LPC3T14K ﾄﾅｰｶｰﾄﾘｯｼﾞ</t>
  </si>
  <si>
    <t>NBLPA3T14Y</t>
  </si>
  <si>
    <t>EPSON 汎用品 LPC3T14Y ﾄﾅｰｶｰﾄﾘｯｼﾞ</t>
  </si>
  <si>
    <t>NBLPB3T21</t>
  </si>
  <si>
    <t>EPSON 汎用品 LPB3T21 ﾄﾅｰｶｰﾄﾘｯｼﾞ</t>
  </si>
  <si>
    <t>NBLPB3T23</t>
  </si>
  <si>
    <t>EPSON 汎用品 LPB3T23 ﾄﾅｰｶｰﾄﾘｯｼﾞ</t>
  </si>
  <si>
    <t>NBLPB3T25</t>
  </si>
  <si>
    <t>EPSON 汎用品 LPB3T25 ﾄﾅｰｶｰﾄﾘｯｼﾞ</t>
  </si>
  <si>
    <t>NBLPB3T27</t>
  </si>
  <si>
    <t>EPSON 汎用品 LPB3T27 ﾄﾅｰｶｰﾄﾘｯｼﾞ</t>
  </si>
  <si>
    <t>NBLPB3T29</t>
  </si>
  <si>
    <t>EPSON 汎用品 LPB3T29 ﾄﾅｰｶｰﾄﾘｯｼﾞ</t>
  </si>
  <si>
    <t>NBLPB3T32V</t>
  </si>
  <si>
    <t>ﾄﾅｰｶｰﾄﾘｯｼﾞ LPB3T32 汎用</t>
  </si>
  <si>
    <t>NBLPB4T13</t>
  </si>
  <si>
    <t>EPSON 汎用品 LPB4T13 ﾄﾅｰｶｰﾄﾘｯｼﾞ</t>
  </si>
  <si>
    <t>NBLPB4T15</t>
  </si>
  <si>
    <t>EPSON 汎用品 LPB4T15 ﾄﾅｰｶｰﾄﾘｯｼﾞ</t>
  </si>
  <si>
    <t>NBLPB4T17</t>
  </si>
  <si>
    <t>EPSON 汎用品 LPB4T17 ﾄﾅｰｶｰﾄﾘｯｼﾞ</t>
  </si>
  <si>
    <t>NBLPB4T19</t>
  </si>
  <si>
    <t>EPSON 汎用品 LPB4T19 ﾄﾅｰｶｰﾄﾘｯｼﾞ</t>
  </si>
  <si>
    <t>NBLPB4T21</t>
  </si>
  <si>
    <t>EPSON 汎用品 LPB4T21 ﾄﾅｰｶｰﾄﾘｯｼﾞ</t>
  </si>
  <si>
    <t>NBLPB4T26</t>
  </si>
  <si>
    <t>EPSON 汎用品 LPB4T26</t>
  </si>
  <si>
    <t>NBLPC3K15</t>
  </si>
  <si>
    <t>EPSON 汎用品 LPC3K15 感光体ﾕﾆｯﾄ</t>
  </si>
  <si>
    <t>NBLPC3K17</t>
  </si>
  <si>
    <t>EPSON 汎用品 LPC3K17 ｶﾗｰ</t>
  </si>
  <si>
    <t>NBLPC3K17K</t>
  </si>
  <si>
    <t>EPSON 汎用品 LPC3K17K ﾌﾞﾗｯｸ</t>
  </si>
  <si>
    <t>NBLPC3T14C</t>
  </si>
  <si>
    <t>EPSON 汎用品 LPC3T14C ﾄﾅｰｶｰﾄﾘｯｼﾞ</t>
  </si>
  <si>
    <t>NBLPC3T14M</t>
  </si>
  <si>
    <t>EPSON 汎用品 LPC3T14M ﾄﾅｰｶｰﾄﾘｯｼﾞ</t>
  </si>
  <si>
    <t>NBLPC3T16C</t>
  </si>
  <si>
    <t>EPSON 汎用品 LPC3T16C ﾄﾅｰｶｰﾄﾘｯｼﾞ</t>
  </si>
  <si>
    <t>NBLPC3T16K</t>
  </si>
  <si>
    <t>EPSON 汎用品 LPC3T16K ﾄﾅｰｶｰﾄﾘｯｼﾞ</t>
  </si>
  <si>
    <t>NBLPC3T16M</t>
  </si>
  <si>
    <t>EPSON 汎用品 LPC3T16M ﾄﾅｰｶｰﾄﾘｯｼﾞ</t>
  </si>
  <si>
    <t>NBLPC3T16Y</t>
  </si>
  <si>
    <t>EPSON 汎用品 LPC3T16Y ﾄﾅｰｶｰﾄﾘｯｼﾞ</t>
  </si>
  <si>
    <t>NBLPC3T18C</t>
  </si>
  <si>
    <t>EPSON 汎用品 LPC3T18C ﾄﾅｰｶｰﾄﾘｯｼﾞ</t>
  </si>
  <si>
    <t>NBLPC3T18K</t>
  </si>
  <si>
    <t>EPSON 汎用品 LPC3T18K ﾄﾅｰｶｰﾄﾘｯｼﾞ</t>
  </si>
  <si>
    <t>NBLPC3T18M</t>
  </si>
  <si>
    <t>EPSON 汎用品 LPC3T18M ﾄﾅｰｶｰﾄﾘｯｼﾞ</t>
  </si>
  <si>
    <t>NBLPC3T18Y</t>
  </si>
  <si>
    <t>EPSON 汎用品 LPC3T18Y ﾄﾅｰｶｰﾄﾘｯｼﾞ</t>
  </si>
  <si>
    <t>NBLPC3T21C</t>
  </si>
  <si>
    <t>EPSON 汎用品 LPC3T21C ﾄﾅｰｶｰﾄﾘｯｼﾞ</t>
  </si>
  <si>
    <t>NBLPC3T21K</t>
  </si>
  <si>
    <t>EPSON 汎用品 LPC3T21K ﾄﾅｰｶｰﾄﾘｯｼﾞ</t>
  </si>
  <si>
    <t>NBLPC3T21M</t>
  </si>
  <si>
    <t>EPSON 汎用品 LPC3T21M ﾄﾅｰｶｰﾄﾘｯｼﾞ</t>
  </si>
  <si>
    <t>NBLPC3T21Y</t>
  </si>
  <si>
    <t>EPSON 汎用品 LPC3T21Y ﾄﾅｰｶｰﾄﾘｯｼﾞ</t>
  </si>
  <si>
    <t>NBLPC3T31C</t>
  </si>
  <si>
    <t>EPSON 汎用品 LPC3T31C ﾄﾅｰｶｰﾄﾘｯｼﾞ</t>
  </si>
  <si>
    <t>NBLPC3T31K</t>
  </si>
  <si>
    <t>EPSON 汎用品 LPC3T31K ﾄﾅｰｶｰﾄﾘｯｼﾞ</t>
  </si>
  <si>
    <t>NBLPC3T31M</t>
  </si>
  <si>
    <t>EPSON 汎用品 LPC3T31M ﾄﾅｰｶｰﾄﾘｯｼﾞ</t>
  </si>
  <si>
    <t>NBLPC3T31Y</t>
  </si>
  <si>
    <t>EPSON 汎用品 LPC3T31Y ﾄﾅｰｶｰﾄﾘｯｼﾞ</t>
  </si>
  <si>
    <t>NBLPC3T33C</t>
  </si>
  <si>
    <t>EPSON 汎用品 LPC3T33C ﾄﾅｰｶｰﾄﾘｯｼﾞ</t>
  </si>
  <si>
    <t>NBLPC3T33K</t>
  </si>
  <si>
    <t>EPSON 汎用品 LPC3T33K ﾄﾅｰｶｰﾄﾘｯｼﾞ</t>
  </si>
  <si>
    <t>NBLPC3T33M</t>
  </si>
  <si>
    <t>EPSON 汎用品 LPC3T33M ﾄﾅｰｶｰﾄﾘｯｼﾞ</t>
  </si>
  <si>
    <t>NBLPC3T33Y</t>
  </si>
  <si>
    <t>EPSON 汎用品 LPC3T33Y ﾄﾅｰｶｰﾄﾘｯｼﾞ</t>
  </si>
  <si>
    <t>NBLPC3T35C</t>
  </si>
  <si>
    <t>EPSON 汎用品 LPC3T35C ﾄﾅｰｶｰﾄﾘｯｼﾞ</t>
  </si>
  <si>
    <t>NBLPC3T35K</t>
  </si>
  <si>
    <t>EPSON 汎用品 LPC3T35K ﾄﾅｰｶｰﾄﾘｯｼﾞ</t>
  </si>
  <si>
    <t>NBLPC3T35M</t>
  </si>
  <si>
    <t>EPSON 汎用品 LPC3T35M ﾄﾅｰｶｰﾄﾘｯｼﾞ</t>
  </si>
  <si>
    <t>NBLPC3T35Y</t>
  </si>
  <si>
    <t>EPSON 汎用品 LPC3T35Y ﾄﾅｰｶｰﾄﾘｯｼﾞ</t>
  </si>
  <si>
    <t>NBLPC3T36C</t>
  </si>
  <si>
    <t>EPSON 汎用品 LPC3T36C ﾄﾅｰｶｰﾄﾘｯｼﾞ</t>
  </si>
  <si>
    <t>NBLPC3T36K</t>
  </si>
  <si>
    <t>EPSON 汎用品 LPC3T36K ﾄﾅｰｶｰﾄﾘｯｼﾞ</t>
  </si>
  <si>
    <t>NBLPC3T36M</t>
  </si>
  <si>
    <t>EPSON 汎用品 LPC3T36M ﾄﾅｰｶｰﾄﾘｯｼﾞ</t>
  </si>
  <si>
    <t>NBLPC3T36Y</t>
  </si>
  <si>
    <t>EPSON 汎用品 LPC3T36Y ﾄﾅｰｶｰﾄﾘｯｼﾞ</t>
  </si>
  <si>
    <t>NBLPCA3ETC9C</t>
  </si>
  <si>
    <t>EPSON 汎用品 LPCA3ETC9C ﾄﾅｰｶｰﾄﾘｯｼﾞ</t>
  </si>
  <si>
    <t>NBLPCA3ETC9K</t>
  </si>
  <si>
    <t>EPSON 汎用品 LPCA3ETC9K ﾄﾅｰｶｰﾄﾘｯｼﾞ</t>
  </si>
  <si>
    <t>NBLPCA3ETC9M</t>
  </si>
  <si>
    <t>EPSON 汎用品 LPCA3ETC9M ﾄﾅｰｶｰﾄﾘｯｼﾞ</t>
  </si>
  <si>
    <t>NBLPCA3ETC9Y</t>
  </si>
  <si>
    <t>EPSON 汎用品 LPCA3ETC9Y ﾄﾅｰｶｰﾄﾘｯｼﾞ</t>
  </si>
  <si>
    <t>NBLPCA3T12C</t>
  </si>
  <si>
    <t>EPSON 汎用品 LPCA3T12C ﾄﾅｰｶｰﾄﾘｯｼﾞ</t>
  </si>
  <si>
    <t>NBLPCA3T12K</t>
  </si>
  <si>
    <t>EPSON 汎用品 LPCA3T12K ﾄﾅｰｶｰﾄﾘｯｼﾞ</t>
  </si>
  <si>
    <t>NBLPCA3T12M</t>
  </si>
  <si>
    <t>EPSON 汎用品 LPCA3T12M ﾄﾅｰｶｰﾄﾘｯｼﾞ</t>
  </si>
  <si>
    <t>NBLPCA3T12Y</t>
  </si>
  <si>
    <t>EPSON 汎用品 LPCA3T12Y ﾄﾅｰｶｰﾄﾘｯｼﾞ</t>
  </si>
  <si>
    <t>NBMED4CL</t>
  </si>
  <si>
    <t>汎用ｲﾝｸ MED-4CL 4色ﾊﾟｯｸ</t>
  </si>
  <si>
    <t>NBMEDBK</t>
  </si>
  <si>
    <t>汎用ｲﾝｸ MED-BK</t>
  </si>
  <si>
    <t>NBMEDC</t>
  </si>
  <si>
    <t>汎用ｲﾝｸ MED-C</t>
  </si>
  <si>
    <t>NBMEDM</t>
  </si>
  <si>
    <t>汎用ｲﾝｸ MED-M</t>
  </si>
  <si>
    <t>NBMEDY</t>
  </si>
  <si>
    <t>汎用ｲﾝｸ MED-Y</t>
  </si>
  <si>
    <t>NBMUG4CL</t>
  </si>
  <si>
    <t>汎用ｲﾝｸ MUG-4CL</t>
  </si>
  <si>
    <t>NBMVHPDR30A</t>
  </si>
  <si>
    <t>Panasonic 汎用品 MV-HPDR30A ﾄﾞﾗﾑ</t>
  </si>
  <si>
    <t>NBMVHPRB30A</t>
  </si>
  <si>
    <t>Panasonic 汎用品 MV-HPRB30A 大容量ﾄﾅｰ</t>
  </si>
  <si>
    <t>NBP500</t>
  </si>
  <si>
    <t>RICOH 汎用品 ﾄﾞﾗﾑﾕﾆｯﾄ P500</t>
  </si>
  <si>
    <t>NBP500H</t>
  </si>
  <si>
    <t>RICOH 汎用品 ﾄﾅｰP500Ｈ</t>
  </si>
  <si>
    <t>NBP6500H</t>
  </si>
  <si>
    <t>汎用ﾄﾅｰｶｰﾄﾘｯｼﾞ P6500H</t>
  </si>
  <si>
    <t>NBPCPZ26401B</t>
  </si>
  <si>
    <t>汎用品 PC-PZ26401Bﾄﾅｰ（15K）</t>
  </si>
  <si>
    <t>NBPCPZ2660</t>
  </si>
  <si>
    <t>汎用品 PC-PZ2660ﾄﾅｰ</t>
  </si>
  <si>
    <t>NBPFI320BK</t>
  </si>
  <si>
    <t>ｲﾝｸ 互換 PFI-320BK ﾌﾞﾗｯｸ</t>
  </si>
  <si>
    <t>NBPFI320C</t>
  </si>
  <si>
    <t>ｲﾝｸ 互換 PFI-320C ｼｱﾝ</t>
  </si>
  <si>
    <t>NBPFI320M</t>
  </si>
  <si>
    <t>ｲﾝｸ 互換 PFI-320M ﾏｾﾞﾝﾀ</t>
  </si>
  <si>
    <t>NBPFI320MBK</t>
  </si>
  <si>
    <t>ｲﾝｸ 互換 PFI-320MBK ﾏｯﾄﾌﾞﾗｯｸ</t>
  </si>
  <si>
    <t>NBPFI320Y</t>
  </si>
  <si>
    <t>ｲﾝｸ 互換 PFI-320Y ｲｴﾛｰ</t>
  </si>
  <si>
    <t>NBPFI701GY</t>
  </si>
  <si>
    <t>-在庫限り-汎用ｲﾝｸ PFI-701 GY ｸﾞﾚｰ</t>
  </si>
  <si>
    <t>NBPFI701MBK</t>
  </si>
  <si>
    <t>-在庫限り-汎用ｲﾝｸ PFI-701 MBK ﾌﾞﾗｯｸ</t>
  </si>
  <si>
    <t>NBPL3C73011</t>
  </si>
  <si>
    <t>NEC 汎用品 PR-L3C730-11 Y</t>
  </si>
  <si>
    <t>NBPL3C73012</t>
  </si>
  <si>
    <t>NEC 汎用品 PR-L3C730-12 M</t>
  </si>
  <si>
    <t>NBPL3C73013</t>
  </si>
  <si>
    <t>NEC 汎用品 PR-L3C730-13 C</t>
  </si>
  <si>
    <t>NBPRD700XX201</t>
  </si>
  <si>
    <t>汎用 ｲﾝｸﾘﾎﾞﾝ PR-D700XX201 ※ﾛｯﾄ条件あり</t>
  </si>
  <si>
    <t>NBPRL2900C16Y</t>
  </si>
  <si>
    <t>NEC 汎用品 PR-L2900C-16Y</t>
  </si>
  <si>
    <t>NBPRL2900C17M</t>
  </si>
  <si>
    <t>NEC 汎用品 PR-L2900C-17M</t>
  </si>
  <si>
    <t>NBPRL2900C18C</t>
  </si>
  <si>
    <t>NEC 汎用品 PR-L2900C-18C</t>
  </si>
  <si>
    <t>NBPRL2900C19K</t>
  </si>
  <si>
    <t>NEC 汎用品 PR-L2900C-19K</t>
  </si>
  <si>
    <t>NBPRL3C73014</t>
  </si>
  <si>
    <t>NEC 汎用品 PR-L3C730-14 BK</t>
  </si>
  <si>
    <t>NBPRL3C75011</t>
  </si>
  <si>
    <t>NEC 汎用品 PR-L3C750-11 Y</t>
  </si>
  <si>
    <t>NBPRL3C75012</t>
  </si>
  <si>
    <t>NEC 汎用品 PR-L3C750-12 M</t>
  </si>
  <si>
    <t>NBPRL3C75013</t>
  </si>
  <si>
    <t>NEC 汎用品 PR-L3C750-13 C</t>
  </si>
  <si>
    <t>NBPRL3C75014</t>
  </si>
  <si>
    <t>NEC 汎用品 PR-L3C750-14 BK</t>
  </si>
  <si>
    <t>NBPRL3C750C31</t>
  </si>
  <si>
    <t>NEC 汎用品 PR-L3C750-31　ﾄﾞﾗﾑ</t>
  </si>
  <si>
    <t>NBPRL460012</t>
  </si>
  <si>
    <t>NEC 汎用品 PR-L4600-12</t>
  </si>
  <si>
    <t>NBPRL460031</t>
  </si>
  <si>
    <t>NEC 汎用品 PR-L4600-31</t>
  </si>
  <si>
    <t>NBPRL470012</t>
  </si>
  <si>
    <t>NEC 汎用品 PR-L4700-12</t>
  </si>
  <si>
    <t>NBPRL470031</t>
  </si>
  <si>
    <t>NEC 汎用品 PR-L4700-31</t>
  </si>
  <si>
    <t>NBPRL500011</t>
  </si>
  <si>
    <t>NEC 汎用品 PR-L5000-11</t>
  </si>
  <si>
    <t>NBPRL510012</t>
  </si>
  <si>
    <t>NEC 汎用品 PR-L5100-12</t>
  </si>
  <si>
    <t>NBPRL522012</t>
  </si>
  <si>
    <t>NBPRL522031</t>
  </si>
  <si>
    <t>NEC 汎用品 PR-L5220-31</t>
  </si>
  <si>
    <t>NBPRL530012</t>
  </si>
  <si>
    <t>NEC 汎用品 PR-L5300-12</t>
  </si>
  <si>
    <t>NBPRL550012</t>
  </si>
  <si>
    <t>NEC 汎用品 PR-L5500-12</t>
  </si>
  <si>
    <t>NBPRL5900C16</t>
  </si>
  <si>
    <t>NEC 汎用品 PR-L5900C-16 ｲｴﾛｰ</t>
  </si>
  <si>
    <t>NBPRL5900C17</t>
  </si>
  <si>
    <t>NEC 汎用品 PR-L5900C-17 ﾏｾﾞﾝﾀ</t>
  </si>
  <si>
    <t>NBPRL5900C18</t>
  </si>
  <si>
    <t>NEC 汎用品 PR-L5900C-18 ｼｱﾝ</t>
  </si>
  <si>
    <t>NBPRL5900C19</t>
  </si>
  <si>
    <t>NEC 汎用品 PR-L5900C-19 ﾌﾞﾗｯｸ</t>
  </si>
  <si>
    <t>NBPRL720012</t>
  </si>
  <si>
    <t>NEC 汎用品 PR-L7200-12</t>
  </si>
  <si>
    <t>NBPRL7700C16</t>
  </si>
  <si>
    <t>NEC 汎用品 PR-L7700C-16 ｲｴﾛｰ</t>
  </si>
  <si>
    <t>NBPRL7700C17</t>
  </si>
  <si>
    <t>NEC 汎用品 PR-L7700C-17 ﾏｾﾞﾝﾀ</t>
  </si>
  <si>
    <t>NBPRL7700C18</t>
  </si>
  <si>
    <t>NEC 汎用品 PR-L7700C-18 ｼｱﾝ</t>
  </si>
  <si>
    <t>NBPRL7700C19</t>
  </si>
  <si>
    <t>NEC 汎用品 PR-L7700C-19 ﾌﾞﾗｯｸ</t>
  </si>
  <si>
    <t>NBPRL830012</t>
  </si>
  <si>
    <t>NEC 汎用品 PR-L8300-12（10K）</t>
  </si>
  <si>
    <t>NBPRL850012</t>
  </si>
  <si>
    <t>NEC 汎用品 PR-L8500-12（10K）</t>
  </si>
  <si>
    <t>NBPRL860012</t>
  </si>
  <si>
    <t>NEC 汎用品 PR-L8600-12（10K）</t>
  </si>
  <si>
    <t>NBPRL870012</t>
  </si>
  <si>
    <t>NEC 汎用品 PR-L8700-12（15K）</t>
  </si>
  <si>
    <t>NBPRL9010C11Y</t>
  </si>
  <si>
    <t>NEC 汎用品 PR-L9010C-11Y</t>
  </si>
  <si>
    <t>NBPRL9010C12M</t>
  </si>
  <si>
    <t>NEC 汎用品 PR-L9010C-12M</t>
  </si>
  <si>
    <t>NBPRL9010C13C</t>
  </si>
  <si>
    <t>NEC 汎用品 PR-L9010C-13C</t>
  </si>
  <si>
    <t>NBPRL9010C14K</t>
  </si>
  <si>
    <t>NEC 汎用品 PR-L9010C-14K</t>
  </si>
  <si>
    <t>NBPRL9100C11Y</t>
  </si>
  <si>
    <t>NEC 汎用品 PR-L9100C-11Y</t>
  </si>
  <si>
    <t>NBPRL9100C12M</t>
  </si>
  <si>
    <t>NEC 汎用品 PR-L9100C-12M</t>
  </si>
  <si>
    <t>NBPRL9100C13C</t>
  </si>
  <si>
    <t>NEC 汎用品 PR-L9100C-13C</t>
  </si>
  <si>
    <t>NBPRL9100C14K</t>
  </si>
  <si>
    <t>NEC 汎用品 PR-L9100C-14K</t>
  </si>
  <si>
    <t>NBPRL9100C31</t>
  </si>
  <si>
    <t>NEC 汎用品 PR-L9100C-31</t>
  </si>
  <si>
    <t>NBPRL9100C35</t>
  </si>
  <si>
    <t>NEC 汎用品 PR-L9100C-35</t>
  </si>
  <si>
    <t>NBPRL9110C11Y</t>
  </si>
  <si>
    <t>NEC 汎用品 PR-L9110C-11Y</t>
  </si>
  <si>
    <t>NBPRL9110C12M</t>
  </si>
  <si>
    <t>NEC 汎用品 PR-L9110C-12M</t>
  </si>
  <si>
    <t>NBPRL9110C13C</t>
  </si>
  <si>
    <t>NEC 汎用品 PR-L9110C-13C</t>
  </si>
  <si>
    <t>NBPRL9110C14K</t>
  </si>
  <si>
    <t>NEC 汎用品 PR-L9110C-14K</t>
  </si>
  <si>
    <t>NBPRL9300C16</t>
  </si>
  <si>
    <t>NEC 汎用品 PR-L9300Ｃ-16 Y 大容量</t>
  </si>
  <si>
    <t>NBPRL9300C17</t>
  </si>
  <si>
    <t>NEC 汎用品 PR-L9300Ｃ-17 M 大容量</t>
  </si>
  <si>
    <t>NBPRL9300C18</t>
  </si>
  <si>
    <t>NEC 汎用品 PR-L9300Ｃ-18 C 大容量</t>
  </si>
  <si>
    <t>NBPRL9300C19</t>
  </si>
  <si>
    <t>NEC 汎用品 PR-L9300Ｃ-19 K 大容量</t>
  </si>
  <si>
    <t>NBPRL9600C16</t>
  </si>
  <si>
    <t>NEC 汎用品 PR-L9600Ｃ-16Y 大容量</t>
  </si>
  <si>
    <t>NBPRL9600C17</t>
  </si>
  <si>
    <t>NEC 汎用品 PR-L9600Ｃ-17M 大容量</t>
  </si>
  <si>
    <t>NBPRL9600C18</t>
  </si>
  <si>
    <t>NEC 汎用品 PR-L9600Ｃ-18C 大容量</t>
  </si>
  <si>
    <t>NBPRL9600C19</t>
  </si>
  <si>
    <t>NEC 汎用品 PR-L9600Ｃ-19K 大容量</t>
  </si>
  <si>
    <t>NBPRL9950C11Y</t>
  </si>
  <si>
    <t>NEC 汎用品 PR-L9950C-11 Y</t>
  </si>
  <si>
    <t>NBPRL9950C12M</t>
  </si>
  <si>
    <t>NEC 汎用品 PR-L9950C-12 M</t>
  </si>
  <si>
    <t>NBPRL9950C13C</t>
  </si>
  <si>
    <t>NEC 汎用品 PR-L9950C-13 C</t>
  </si>
  <si>
    <t>NBPRL9950C14K</t>
  </si>
  <si>
    <t>NEC 汎用品 PR-L9950C-14 K</t>
  </si>
  <si>
    <t>NBS8113</t>
  </si>
  <si>
    <t>汎用ｲﾝｸ RISO ｲﾝｸ FⅡﾀｲﾌﾟﾌﾞﾗｯｸ S-8113</t>
  </si>
  <si>
    <t>NBS8130</t>
  </si>
  <si>
    <t>汎用 RISO ﾏｽﾀｰ FⅡﾀｲﾌﾟ AS S-8130</t>
  </si>
  <si>
    <t>NBSC1BK70</t>
  </si>
  <si>
    <t>汎用ｲﾝｸ SC1BK70</t>
  </si>
  <si>
    <t>NBSC1C70</t>
  </si>
  <si>
    <t>汎用ｲﾝｸ SC1C70</t>
  </si>
  <si>
    <t>NBSC1M70</t>
  </si>
  <si>
    <t>汎用ｲﾝｸ SC1M70</t>
  </si>
  <si>
    <t>NBSC1MB70</t>
  </si>
  <si>
    <t>汎用ｲﾝｸ SC1MB70</t>
  </si>
  <si>
    <t>NBSC1Y70</t>
  </si>
  <si>
    <t>汎用ｲﾝｸ SC1Y70</t>
  </si>
  <si>
    <t>NBSP4200H</t>
  </si>
  <si>
    <t>RICOH 汎用品 IPSiO SPﾄﾅｰｶｰﾄﾘｯｼﾞ4200H</t>
  </si>
  <si>
    <t>NBSP4500</t>
  </si>
  <si>
    <t>RICOH 汎用品 IPSiO SPﾄﾅｰｶｰﾄﾘｯｼﾞ4500</t>
  </si>
  <si>
    <t>NBSP4500H</t>
  </si>
  <si>
    <t>RICOH 汎用品 IPSiO SPﾄﾅｰｶｰﾄﾘｯｼﾞ4500H</t>
  </si>
  <si>
    <t>NBSP6400H</t>
  </si>
  <si>
    <t>RICOH 汎用品 IPSiO SPﾄﾅｰｶｰﾄﾘｯｼﾞ6400Ｈ</t>
  </si>
  <si>
    <t>NBVP4300LRC</t>
  </si>
  <si>
    <t>汎用 ｲﾝｸﾘﾎﾞﾝ VP4300LRC ※ﾛｯﾄ条件あり</t>
  </si>
  <si>
    <t>NBYADBK</t>
  </si>
  <si>
    <t>汎用ｲﾝｸ YAD-BK</t>
  </si>
  <si>
    <t>NDPK3800</t>
  </si>
  <si>
    <t>汎用ﾘﾎﾞﾝｶｾｯﾄ DPK3800 黒 0325210V</t>
  </si>
  <si>
    <t>NDPK3800SAB</t>
  </si>
  <si>
    <t>汎用ｻﾌﾞﾘﾎﾞﾝ DPK3800 黒 0325220</t>
  </si>
  <si>
    <t>NEBIKI</t>
  </si>
  <si>
    <t>値引き</t>
  </si>
  <si>
    <t>NEC</t>
  </si>
  <si>
    <t>※ﾒｰｶｰ取寄せのため納期が2月以降になり、新価格でのご提供となってしまう可能性がございます。</t>
  </si>
  <si>
    <t>NICBK69L</t>
  </si>
  <si>
    <t>汎用ｲﾝｸ ICBK69L ﾌﾞﾗｯｸ大容量</t>
  </si>
  <si>
    <t>NICC69</t>
  </si>
  <si>
    <t>汎用ｲﾝｸ ICC69 ｼｱﾝ</t>
  </si>
  <si>
    <t>NICM69</t>
  </si>
  <si>
    <t>汎用ｲﾝｸ ICM69 ﾏｾﾞﾝﾀ</t>
  </si>
  <si>
    <t>NICY69</t>
  </si>
  <si>
    <t>汎用ｲﾝｸ ICY69 ｲｴﾛｰ</t>
  </si>
  <si>
    <t>NKAMBKL</t>
  </si>
  <si>
    <t>互換ｲﾝｸ KAM-BK-L ﾌﾞﾗｯｸ</t>
  </si>
  <si>
    <t>NKAMCL</t>
  </si>
  <si>
    <t>互換ｲﾝｸ KAM-C-L ｼｱﾝ</t>
  </si>
  <si>
    <t>NKAMLCL</t>
  </si>
  <si>
    <t>互換ｲﾝｸ KAM-LC-L ﾗｲﾄｼｱﾝ</t>
  </si>
  <si>
    <t>NKAMLML</t>
  </si>
  <si>
    <t>互換ｲﾝｸ KAM-LM-L ﾗｲﾄﾏｾﾞﾝﾀ</t>
  </si>
  <si>
    <t>NKAMML</t>
  </si>
  <si>
    <t>互換ｲﾝｸ KAM-M-L ﾏｾﾞﾝﾀ</t>
  </si>
  <si>
    <t>NKAMYL</t>
  </si>
  <si>
    <t>互換ｲﾝｸ KAM-Y-L ｲｴﾛｰ</t>
  </si>
  <si>
    <t>NMUGBK</t>
  </si>
  <si>
    <t>汎用ｲﾝｸ MUG-BK ﾌﾞﾗｯｸ</t>
  </si>
  <si>
    <t>NMUGC</t>
  </si>
  <si>
    <t>汎用ｲﾝｸ MUG-C ｼｱﾝ</t>
  </si>
  <si>
    <t>NMUGM</t>
  </si>
  <si>
    <t>汎用ｲﾝｸ MUG-M ﾏｾﾞﾝﾀ</t>
  </si>
  <si>
    <t>NMUGY</t>
  </si>
  <si>
    <t>汎用ｲﾝｸ MUG-Y ｲｴﾛｰ</t>
  </si>
  <si>
    <t>NOU</t>
  </si>
  <si>
    <t>※納期確認中</t>
  </si>
  <si>
    <t>NOUHIN</t>
  </si>
  <si>
    <t>金額の入らない仮納品書を添付してください。仮納品書に「NO.　　　　」と記載してください。よろしくお願いいたします。</t>
  </si>
  <si>
    <t>NPG71BK</t>
  </si>
  <si>
    <t>NPG71C</t>
  </si>
  <si>
    <t>CANON ﾄﾅｰｶｰﾄﾘｯｼﾞ NPG-71 ｼｱﾝ</t>
  </si>
  <si>
    <t>NPG71M</t>
  </si>
  <si>
    <t>CANON ﾄﾅｰｶｰﾄﾘｯｼﾞ NPG-71 ﾏｾﾞﾝﾀ</t>
  </si>
  <si>
    <t>NPG71Y</t>
  </si>
  <si>
    <t>CANON ﾄﾅｰｶｰﾄﾘｯｼﾞ NPG-71 ｲｴﾛｰ</t>
  </si>
  <si>
    <t>NYUUKIN</t>
  </si>
  <si>
    <t>入金</t>
  </si>
  <si>
    <t>OD</t>
  </si>
  <si>
    <t>※ご注文時には、右端にご注文本数をご記載ください。</t>
  </si>
  <si>
    <t>OSFE-A4S-B</t>
  </si>
  <si>
    <t>ﾌﾗｯﾄﾌｧｲﾙE A4ﾀﾃ OSFE-A4S-B ﾌﾞﾙｰ 10冊150枚 背幅18mm</t>
  </si>
  <si>
    <t>第15489-29968号</t>
  </si>
  <si>
    <t>OSFE-A4S-CB</t>
  </si>
  <si>
    <t>ﾌﾗｯﾄﾌｧｲﾙE A4ﾀﾃ OSFE-A4S-CB ｺﾊﾞﾙﾄﾌﾞﾙｰ 10冊150枚 背幅18mm</t>
  </si>
  <si>
    <t>OSFE-A4S-G</t>
  </si>
  <si>
    <t>ﾌﾗｯﾄﾌｧｲﾙE A4ﾀﾃ OSFE-A4S-G ｸﾞﾘｰﾝ 10冊150枚 背幅18mm 5141029</t>
  </si>
  <si>
    <t>OSFE-A4S-M</t>
  </si>
  <si>
    <t>ﾌﾗｯﾄﾌｧｲﾙE A4ﾀﾃ OSFE-A4S-M ｸﾞﾚｰ 10冊150枚 背幅18mm</t>
  </si>
  <si>
    <t>OSFE-A4S-P</t>
  </si>
  <si>
    <t>ﾌﾗｯﾄﾌｧｲﾙE A4ﾀﾃ OSFE-A4S-P ﾋﾟﾝｸ 10冊150枚 背幅18mm 5141036</t>
  </si>
  <si>
    <t>OSFE-A4S-V</t>
  </si>
  <si>
    <t>ﾌﾗｯﾄﾌｧｲﾙE A4ﾀﾃ OSFE-A4S-V ｳﾞｧｲｵﾚｯﾄ 10冊150枚 背幅18mm 5141043</t>
  </si>
  <si>
    <t>OSFE-A4S-Y</t>
  </si>
  <si>
    <t>ﾌﾗｯﾄﾌｧｲﾙE A4ﾀﾃ OSFE-A4S-Y ｲｴﾛｰ 10冊150枚 背幅18mm 5141043</t>
  </si>
  <si>
    <t>P2040dw</t>
  </si>
  <si>
    <t>京セラ ﾚｰｻﾞｰﾌﾟﾘﾝﾀｰ P2040dw</t>
  </si>
  <si>
    <t>P3145dn</t>
  </si>
  <si>
    <t>京セラ ﾚｰｻﾞｰﾌﾟﾘﾝﾀｰ P3145dn</t>
  </si>
  <si>
    <t>P3160dn</t>
  </si>
  <si>
    <t>京セラ ﾚｰｻﾞｰﾌﾟﾘﾝﾀｰ P3160dn</t>
  </si>
  <si>
    <t>P4060dn</t>
  </si>
  <si>
    <t>京セラ ﾚｰｻﾞｰﾌﾟﾘﾝﾀｰ P4060dn</t>
  </si>
  <si>
    <t>P4140dn</t>
  </si>
  <si>
    <t>京セラ ﾚｰｻﾞｰﾌﾟﾘﾝﾀｰ P4140dn</t>
  </si>
  <si>
    <t>P5026cdw</t>
  </si>
  <si>
    <t>京セラ ﾚｰｻﾞｰﾌﾟﾘﾝﾀｰ P5026cdw</t>
  </si>
  <si>
    <t>P6000</t>
  </si>
  <si>
    <t>RICOH  A3ﾓﾉｸﾛﾌﾟﾘﾝﾀｰ P6000  514307</t>
  </si>
  <si>
    <t>P6020</t>
  </si>
  <si>
    <t>-終息-RICOH ﾚｰｻﾞｰﾌﾟﾘﾝﾀｰ P 6020</t>
  </si>
  <si>
    <t>P6030</t>
  </si>
  <si>
    <t>-終息-RICOH ﾚｰｻﾞｰﾌﾟﾘﾝﾀｰ P 6030</t>
  </si>
  <si>
    <t>P6230cdn</t>
  </si>
  <si>
    <t>京セラ ﾚｰｻﾞｰﾌﾟﾘﾝﾀｰ P6230cdn</t>
  </si>
  <si>
    <t>P6510</t>
  </si>
  <si>
    <t>RICOH ﾚｰｻﾞｰﾌﾟﾘﾝﾀｰ P 6510　【514510】</t>
  </si>
  <si>
    <t>P6520</t>
  </si>
  <si>
    <t>RICOH ﾚｰｻﾞｰﾌﾟﾘﾝﾀｰ P 6520　【514561】</t>
  </si>
  <si>
    <t>P7240cdn</t>
  </si>
  <si>
    <t>京セラ ﾚｰｻﾞｰﾌﾟﾘﾝﾀｰ P7240cdn</t>
  </si>
  <si>
    <t>P801</t>
  </si>
  <si>
    <t>富士ﾌｲﾙﾑ  P801 上質ﾛｰﾙ紙E 64g/㎡ A0 841mm×200m 1本/箱</t>
  </si>
  <si>
    <t>P8060cdn</t>
  </si>
  <si>
    <t>京セラ ﾚｰｻﾞｰﾌﾟﾘﾝﾀｰ P8060cdn</t>
  </si>
  <si>
    <t>PA2000w</t>
  </si>
  <si>
    <t>京セラ ﾚｰｻﾞｰﾌﾟﾘﾝﾀｰ PA2000w</t>
  </si>
  <si>
    <t>PA4500x</t>
  </si>
  <si>
    <t>京セラ ﾚｰｻﾞｰﾌﾟﾘﾝﾀｰ PA4500x</t>
  </si>
  <si>
    <t>PA6000x</t>
  </si>
  <si>
    <t>京セラ ﾚｰｻﾞｰﾌﾟﾘﾝﾀｰ PA6000x</t>
  </si>
  <si>
    <t>PC200L</t>
  </si>
  <si>
    <t>RICOH ﾚｰｻﾞｰﾌﾟﾘﾝﾀｰ P C200L</t>
  </si>
  <si>
    <t>PC200SFL</t>
  </si>
  <si>
    <t>RICOH 複合機 P C200SFL</t>
  </si>
  <si>
    <t>PC375</t>
  </si>
  <si>
    <t>RICOH ﾚｰｻﾞｰﾌﾟﾘﾝﾀｰ P C375   514981</t>
  </si>
  <si>
    <t>PC6000L</t>
  </si>
  <si>
    <t>RICOH ﾚｰｻﾞｰﾌﾟﾘﾝﾀｰ P C6000L　【514470】</t>
  </si>
  <si>
    <t>PC6010</t>
  </si>
  <si>
    <t>RICOH ﾚｰｻﾞｰﾌﾟﾘﾝﾀｰ P C6010　【514468】</t>
  </si>
  <si>
    <t>PIJS000065</t>
  </si>
  <si>
    <t>売上原価Pro UG版 ｽﾀﾝﾄﾞｱﾛﾝ年間保守 PIJS000065</t>
  </si>
  <si>
    <t>PJIC6K</t>
  </si>
  <si>
    <t>PPRL280011</t>
  </si>
  <si>
    <t>ﾘｻｲｸﾙ PR-L2800-11</t>
  </si>
  <si>
    <t>PRL3C731</t>
  </si>
  <si>
    <t>NEC ﾚｰｻﾞｰﾌﾟﾘﾝﾀｰ PR-L3C731</t>
  </si>
  <si>
    <t>PRL3C751</t>
  </si>
  <si>
    <t>NEC ﾚｰｻﾞｰﾌﾟﾘﾝﾀｰ PR-L3C751</t>
  </si>
  <si>
    <t>PRL3C751A</t>
  </si>
  <si>
    <t>NEC ﾚｰｻﾞｰﾌﾟﾘﾝﾀｰ PR-L3C751A</t>
  </si>
  <si>
    <t>PRL3M530</t>
  </si>
  <si>
    <t>NEC ﾚｰｻﾞｰﾌﾟﾘﾝﾀｰ PR-L3M530</t>
  </si>
  <si>
    <t>PRL3M550</t>
  </si>
  <si>
    <t>NEC ﾚｰｻﾞｰﾌﾟﾘﾝﾀｰ PR-L3M550</t>
  </si>
  <si>
    <t>PRL3M570</t>
  </si>
  <si>
    <t>NEC ﾚｰｻﾞｰﾌﾟﾘﾝﾀｰ PR-L3M570</t>
  </si>
  <si>
    <t>PRL4C150</t>
  </si>
  <si>
    <t>NEC ﾚｰｻﾞｰﾌﾟﾘﾝﾀｰ PR-L4C150</t>
  </si>
  <si>
    <t>PRL4C550</t>
  </si>
  <si>
    <t>NEC ﾚｰｻﾞｰﾌﾟﾘﾝﾀｰ PR-L4C550</t>
  </si>
  <si>
    <t>PRL4F150</t>
  </si>
  <si>
    <t>NEC ﾚｰｻﾞｰ 複合機 PR-L4F150</t>
  </si>
  <si>
    <t>PRL4M550</t>
  </si>
  <si>
    <t>NEC ﾚｰｻﾞｰﾌﾟﾘﾝﾀｰ PR-L4M550</t>
  </si>
  <si>
    <t>PRL5350</t>
  </si>
  <si>
    <t>NEC ﾚｰｻﾞｰﾌﾟﾘﾝﾀｰ PR-L5350</t>
  </si>
  <si>
    <t>PRO1357</t>
  </si>
  <si>
    <t>RICOH Pro ﾄﾅｰ 1357　600083</t>
  </si>
  <si>
    <t>PX-M6010F</t>
  </si>
  <si>
    <t>EPSON ｲﾝｸｼﾞｪｯﾄ 複合機 PX-M6010F</t>
  </si>
  <si>
    <t>PX-M6011F</t>
  </si>
  <si>
    <t>EPSON ｲﾝｸｼﾞｪｯﾄ 複合機 PX-M6011F</t>
  </si>
  <si>
    <t>PX-M6711FT</t>
  </si>
  <si>
    <t>EPSON ｲﾝｸｼﾞｪｯﾄ 多機能ﾓﾃﾞﾙ PX-M6711FT</t>
  </si>
  <si>
    <t>PX-M6712FT</t>
  </si>
  <si>
    <t>EPSON ｲﾝｸｼﾞｪｯﾄ 多機能ﾓﾃﾞﾙ PX-M6712FT</t>
  </si>
  <si>
    <t>PX-M730F</t>
  </si>
  <si>
    <t>EPSON ｲﾝｸｼﾞｪｯﾄ 複合機 PX-M730F</t>
  </si>
  <si>
    <t>PX-M791FT</t>
  </si>
  <si>
    <t>EPSON ｲﾝｸｼﾞｪｯﾄ 複合機 PX-M791FT</t>
  </si>
  <si>
    <t>PX-M887F</t>
  </si>
  <si>
    <t>EPSON ｲﾝｸｼﾞｪｯﾄ 複合機 PX-M887F</t>
  </si>
  <si>
    <t>PXM7110F</t>
  </si>
  <si>
    <t>EPSON ｲﾝｸｼﾞｪｯﾄ 複合機 PX-M7110F</t>
  </si>
  <si>
    <t>PXS381L</t>
  </si>
  <si>
    <t>EPSON  A4ﾓﾉｸﾛｲﾝｸｼﾞｪｯﾄﾌﾟﾘﾝﾀｰ PX-S381L</t>
  </si>
  <si>
    <t>R038BK</t>
  </si>
  <si>
    <t>ﾘｻｲｸﾙﾄﾅｰ 038 BK</t>
  </si>
  <si>
    <t>R038C</t>
  </si>
  <si>
    <t>ﾘｻｲｸﾙﾄﾅｰ 038 C</t>
  </si>
  <si>
    <t>R038M</t>
  </si>
  <si>
    <t>ﾘｻｲｸﾙﾄﾅｰ 038 M</t>
  </si>
  <si>
    <t>R038Y</t>
  </si>
  <si>
    <t>ﾘｻｲｸﾙﾄﾅｰ 038 Y</t>
  </si>
  <si>
    <t>R039</t>
  </si>
  <si>
    <t>ﾘｻｲｸﾙﾄﾅｰ 039</t>
  </si>
  <si>
    <t>R039H</t>
  </si>
  <si>
    <t>ﾘｻｲｸﾙﾄﾅｰ 039H</t>
  </si>
  <si>
    <t>R040</t>
  </si>
  <si>
    <t>ﾘｻｲｸﾙﾄﾅｰ　040BK</t>
  </si>
  <si>
    <t>R040C</t>
  </si>
  <si>
    <t>ﾘｻｲｸﾙﾄﾅｰ　040Ｃ</t>
  </si>
  <si>
    <t>R040HBK</t>
  </si>
  <si>
    <t>ﾘｻｲｸﾙﾄﾅｰ　040H　BK</t>
  </si>
  <si>
    <t>R040HC</t>
  </si>
  <si>
    <t>ﾘｻｲｸﾙﾄﾅｰ　040Ｈ　Ｃ</t>
  </si>
  <si>
    <t>R040HM</t>
  </si>
  <si>
    <t>ﾘｻｲｸﾙﾄﾅｰ　040H　M</t>
  </si>
  <si>
    <t>R040HY</t>
  </si>
  <si>
    <t>ﾘｻｲｸﾙﾄﾅｰ　040H　Y</t>
  </si>
  <si>
    <t>R040M</t>
  </si>
  <si>
    <t>ﾘｻｲｸﾙﾄﾅｰ　040Ｍ</t>
  </si>
  <si>
    <t>R040Y</t>
  </si>
  <si>
    <t>ﾘｻｲｸﾙﾄﾅｰ　040Y</t>
  </si>
  <si>
    <t>R041</t>
  </si>
  <si>
    <t>ﾘｻｲｸﾙﾄﾅｰ 041</t>
  </si>
  <si>
    <t>R041H</t>
  </si>
  <si>
    <t>ﾘｻｲｸﾙﾄﾅｰ 041H</t>
  </si>
  <si>
    <t>R042</t>
  </si>
  <si>
    <t>ﾘｻｲｸﾙﾄﾅｰ 042</t>
  </si>
  <si>
    <t>R042H</t>
  </si>
  <si>
    <t>ﾘｻｲｸﾙﾄﾅｰ 042H</t>
  </si>
  <si>
    <t>R045BK</t>
  </si>
  <si>
    <t>ﾘｻｲｸﾙﾄﾅｰ 045 BK</t>
  </si>
  <si>
    <t>R045C</t>
  </si>
  <si>
    <t>ﾘｻｲｸﾙﾄﾅｰ 045 C</t>
  </si>
  <si>
    <t>R045HBK</t>
  </si>
  <si>
    <t>ﾘｻｲｸﾙﾄﾅｰ 045H BK</t>
  </si>
  <si>
    <t>R045HC</t>
  </si>
  <si>
    <t>ﾘｻｲｸﾙﾄﾅｰ 045H C</t>
  </si>
  <si>
    <t>R045HM</t>
  </si>
  <si>
    <t>ﾘｻｲｸﾙﾄﾅｰ 045H M</t>
  </si>
  <si>
    <t>R045HY</t>
  </si>
  <si>
    <t>ﾘｻｲｸﾙﾄﾅｰ 045H Y</t>
  </si>
  <si>
    <t>R045M</t>
  </si>
  <si>
    <t>ﾘｻｲｸﾙﾄﾅｰ 045 M</t>
  </si>
  <si>
    <t>R045Y</t>
  </si>
  <si>
    <t>ﾘｻｲｸﾙﾄﾅｰ 045 Y</t>
  </si>
  <si>
    <t>R046BK</t>
  </si>
  <si>
    <t>ﾘｻｲｸﾙﾄﾅｰ 046 BK</t>
  </si>
  <si>
    <t>R046C</t>
  </si>
  <si>
    <t>ﾘｻｲｸﾙﾄﾅｰ 046 C</t>
  </si>
  <si>
    <t>R046HBK</t>
  </si>
  <si>
    <t>ﾘｻｲｸﾙﾄﾅｰ 046H BK</t>
  </si>
  <si>
    <t>R046HC</t>
  </si>
  <si>
    <t>ﾘｻｲｸﾙﾄﾅｰ 046H C</t>
  </si>
  <si>
    <t>R046HM</t>
  </si>
  <si>
    <t>ﾘｻｲｸﾙﾄﾅｰ 046H M</t>
  </si>
  <si>
    <t>R046HY</t>
  </si>
  <si>
    <t>ﾘｻｲｸﾙﾄﾅｰ 046H Y</t>
  </si>
  <si>
    <t>R046M</t>
  </si>
  <si>
    <t>ﾘｻｲｸﾙﾄﾅｰ 046 M</t>
  </si>
  <si>
    <t>R046Y</t>
  </si>
  <si>
    <t>ﾘｻｲｸﾙﾄﾅｰ 046 Y</t>
  </si>
  <si>
    <t>R051</t>
  </si>
  <si>
    <t>ﾘｻｲｸﾙﾄﾅｰ 051</t>
  </si>
  <si>
    <t>R051H</t>
  </si>
  <si>
    <t>ﾘｻｲｸﾙﾄﾅｰ 051H</t>
  </si>
  <si>
    <t>R053DR</t>
  </si>
  <si>
    <t>ﾘｻｲｸﾙﾄﾞﾗﾑ 053</t>
  </si>
  <si>
    <t>R053HBK</t>
  </si>
  <si>
    <t>ﾘｻｲｸﾙﾄﾅｰ 053H BK</t>
  </si>
  <si>
    <t>R053HC</t>
  </si>
  <si>
    <t>ﾘｻｲｸﾙﾄﾅｰ 053H C</t>
  </si>
  <si>
    <t>R053HM</t>
  </si>
  <si>
    <t>ﾘｻｲｸﾙﾄﾅｰ 053H M</t>
  </si>
  <si>
    <t>R053HY</t>
  </si>
  <si>
    <t>ﾘｻｲｸﾙﾄﾅｰ 053H Y</t>
  </si>
  <si>
    <t>R054C</t>
  </si>
  <si>
    <t>ﾘｻｲｸﾙﾄﾅｰ 054 C</t>
  </si>
  <si>
    <t>R054HC</t>
  </si>
  <si>
    <t>ﾘｻｲｸﾙﾄﾅｰ 054H C</t>
  </si>
  <si>
    <t>R054HK</t>
  </si>
  <si>
    <t>ﾘｻｲｸﾙﾄﾅｰ 054H BK</t>
  </si>
  <si>
    <t>R054HM</t>
  </si>
  <si>
    <t>ﾘｻｲｸﾙﾄﾅｰ 054H M</t>
  </si>
  <si>
    <t>R054HY</t>
  </si>
  <si>
    <t>ﾘｻｲｸﾙﾄﾅｰ 054H Y</t>
  </si>
  <si>
    <t>R054K</t>
  </si>
  <si>
    <t>ﾘｻｲｸﾙﾄﾅｰ 054 BK</t>
  </si>
  <si>
    <t>R054M</t>
  </si>
  <si>
    <t>ﾘｻｲｸﾙﾄﾅｰ 054 M</t>
  </si>
  <si>
    <t>R054Y</t>
  </si>
  <si>
    <t>ﾘｻｲｸﾙﾄﾅｰ 054 Y</t>
  </si>
  <si>
    <t>R055BK</t>
  </si>
  <si>
    <t>ﾘｻｲｸﾙﾄﾅｰ 055 BK</t>
  </si>
  <si>
    <t>R055C</t>
  </si>
  <si>
    <t>ﾘｻｲｸﾙﾄﾅｰ 055 C</t>
  </si>
  <si>
    <t>R055HBK</t>
  </si>
  <si>
    <t>ﾘｻｲｸﾙﾄﾅｰ 055H BK</t>
  </si>
  <si>
    <t>R055HBKROM</t>
  </si>
  <si>
    <t>ﾘｻｲｸﾙﾄﾅｰ 055H BK(ROM付)</t>
  </si>
  <si>
    <t>R055HC</t>
  </si>
  <si>
    <t>ﾘｻｲｸﾙﾄﾅｰ 055H C</t>
  </si>
  <si>
    <t>R055HCROM</t>
  </si>
  <si>
    <t>ﾘｻｲｸﾙﾄﾅｰ 055H C(ROM付)</t>
  </si>
  <si>
    <t>R055HM</t>
  </si>
  <si>
    <t>ﾘｻｲｸﾙﾄﾅｰ 055H M</t>
  </si>
  <si>
    <t>R055HMROM</t>
  </si>
  <si>
    <t>ﾘｻｲｸﾙﾄﾅｰ 055H M(ROM付)</t>
  </si>
  <si>
    <t>R055HY</t>
  </si>
  <si>
    <t>ﾘｻｲｸﾙﾄﾅｰ 055H Y</t>
  </si>
  <si>
    <t>R055HYROM</t>
  </si>
  <si>
    <t>ﾘｻｲｸﾙﾄﾅｰ 055H Y(ROM付)</t>
  </si>
  <si>
    <t>R055M</t>
  </si>
  <si>
    <t>ﾘｻｲｸﾙﾄﾅｰ 055 M</t>
  </si>
  <si>
    <t>R055Y</t>
  </si>
  <si>
    <t>ﾘｻｲｸﾙﾄﾅｰ 055 Y</t>
  </si>
  <si>
    <t>R056</t>
  </si>
  <si>
    <t>ﾘｻｲｸﾙﾄﾅｰ ｶｰﾄﾘｯｼﾞ056</t>
  </si>
  <si>
    <t>R056IC</t>
  </si>
  <si>
    <t>ﾘｻｲｸﾙﾄﾅｰ ｶｰﾄﾘｯｼﾞ056 ROM有</t>
  </si>
  <si>
    <t>R056LIC</t>
  </si>
  <si>
    <t>ﾘｻｲｸﾙﾄﾅｰ ｶｰﾄﾘｯｼﾞ056L ROM有</t>
  </si>
  <si>
    <t>R057</t>
  </si>
  <si>
    <t>ﾘｻｲｸﾙﾄﾅｰ 057</t>
  </si>
  <si>
    <t>R057H</t>
  </si>
  <si>
    <t>ﾘｻｲｸﾙﾄﾅｰ 057H</t>
  </si>
  <si>
    <t>R057HIC</t>
  </si>
  <si>
    <t>ﾘｻｲｸﾙﾄﾅｰ 057H ROM有</t>
  </si>
  <si>
    <t>R057IC</t>
  </si>
  <si>
    <t>ﾘｻｲｸﾙﾄﾅｰ ｶｰﾄﾘｯｼﾞ057 ROM有</t>
  </si>
  <si>
    <t>R059BK</t>
  </si>
  <si>
    <t>ﾘｻｲｸﾙﾄﾅｰ 059 BK</t>
  </si>
  <si>
    <t>R059C</t>
  </si>
  <si>
    <t>ﾘｻｲｸﾙﾄﾅｰ 059 C</t>
  </si>
  <si>
    <t>R059HC</t>
  </si>
  <si>
    <t>ﾘｻｲｸﾙﾄﾅｰ 059H C</t>
  </si>
  <si>
    <t>R059HK</t>
  </si>
  <si>
    <t>ﾘｻｲｸﾙﾄﾅｰ 059H BK</t>
  </si>
  <si>
    <t>R059HM</t>
  </si>
  <si>
    <t>ﾘｻｲｸﾙﾄﾅｰ 059H M</t>
  </si>
  <si>
    <t>R059HY</t>
  </si>
  <si>
    <t>ﾘｻｲｸﾙﾄﾅｰ 059H Y</t>
  </si>
  <si>
    <t>R059M</t>
  </si>
  <si>
    <t>ﾘｻｲｸﾙﾄﾅｰ 059 M</t>
  </si>
  <si>
    <t>R059Y</t>
  </si>
  <si>
    <t>ﾘｻｲｸﾙﾄﾅｰ 059 Y</t>
  </si>
  <si>
    <t>R061</t>
  </si>
  <si>
    <t>ﾘｻｲｸﾙﾄﾅｰ 061</t>
  </si>
  <si>
    <t>R062</t>
  </si>
  <si>
    <t>ﾘｻｲｸﾙﾄﾅｰ 062</t>
  </si>
  <si>
    <t>R062H</t>
  </si>
  <si>
    <t>ﾘｻｲｸﾙﾄﾅｰ 062H</t>
  </si>
  <si>
    <t>R064HBK</t>
  </si>
  <si>
    <t>ﾘｻｲｸﾙﾄﾅｰ 064H BK ROM無</t>
  </si>
  <si>
    <t>R064HBKROM</t>
  </si>
  <si>
    <t>ﾘｻｲｸﾙﾄﾅｰ 064H BK ROM有</t>
  </si>
  <si>
    <t>R064HC</t>
  </si>
  <si>
    <t>ﾘｻｲｸﾙﾄﾅｰ 064H C  ROM無</t>
  </si>
  <si>
    <t>R064HCROM</t>
  </si>
  <si>
    <t>ﾘｻｲｸﾙﾄﾅｰ 064H C ROM有</t>
  </si>
  <si>
    <t>R064HM</t>
  </si>
  <si>
    <t>ﾘｻｲｸﾙﾄﾅｰ 064H M  ROM無</t>
  </si>
  <si>
    <t>R064HMROM</t>
  </si>
  <si>
    <t>ﾘｻｲｸﾙﾄﾅｰ 064H M ROM有</t>
  </si>
  <si>
    <t>R064HY</t>
  </si>
  <si>
    <t>ﾘｻｲｸﾙﾄﾅｰ 064H Y  ROM無</t>
  </si>
  <si>
    <t>R064HYROM</t>
  </si>
  <si>
    <t>ﾘｻｲｸﾙﾄﾅｰ 064H Y ROM有</t>
  </si>
  <si>
    <t>R067BK</t>
  </si>
  <si>
    <t>ﾘｻｲｸﾙﾄﾅｰ 067BK　※ROM付</t>
  </si>
  <si>
    <t>R067C</t>
  </si>
  <si>
    <t>ﾘｻｲｸﾙﾄﾅｰ 067C　※ROM付</t>
  </si>
  <si>
    <t>R067HBK</t>
  </si>
  <si>
    <t>ﾘｻｲｸﾙﾄﾅｰ 067H BK　※ROM無し</t>
  </si>
  <si>
    <t>R067HBKROM</t>
  </si>
  <si>
    <t>ﾘｻｲｸﾙﾄﾅｰ 067H BK　※ROM付</t>
  </si>
  <si>
    <t>R067HC</t>
  </si>
  <si>
    <t>ﾘｻｲｸﾙﾄﾅｰ 067H C　※ROM無し</t>
  </si>
  <si>
    <t>R067HCROM</t>
  </si>
  <si>
    <t>ﾘｻｲｸﾙﾄﾅｰ 067H C　※ROM付</t>
  </si>
  <si>
    <t>R067HM</t>
  </si>
  <si>
    <t>ﾘｻｲｸﾙﾄﾅｰ 067H M　※ROM無し</t>
  </si>
  <si>
    <t>R067HMROM</t>
  </si>
  <si>
    <t>ﾘｻｲｸﾙﾄﾅｰ 067H M　※ROM付</t>
  </si>
  <si>
    <t>R067HY</t>
  </si>
  <si>
    <t>ﾘｻｲｸﾙﾄﾅｰ 067H Y　※ROM無し</t>
  </si>
  <si>
    <t>R067HYROM</t>
  </si>
  <si>
    <t>ﾘｻｲｸﾙﾄﾅｰ 067H Y　※ROM付</t>
  </si>
  <si>
    <t>R067M</t>
  </si>
  <si>
    <t>ﾘｻｲｸﾙﾄﾅｰ 067M　※ROM付</t>
  </si>
  <si>
    <t>R067Y</t>
  </si>
  <si>
    <t>ﾘｻｲｸﾙﾄﾅｰ 067Y　※ROM付</t>
  </si>
  <si>
    <t>R069BK</t>
  </si>
  <si>
    <t>ﾘｻｲｸﾙﾄﾅｰ069 BK</t>
  </si>
  <si>
    <t>R069C</t>
  </si>
  <si>
    <t>ﾘｻｲｸﾙﾄﾅｰ069 C</t>
  </si>
  <si>
    <t>R069HBK</t>
  </si>
  <si>
    <t>ﾘｻｲｸﾙﾄﾅｰ069H BK</t>
  </si>
  <si>
    <t>R069HC</t>
  </si>
  <si>
    <t>ﾘｻｲｸﾙﾄﾅｰ069H C</t>
  </si>
  <si>
    <t>R069HM</t>
  </si>
  <si>
    <t>ﾘｻｲｸﾙﾄﾅｰ069H M</t>
  </si>
  <si>
    <t>R069HY</t>
  </si>
  <si>
    <t>ﾘｻｲｸﾙﾄﾅｰ069H Y</t>
  </si>
  <si>
    <t>R069M</t>
  </si>
  <si>
    <t>ﾘｻｲｸﾙﾄﾅｰ069 M</t>
  </si>
  <si>
    <t>R069Y</t>
  </si>
  <si>
    <t>ﾘｻｲｸﾙﾄﾅｰ069 Y</t>
  </si>
  <si>
    <t>R070</t>
  </si>
  <si>
    <t>ﾘｻｲｸﾙﾄﾅｰ 070 ROM無し</t>
  </si>
  <si>
    <t>R070H</t>
  </si>
  <si>
    <t>ﾘｻｲｸﾙﾄﾅｰ 070H ROM無し</t>
  </si>
  <si>
    <t>R070HROM</t>
  </si>
  <si>
    <t>ﾘｻｲｸﾙﾄﾅｰ 070H ROM付き</t>
  </si>
  <si>
    <t>R070ROM</t>
  </si>
  <si>
    <t>ﾘｻｲｸﾙﾄﾅｰ 070 ROM付き</t>
  </si>
  <si>
    <t>R071H</t>
  </si>
  <si>
    <t>ﾘｻｲｸﾙﾄﾅｰ 071H (ROM無)</t>
  </si>
  <si>
    <t>R071HROM</t>
  </si>
  <si>
    <t>ﾘｻｲｸﾙﾄﾅｰ 071H(ROM付)</t>
  </si>
  <si>
    <t>R072</t>
  </si>
  <si>
    <t>ﾘｻｲｸﾙﾄﾅｰ 072</t>
  </si>
  <si>
    <t>R072h</t>
  </si>
  <si>
    <t>ﾘｻｲｸﾙﾄﾅｰ 072H</t>
  </si>
  <si>
    <t>R073</t>
  </si>
  <si>
    <t>ﾘｻｲｸﾙﾄﾅｰｶｰﾄﾘｯｼﾞ 073 (ROM付)</t>
  </si>
  <si>
    <t>R073L</t>
  </si>
  <si>
    <t>ﾘｻｲｸﾙﾄﾅｰｶｰﾄﾘｯｼﾞ 073L (ROM付)</t>
  </si>
  <si>
    <t>R077</t>
  </si>
  <si>
    <t>ﾘｻｲｸﾙﾄﾅｰ 077</t>
  </si>
  <si>
    <t>R077L</t>
  </si>
  <si>
    <t>ﾘｻｲｸﾙﾄﾅｰ 077L</t>
  </si>
  <si>
    <t>R1601</t>
  </si>
  <si>
    <t>ﾘｻｲｸﾙﾄﾅｰ MP 1601</t>
  </si>
  <si>
    <t>R2</t>
  </si>
  <si>
    <t>ﾘｻｲｸﾙ ﾄﾅｰﾏｶﾞｼﾞﾝﾀｲﾌﾟ2</t>
  </si>
  <si>
    <t>R2100H</t>
  </si>
  <si>
    <t>ﾘｻｲｸﾙﾄﾅｰ 2100H</t>
  </si>
  <si>
    <t>R23</t>
  </si>
  <si>
    <t>ﾘｻｲｸﾙ ｲﾏｼﾞｵ ﾄﾅｰｷｯﾄﾀｲﾌﾟ23</t>
  </si>
  <si>
    <t>R2300H</t>
  </si>
  <si>
    <t>ﾘｻｲｸﾙﾄﾅｰ 2300H</t>
  </si>
  <si>
    <t>R28</t>
  </si>
  <si>
    <t>ﾘｻｲｸﾙ ﾄﾅｰｷｯﾄﾀｲﾌﾟ28</t>
  </si>
  <si>
    <t>R2900C16</t>
  </si>
  <si>
    <t>ﾘｻｲｸﾙﾄﾅｰ PR-L2900C-16 Y</t>
  </si>
  <si>
    <t>R2900C17</t>
  </si>
  <si>
    <t>ﾘｻｲｸﾙﾄﾅｰ PR-L2900C-17 M</t>
  </si>
  <si>
    <t>R2900C18</t>
  </si>
  <si>
    <t>ﾘｻｲｸﾙﾄﾅｰ PR-L2900C-18 C</t>
  </si>
  <si>
    <t>R2900C19</t>
  </si>
  <si>
    <t>ﾘｻｲｸﾙﾄﾅｰ PR-L2900C-19 K</t>
  </si>
  <si>
    <t>R2900C31</t>
  </si>
  <si>
    <t>R290BK</t>
  </si>
  <si>
    <t>ﾘｻｲｸﾙﾄﾅｰ TN-290 BK</t>
  </si>
  <si>
    <t>R290C</t>
  </si>
  <si>
    <t>ﾘｻｲｸﾙﾄﾅｰ TN-290 C</t>
  </si>
  <si>
    <t>R290M</t>
  </si>
  <si>
    <t>ﾘｻｲｸﾙﾄﾅｰ TN-290 M</t>
  </si>
  <si>
    <t>R290Y</t>
  </si>
  <si>
    <t>ﾘｻｲｸﾙﾄﾅｰ TN-290 Y</t>
  </si>
  <si>
    <t>R291BK</t>
  </si>
  <si>
    <t>ﾘｻｲｸﾙﾄﾅｰ TN-291 BK</t>
  </si>
  <si>
    <t>R296C</t>
  </si>
  <si>
    <t>ﾘｻｲｸﾙﾄﾅｰ TN-296 C</t>
  </si>
  <si>
    <t>R296M</t>
  </si>
  <si>
    <t>ﾘｻｲｸﾙﾄﾅｰ TN-296 M</t>
  </si>
  <si>
    <t>R296Y</t>
  </si>
  <si>
    <t>ﾘｻｲｸﾙﾄﾅｰ TN-296 Y</t>
  </si>
  <si>
    <t>R297C</t>
  </si>
  <si>
    <t>ﾘｻｲｸﾙﾄﾅｰ TN-297C</t>
  </si>
  <si>
    <t>R297M</t>
  </si>
  <si>
    <t>ﾘｻｲｸﾙﾄﾅｰ TN-297M</t>
  </si>
  <si>
    <t>R297Y</t>
  </si>
  <si>
    <t>ﾘｻｲｸﾙﾄﾅｰ TN-297Y</t>
  </si>
  <si>
    <t>R303</t>
  </si>
  <si>
    <t>ﾘｻｲｸﾙﾄﾅｰ　303</t>
  </si>
  <si>
    <t>R304</t>
  </si>
  <si>
    <t>ﾘｻｲｸﾙﾄﾅｰ 304</t>
  </si>
  <si>
    <t>R306</t>
  </si>
  <si>
    <t>ﾘｻｲｸﾙﾄﾅｰ　306</t>
  </si>
  <si>
    <t>R3100</t>
  </si>
  <si>
    <t>ﾘｻｲｸﾙﾄﾅｰ ﾀｲﾌﾟ3100</t>
  </si>
  <si>
    <t>R312</t>
  </si>
  <si>
    <t>ﾘｻｲｸﾙﾄﾅｰ 312</t>
  </si>
  <si>
    <t>R317BK</t>
  </si>
  <si>
    <t>ﾘｻｲｸﾙﾄﾅｰ　317　BK</t>
  </si>
  <si>
    <t>R317C</t>
  </si>
  <si>
    <t>ﾘｻｲｸﾙﾄﾅｰ　317　C</t>
  </si>
  <si>
    <t>R317M</t>
  </si>
  <si>
    <t>ﾘｻｲｸﾙﾄﾅｰ　317　Ｍ</t>
  </si>
  <si>
    <t>R317Y</t>
  </si>
  <si>
    <t>ﾘｻｲｸﾙﾄﾅｰ　317　Ｙ</t>
  </si>
  <si>
    <t>R318BK</t>
  </si>
  <si>
    <t>ﾘｻｲｸﾙﾄﾅｰ 318 BK</t>
  </si>
  <si>
    <t>R318C</t>
  </si>
  <si>
    <t>ﾘｻｲｸﾙﾄﾅｰ 318 C</t>
  </si>
  <si>
    <t>R318M</t>
  </si>
  <si>
    <t>ﾘｻｲｸﾙﾄﾅｰ 318 M</t>
  </si>
  <si>
    <t>R318Y</t>
  </si>
  <si>
    <t>ﾘｻｲｸﾙﾄﾅｰ 318 Y</t>
  </si>
  <si>
    <t>R320</t>
  </si>
  <si>
    <t>ﾘｻｲｸﾙﾄﾅｰ 320</t>
  </si>
  <si>
    <t>R3222C</t>
  </si>
  <si>
    <t>ﾘｻｲｸﾙﾄﾅｰ 322Ⅱ C</t>
  </si>
  <si>
    <t>R3222K</t>
  </si>
  <si>
    <t>ﾘｻｲｸﾙﾄﾅｰ 322Ⅱ BK</t>
  </si>
  <si>
    <t>R3222M</t>
  </si>
  <si>
    <t>ﾘｻｲｸﾙﾄﾅｰ 322Ⅱ M</t>
  </si>
  <si>
    <t>R3222Y</t>
  </si>
  <si>
    <t>ﾘｻｲｸﾙﾄﾅｰ 322Ⅱ Y</t>
  </si>
  <si>
    <t>R322BK</t>
  </si>
  <si>
    <t>ﾘｻｲｸﾙｶｰﾄﾘｯｼﾞ 322 BK</t>
  </si>
  <si>
    <t>R322C</t>
  </si>
  <si>
    <t>ﾘｻｲｸﾙｶｰﾄﾘｯｼﾞ 322 C</t>
  </si>
  <si>
    <t>R322M</t>
  </si>
  <si>
    <t>ﾘｻｲｸﾙｶｰﾄﾘｯｼﾞ 322 M</t>
  </si>
  <si>
    <t>R322Y</t>
  </si>
  <si>
    <t>ﾘｻｲｸﾙｶｰﾄﾘｯｼﾞ 322 Y</t>
  </si>
  <si>
    <t>R323BK</t>
  </si>
  <si>
    <t>-終息-ﾘｻｲｸﾙﾄﾅｰ　323BK</t>
  </si>
  <si>
    <t>R323C</t>
  </si>
  <si>
    <t>-終息-ﾘｻｲｸﾙﾄﾅｰ　323　Ｃ</t>
  </si>
  <si>
    <t>R323M</t>
  </si>
  <si>
    <t>-終息-ﾘｻｲｸﾙﾄﾅｰ　323　M</t>
  </si>
  <si>
    <t>R323Y</t>
  </si>
  <si>
    <t>-終息-ﾘｻｲｸﾙﾄﾅｰ　323　Ｙ</t>
  </si>
  <si>
    <t>R325</t>
  </si>
  <si>
    <t>ﾘｻｲｸﾙﾄﾅｰ 325</t>
  </si>
  <si>
    <t>R326</t>
  </si>
  <si>
    <t>ﾘｻｲｸﾙﾄﾅｰ 326</t>
  </si>
  <si>
    <t>R328</t>
  </si>
  <si>
    <t>ﾘｻｲｸﾙﾄﾅｰ 328</t>
  </si>
  <si>
    <t>R329BK</t>
  </si>
  <si>
    <t>ﾘｻｲｸﾙﾄﾅｰ 329 BK</t>
  </si>
  <si>
    <t>R329C</t>
  </si>
  <si>
    <t>ﾘｻｲｸﾙﾄﾅｰ 329 C</t>
  </si>
  <si>
    <t>R329M</t>
  </si>
  <si>
    <t>ﾘｻｲｸﾙﾄﾅｰ 329 M</t>
  </si>
  <si>
    <t>R329Y</t>
  </si>
  <si>
    <t>ﾘｻｲｸﾙﾄﾅｰ 329 Y</t>
  </si>
  <si>
    <t>R3312BK</t>
  </si>
  <si>
    <t>ﾘｻｲｸﾙﾄﾅｰ 331Ⅱ BK</t>
  </si>
  <si>
    <t>R331C</t>
  </si>
  <si>
    <t>ﾘｻｲｸﾙﾄﾅｰ 331 C</t>
  </si>
  <si>
    <t>R331M</t>
  </si>
  <si>
    <t>ﾘｻｲｸﾙﾄﾅｰ 331 M</t>
  </si>
  <si>
    <t>R331Y</t>
  </si>
  <si>
    <t>ﾘｻｲｸﾙﾄﾅｰ 331 Y</t>
  </si>
  <si>
    <t>R335C</t>
  </si>
  <si>
    <t>ﾘｻｲｸﾙﾄﾅｰ 335 ｼｱﾝ</t>
  </si>
  <si>
    <t>R335EC</t>
  </si>
  <si>
    <t>ﾘｻｲｸﾙﾄﾅｰ 335e C</t>
  </si>
  <si>
    <t>R335EK</t>
  </si>
  <si>
    <t>ﾘｻｲｸﾙﾄﾅｰ 335e BK</t>
  </si>
  <si>
    <t>R335EM</t>
  </si>
  <si>
    <t>ﾘｻｲｸﾙﾄﾅｰ 335e M</t>
  </si>
  <si>
    <t>R335EY</t>
  </si>
  <si>
    <t>ﾘｻｲｸﾙﾄﾅｰ 335e Y</t>
  </si>
  <si>
    <t>R335K</t>
  </si>
  <si>
    <t>ﾘｻｲｸﾙﾄﾅｰ 335 ﾌﾞﾗｯｸ</t>
  </si>
  <si>
    <t>R335M</t>
  </si>
  <si>
    <t>ﾘｻｲｸﾙﾄﾅｰ 335 ﾏｾﾞﾝﾀ</t>
  </si>
  <si>
    <t>R335Y</t>
  </si>
  <si>
    <t>ﾘｻｲｸﾙﾄﾅｰ 335 ｲｴﾛｰ</t>
  </si>
  <si>
    <t>R337</t>
  </si>
  <si>
    <t>ﾘｻｲｸﾙﾄﾅｰ 337</t>
  </si>
  <si>
    <t>R3400</t>
  </si>
  <si>
    <t>ﾘｻｲｸﾙﾄﾅｰ　3400</t>
  </si>
  <si>
    <t>R3400H</t>
  </si>
  <si>
    <t>ﾘｻｲｸﾙﾄﾅｰ　3400H</t>
  </si>
  <si>
    <t>R3400L</t>
  </si>
  <si>
    <t>ﾘｻｲｸﾙﾄﾅｰ　3400L</t>
  </si>
  <si>
    <t>R350XLPGBK</t>
  </si>
  <si>
    <t>ﾘｻｲｸﾙｲﾝｸ BCI-350XLPGBK</t>
  </si>
  <si>
    <t>R351XLBK</t>
  </si>
  <si>
    <t>ﾘｻｲｸﾙｲﾝｸ BCI-351XLBK</t>
  </si>
  <si>
    <t>R351XLC</t>
  </si>
  <si>
    <t>ﾘｻｲｸﾙｲﾝｸ BCI-351XLC</t>
  </si>
  <si>
    <t>R351XLGY</t>
  </si>
  <si>
    <t>ﾘｻｲｸﾙｲﾝｸ BCI-351XLGY</t>
  </si>
  <si>
    <t>R351XLM</t>
  </si>
  <si>
    <t>ﾘｻｲｸﾙｲﾝｸ BCI-351XLM</t>
  </si>
  <si>
    <t>R351XLY</t>
  </si>
  <si>
    <t>ﾘｻｲｸﾙｲﾝｸ BCI-351XLY</t>
  </si>
  <si>
    <t>R3700H</t>
  </si>
  <si>
    <t>ﾘｻｲｸﾙﾄﾅｰ 3700H</t>
  </si>
  <si>
    <t>R380XLPGBK</t>
  </si>
  <si>
    <t>ﾘｻｲｸﾙｲﾝｸ BCI-380XLPGBK</t>
  </si>
  <si>
    <t>R381XLBK</t>
  </si>
  <si>
    <t>ﾘｻｲｸﾙｲﾝｸ BCI-381XLBK</t>
  </si>
  <si>
    <t>R381XLC</t>
  </si>
  <si>
    <t>ﾘｻｲｸﾙｲﾝｸ BCI-381XLC</t>
  </si>
  <si>
    <t>R381XLGY</t>
  </si>
  <si>
    <t>ﾘｻｲｸﾙｲﾝｸ BCI-381XLGY</t>
  </si>
  <si>
    <t>R381XLM</t>
  </si>
  <si>
    <t>ﾘｻｲｸﾙｲﾝｸ BCI-381XLM</t>
  </si>
  <si>
    <t>R381XLY</t>
  </si>
  <si>
    <t>ﾘｻｲｸﾙｲﾝｸ BCI-381XLY</t>
  </si>
  <si>
    <t>R396BK</t>
  </si>
  <si>
    <t>ﾘｻｲｸﾙﾄﾅｰ TN-396BK</t>
  </si>
  <si>
    <t>R396C</t>
  </si>
  <si>
    <t>ﾘｻｲｸﾙﾄﾅｰ TN-396C</t>
  </si>
  <si>
    <t>R396M</t>
  </si>
  <si>
    <t>ﾘｻｲｸﾙﾄﾅｰ TN-396M</t>
  </si>
  <si>
    <t>R396Y</t>
  </si>
  <si>
    <t>ﾘｻｲｸﾙﾄﾅｰ TN-396Y</t>
  </si>
  <si>
    <t>R3C73011</t>
  </si>
  <si>
    <t>ﾘｻｲｸﾙﾄﾅｰ PR-L3C730-11 Y</t>
  </si>
  <si>
    <t>R3C73012</t>
  </si>
  <si>
    <t>ﾘｻｲｸﾙﾄﾅｰ PR-L3C730-12 M</t>
  </si>
  <si>
    <t>R3C73013</t>
  </si>
  <si>
    <t>ﾘｻｲｸﾙﾄﾅｰ PR-L3C730-13 C</t>
  </si>
  <si>
    <t>R3C73014</t>
  </si>
  <si>
    <t>ﾘｻｲｸﾙﾄﾅｰ PR-L3C730-14 BK</t>
  </si>
  <si>
    <t>R3C73111</t>
  </si>
  <si>
    <t>ﾘｻｲｸﾙﾄﾅｰ PR-L3C731-11 Y</t>
  </si>
  <si>
    <t>R3C73112</t>
  </si>
  <si>
    <t>ﾘｻｲｸﾙﾄﾅｰ PR-L3C731-12 M</t>
  </si>
  <si>
    <t>R3C73113</t>
  </si>
  <si>
    <t>ﾘｻｲｸﾙﾄﾅｰ PR-L3C731-13 C</t>
  </si>
  <si>
    <t>R3C73114</t>
  </si>
  <si>
    <t>ﾘｻｲｸﾙﾄﾅｰ PR-L3C731-14 BK</t>
  </si>
  <si>
    <t>R3C75011</t>
  </si>
  <si>
    <t>ﾘｻｲｸﾙﾄﾅｰ PR-L3C750-11 Y</t>
  </si>
  <si>
    <t>R3C75012</t>
  </si>
  <si>
    <t>ﾘｻｲｸﾙﾄﾅｰ PR-L3C750-12 M</t>
  </si>
  <si>
    <t>R3C75013</t>
  </si>
  <si>
    <t>ﾘｻｲｸﾙﾄﾅｰ PR-L3C750-13 C</t>
  </si>
  <si>
    <t>R3C75014</t>
  </si>
  <si>
    <t>ﾘｻｲｸﾙﾄﾅｰ PR-L3C750-14 BK</t>
  </si>
  <si>
    <t>R3C75111</t>
  </si>
  <si>
    <t>ﾘｻｲｸﾙﾄﾅｰ PR-L3C751-11 Y</t>
  </si>
  <si>
    <t>R3C75112</t>
  </si>
  <si>
    <t>ﾘｻｲｸﾙﾄﾅｰ PR-L3C751-12 M</t>
  </si>
  <si>
    <t>R3C75113</t>
  </si>
  <si>
    <t>ﾘｻｲｸﾙﾄﾅｰ PR-L3C751-13 C</t>
  </si>
  <si>
    <t>R3C75114</t>
  </si>
  <si>
    <t>ﾘｻｲｸﾙﾄﾅｰ PR-L3C751-14 BK</t>
  </si>
  <si>
    <t>R3M53012</t>
  </si>
  <si>
    <t>ﾘｻｲｸﾙﾄﾅｰ PR-L3M530-12</t>
  </si>
  <si>
    <t>R3M53031</t>
  </si>
  <si>
    <t>ﾘｻｲｸﾙ PR-L3M530-31 ﾄﾞﾗﾑｶｰﾄﾘｯｼﾞ</t>
  </si>
  <si>
    <t>R3M55011</t>
  </si>
  <si>
    <t>ﾘｻｲｸﾙﾄﾅｰ PR-L3M550-11</t>
  </si>
  <si>
    <t>R3M55012</t>
  </si>
  <si>
    <t>ﾘｻｲｸﾙﾄﾅｰ PR-L3M550-12</t>
  </si>
  <si>
    <t>R3M55031</t>
  </si>
  <si>
    <t>ﾘｻｲｸﾙ PR-L3M550-31 ﾄﾞﾗﾑｶｰﾄﾘｯｼﾞ</t>
  </si>
  <si>
    <t>R400BC</t>
  </si>
  <si>
    <t>ﾘｻｲｸﾙﾄﾅｰ ﾀｲﾌﾟ400B ｼｱﾝ</t>
  </si>
  <si>
    <t>R400BK</t>
  </si>
  <si>
    <t>ﾘｻｲｸﾙﾄﾅｰ ﾀｲﾌﾟ400B ﾌﾞﾗｯｸ</t>
  </si>
  <si>
    <t>R400BM</t>
  </si>
  <si>
    <t>ﾘｻｲｸﾙﾄﾅｰ ﾀｲﾌﾟ400B ﾏｾﾞﾝﾀ</t>
  </si>
  <si>
    <t>R400BY</t>
  </si>
  <si>
    <t>ﾘｻｲｸﾙﾄﾅｰ ﾀｲﾌﾟ400B ｲｴﾛｰ</t>
  </si>
  <si>
    <t>R406</t>
  </si>
  <si>
    <t>ﾘｻｲｸﾙﾄﾅｰ 406</t>
  </si>
  <si>
    <t>R416BK</t>
  </si>
  <si>
    <t>ﾘｻｲｸﾙﾄﾅｰ 416 BK</t>
  </si>
  <si>
    <t>R416C</t>
  </si>
  <si>
    <t>ﾘｻｲｸﾙﾄﾅｰ 416 C</t>
  </si>
  <si>
    <t>R416M</t>
  </si>
  <si>
    <t>ﾘｻｲｸﾙﾄﾅｰ 416 M</t>
  </si>
  <si>
    <t>R416Y</t>
  </si>
  <si>
    <t>ﾘｻｲｸﾙﾄﾅｰ 416 Y</t>
  </si>
  <si>
    <t>R418BK</t>
  </si>
  <si>
    <t>ﾘｻｲｸﾙﾄﾅｰ 418 BK</t>
  </si>
  <si>
    <t>R418C</t>
  </si>
  <si>
    <t>ﾘｻｲｸﾙﾄﾅｰ 418 C</t>
  </si>
  <si>
    <t>R418M</t>
  </si>
  <si>
    <t>ﾘｻｲｸﾙﾄﾅｰ 418 M</t>
  </si>
  <si>
    <t>R418Y</t>
  </si>
  <si>
    <t>ﾘｻｲｸﾙﾄﾅｰ 418 Y</t>
  </si>
  <si>
    <t>R420</t>
  </si>
  <si>
    <t>ﾘｻｲｸﾙﾄﾅｰ 420</t>
  </si>
  <si>
    <t>R4200</t>
  </si>
  <si>
    <t>ﾘｻｲｸﾙﾄﾅｰ 4200</t>
  </si>
  <si>
    <t>R4200H</t>
  </si>
  <si>
    <t>ﾘｻｲｸﾙﾄﾅｰ 4200H</t>
  </si>
  <si>
    <t>R44T3722</t>
  </si>
  <si>
    <t>ﾘｻｲｸﾙ 44T3722</t>
  </si>
  <si>
    <t>R44T3723</t>
  </si>
  <si>
    <t>ﾘｻｲｸﾙ 44T3723</t>
  </si>
  <si>
    <t>R4500</t>
  </si>
  <si>
    <t>ﾘｻｲｸﾙﾄﾅｰ 4500</t>
  </si>
  <si>
    <t>R4500D</t>
  </si>
  <si>
    <t>ﾘｻｲｸﾙﾄﾞﾗﾑ 4500</t>
  </si>
  <si>
    <t>R4500H</t>
  </si>
  <si>
    <t>ﾘｻｲｸﾙﾄﾅｰ　4500H</t>
  </si>
  <si>
    <t>R470012</t>
  </si>
  <si>
    <t>ﾘｻｲｸﾙﾄﾅｰ PR-L4700-12</t>
  </si>
  <si>
    <t>R470031</t>
  </si>
  <si>
    <t>ﾘｻｲｸﾙﾄﾞﾗﾑ PR-L4700-31</t>
  </si>
  <si>
    <t>R4C55016</t>
  </si>
  <si>
    <t>ﾘｻｲｸﾙﾄﾅｰ PR-L4C550-16 Y</t>
  </si>
  <si>
    <t>R4C55017</t>
  </si>
  <si>
    <t>ﾘｻｲｸﾙﾄﾅｰ PR-L4C550-17 M</t>
  </si>
  <si>
    <t>R4C55018</t>
  </si>
  <si>
    <t>ﾘｻｲｸﾙﾄﾅｰ PR-L4C550-18 C</t>
  </si>
  <si>
    <t>R4C55019</t>
  </si>
  <si>
    <t>ﾘｻｲｸﾙﾄﾅｰ PR-L4C550-19 BK</t>
  </si>
  <si>
    <t>R4M55012</t>
  </si>
  <si>
    <t>ﾘｻｲｸﾙﾄﾅｰ PR-L4M550-12</t>
  </si>
  <si>
    <t>R5</t>
  </si>
  <si>
    <t>ﾘｻｲｸﾙ ﾄﾅｰｶｰﾄﾘｯｼﾞﾀｲﾌﾟ5</t>
  </si>
  <si>
    <t>R5000-11</t>
  </si>
  <si>
    <t>ﾘｻｲｸﾙﾄﾅｰ PR-L5000-11</t>
  </si>
  <si>
    <t>R500031</t>
  </si>
  <si>
    <t>ﾘｻｲｸﾙ PR-L5000-31</t>
  </si>
  <si>
    <t>R5001M</t>
  </si>
  <si>
    <t>ﾘｻｲｸﾙﾄﾅｰ MPｽﾎﾟｯﾄﾄﾅｰC5001M  (EQ/取説なし）</t>
  </si>
  <si>
    <t>R5001Y</t>
  </si>
  <si>
    <t>ﾘｻｲｸﾙﾄﾅｰ MPｽﾎﾟｯﾄﾄﾅｰC5001Y  (EQ/取説なし）</t>
  </si>
  <si>
    <t>R502BK</t>
  </si>
  <si>
    <t>ﾘｻｲｸﾙﾄﾅｰ　502　BK</t>
  </si>
  <si>
    <t>R502C</t>
  </si>
  <si>
    <t>ﾘｻｲｸﾙﾄﾅｰ　502　C</t>
  </si>
  <si>
    <t>R502M</t>
  </si>
  <si>
    <t>ﾘｻｲｸﾙﾄﾅｰ　502　M</t>
  </si>
  <si>
    <t>R502Y</t>
  </si>
  <si>
    <t>ﾘｻｲｸﾙﾄﾅｰ　502　Ｙ</t>
  </si>
  <si>
    <t>R505</t>
  </si>
  <si>
    <t>ﾘｻｲｸﾙﾄﾅｰ 505　※在庫要確認</t>
  </si>
  <si>
    <t>R508</t>
  </si>
  <si>
    <t>ﾘｻｲｸﾙﾄﾅｰ 508</t>
  </si>
  <si>
    <t>R5082</t>
  </si>
  <si>
    <t>ﾘｻｲｸﾙﾄﾅｰ 508Ⅱ</t>
  </si>
  <si>
    <t>R509</t>
  </si>
  <si>
    <t>ﾘｻｲｸﾙﾄﾅｰ 509</t>
  </si>
  <si>
    <t>R510</t>
  </si>
  <si>
    <t>ﾘｻｲｸﾙﾄﾅｰ 510</t>
  </si>
  <si>
    <t>R510012</t>
  </si>
  <si>
    <t>ﾘｻｲｸﾙﾄﾅｰ PR-L5100-12</t>
  </si>
  <si>
    <t>R5102</t>
  </si>
  <si>
    <t>ﾘｻｲｸﾙﾄﾅｰ 510Ⅱ</t>
  </si>
  <si>
    <t>R514011</t>
  </si>
  <si>
    <t>ﾘｻｲｸﾙﾄﾅｰ PR-L5140-11</t>
  </si>
  <si>
    <t>R514031</t>
  </si>
  <si>
    <t>ﾘｻｲｸﾙﾄﾅｰ PR-L5140-31</t>
  </si>
  <si>
    <t>R515</t>
  </si>
  <si>
    <t>ﾘｻｲｸﾙﾄﾅｰ 515</t>
  </si>
  <si>
    <t>R5152</t>
  </si>
  <si>
    <t>ﾘｻｲｸﾙﾄﾅｰ 515Ⅱ</t>
  </si>
  <si>
    <t>R519</t>
  </si>
  <si>
    <t>ﾘｻｲｸﾙﾄﾅｰ 519</t>
  </si>
  <si>
    <t>R5192</t>
  </si>
  <si>
    <t>ﾘｻｲｸﾙﾄﾅｰ 519Ⅱ</t>
  </si>
  <si>
    <t>R520012</t>
  </si>
  <si>
    <t>ﾘｻｲｸﾙﾄﾅｰ PR-L5200-12</t>
  </si>
  <si>
    <t>R520031</t>
  </si>
  <si>
    <t>ﾘｻｲｸﾙﾄﾞﾗﾑ PR-L5200-31</t>
  </si>
  <si>
    <t>R522012</t>
  </si>
  <si>
    <t>ﾘｻｲｸﾙﾄﾅｰ PR-L5220-12</t>
  </si>
  <si>
    <t>R522031</t>
  </si>
  <si>
    <t>ﾘｻｲｸﾙ PR-L5220-31</t>
  </si>
  <si>
    <t>R524</t>
  </si>
  <si>
    <t>ﾘｻｲｸﾙﾄﾅｰ 524</t>
  </si>
  <si>
    <t>R5242</t>
  </si>
  <si>
    <t>ﾘｻｲｸﾙﾄﾅｰ 524Ⅱ</t>
  </si>
  <si>
    <t>R527</t>
  </si>
  <si>
    <t>ﾘｻｲｸﾙﾄﾅｰ 527</t>
  </si>
  <si>
    <t>R530</t>
  </si>
  <si>
    <t>ﾘｻｲｸﾙﾄﾅｰ　530</t>
  </si>
  <si>
    <t>R530012</t>
  </si>
  <si>
    <t>ﾘｻｲｸﾙﾄﾅｰ PR-L5300-12</t>
  </si>
  <si>
    <t>R533</t>
  </si>
  <si>
    <t>ﾘｻｲｸﾙﾄﾅｰ　533</t>
  </si>
  <si>
    <t>R533H</t>
  </si>
  <si>
    <t>ﾘｻｲｸﾙﾄﾅｰ　533H</t>
  </si>
  <si>
    <t>R535011</t>
  </si>
  <si>
    <t>ﾘｻｲｸﾙﾄﾅｰ PR-L5350-11</t>
  </si>
  <si>
    <t>R535012</t>
  </si>
  <si>
    <t>ﾘｻｲｸﾙﾄﾅｰ PR-L5350-12</t>
  </si>
  <si>
    <t>R535031</t>
  </si>
  <si>
    <t>ﾘｻｲｸﾙﾄﾞﾗﾑ PR-L5350-31</t>
  </si>
  <si>
    <t>R550011</t>
  </si>
  <si>
    <t>ﾘｻｲｸﾙﾄﾅｰ PR-L5500-11</t>
  </si>
  <si>
    <t>R550012</t>
  </si>
  <si>
    <t>ﾘｻｲｸﾙﾄﾅｰ PR-L5500-12</t>
  </si>
  <si>
    <t>R5600C16</t>
  </si>
  <si>
    <t>ﾘｻｲｸﾙﾄﾅｰ PR-L5600C-16 ｲｴﾛｰ</t>
  </si>
  <si>
    <t>R5600C17</t>
  </si>
  <si>
    <t>ﾘｻｲｸﾙﾄﾅｰ PR-L5600C-17 ﾏｾﾞﾝﾀ</t>
  </si>
  <si>
    <t>R5600C18</t>
  </si>
  <si>
    <t>ﾘｻｲｸﾙﾄﾅｰ PR-L5600C-18 ｼｱﾝ</t>
  </si>
  <si>
    <t>R5600C19</t>
  </si>
  <si>
    <t>ﾘｻｲｸﾙﾄﾅｰ PR-L5600C-19 ﾌﾞﾗｯｸ</t>
  </si>
  <si>
    <t>R5700C16</t>
  </si>
  <si>
    <t>ﾘｻｲｸﾙﾄﾅｰ PR-L5700C-16 ｲｴﾛｰ</t>
  </si>
  <si>
    <t>R5700C17</t>
  </si>
  <si>
    <t>ﾘｻｲｸﾙﾄﾅｰ PR-L5700C-17 ﾏｾﾞﾝﾀ</t>
  </si>
  <si>
    <t>R5700C18</t>
  </si>
  <si>
    <t>ﾘｻｲｸﾙﾄﾅｰ PR-L5700C-18 ｼｱﾝ</t>
  </si>
  <si>
    <t>R5700C24</t>
  </si>
  <si>
    <t>ﾘｻｲｸﾙﾄﾅｰ PR-L5700C-24 ﾌﾞﾗｯｸ</t>
  </si>
  <si>
    <t>R5800C11</t>
  </si>
  <si>
    <t>ﾘｻｲｸﾙﾄﾅｰ PR-L5800C-11 Y</t>
  </si>
  <si>
    <t>R5800C12</t>
  </si>
  <si>
    <t>ﾘｻｲｸﾙﾄﾅｰ PR-L5800C-12 M</t>
  </si>
  <si>
    <t>R5800C13</t>
  </si>
  <si>
    <t>ﾘｻｲｸﾙﾄﾅｰ PR-L5800C-13 C</t>
  </si>
  <si>
    <t>R5800C14</t>
  </si>
  <si>
    <t>ﾘｻｲｸﾙﾄﾅｰ PR-L5800C-14 K</t>
  </si>
  <si>
    <t>R5850C16</t>
  </si>
  <si>
    <t>ﾘｻｲｸﾙﾄﾅｰ PR-L5850C-16 Y</t>
  </si>
  <si>
    <t>R5850C17</t>
  </si>
  <si>
    <t>ﾘｻｲｸﾙﾄﾅｰ PR-L5850C-17 M</t>
  </si>
  <si>
    <t>R5850C18</t>
  </si>
  <si>
    <t>ﾘｻｲｸﾙﾄﾅｰ PR-L5850C-18 C</t>
  </si>
  <si>
    <t>R5850C19</t>
  </si>
  <si>
    <t>ﾘｻｲｸﾙﾄﾅｰ PR-L5850C-19 BK</t>
  </si>
  <si>
    <t>R5900C16</t>
  </si>
  <si>
    <t>ﾘｻｲｸﾙﾄﾅｰ PR-L5900C-16 Y</t>
  </si>
  <si>
    <t>R5900C17</t>
  </si>
  <si>
    <t>ﾘｻｲｸﾙﾄﾅｰ PR-L5900C-17 M</t>
  </si>
  <si>
    <t>R5900C18</t>
  </si>
  <si>
    <t>ﾘｻｲｸﾙﾄﾅｰ PR-L5900C-18 C</t>
  </si>
  <si>
    <t>R5900C19</t>
  </si>
  <si>
    <t>ﾘｻｲｸﾙﾄﾅｰ PR-L5900C-19 BK</t>
  </si>
  <si>
    <t>R6100</t>
  </si>
  <si>
    <t>ﾘｻｲｸﾙﾄﾅｰ 6100</t>
  </si>
  <si>
    <t>R6100H</t>
  </si>
  <si>
    <t>ﾘｻｲｸﾙﾄﾅｰ 6100H</t>
  </si>
  <si>
    <t>R6100S</t>
  </si>
  <si>
    <t>ﾘｻｲｸﾙﾄﾅｰ 6100増量ﾀｲﾌﾟ (19.5K)</t>
  </si>
  <si>
    <t>R6400</t>
  </si>
  <si>
    <t>ﾘｻｲｸﾙﾄﾅｰ 6400</t>
  </si>
  <si>
    <t>R6400D</t>
  </si>
  <si>
    <t>ﾘｻｲｸﾙﾄﾞﾗﾑ 6400</t>
  </si>
  <si>
    <t>R6400H</t>
  </si>
  <si>
    <t>ﾘｻｲｸﾙﾄﾅｰ 6400H</t>
  </si>
  <si>
    <t>R700B</t>
  </si>
  <si>
    <t>ﾘｻｲｸﾙﾄﾅｰ ﾀｲﾌﾟ700B</t>
  </si>
  <si>
    <t>R70B</t>
  </si>
  <si>
    <t>ﾘｻｲｸﾙﾄﾅｰ ﾀｲﾌﾟ70B</t>
  </si>
  <si>
    <t>R720012</t>
  </si>
  <si>
    <t>ﾘｻｲｸﾙﾄﾅｰ PR-L7200-12</t>
  </si>
  <si>
    <t>R720B</t>
  </si>
  <si>
    <t>ﾘｻｲｸﾙﾄﾅｰ ﾀｲﾌﾟ720B</t>
  </si>
  <si>
    <t>R800011</t>
  </si>
  <si>
    <t>ﾘｻｲｸﾙﾄﾅｰ PR-L8000-11</t>
  </si>
  <si>
    <t>R800012</t>
  </si>
  <si>
    <t>ﾘｻｲｸﾙﾄﾅｰ PR-L8000-12</t>
  </si>
  <si>
    <t>R8000BK</t>
  </si>
  <si>
    <t>ﾘｻｲｸﾙﾄﾅｰ ﾀｲﾌﾟ8000 BK</t>
  </si>
  <si>
    <t>R8000C</t>
  </si>
  <si>
    <t>ﾘｻｲｸﾙﾄﾅｰ ﾀｲﾌﾟ8000 C</t>
  </si>
  <si>
    <t>R8000M</t>
  </si>
  <si>
    <t>ﾘｻｲｸﾙﾄﾅｰ ﾀｲﾌﾟ8000 M</t>
  </si>
  <si>
    <t>R8000Y</t>
  </si>
  <si>
    <t>ﾘｻｲｸﾙﾄﾅｰ ﾀｲﾌﾟ8000 Y</t>
  </si>
  <si>
    <t>R8200T</t>
  </si>
  <si>
    <t>ﾘｻｲｸﾙﾄﾅｰ 8200</t>
  </si>
  <si>
    <t>R830011</t>
  </si>
  <si>
    <t>ﾘｻｲｸﾙﾄﾅｰ PR-L8300-11</t>
  </si>
  <si>
    <t>R830012</t>
  </si>
  <si>
    <t>ﾘｻｲｸﾙﾄﾅｰ PR-L8300-12</t>
  </si>
  <si>
    <t>R8400</t>
  </si>
  <si>
    <t>ﾘｻｲｸﾙﾄﾅｰ 8400</t>
  </si>
  <si>
    <t>R850011</t>
  </si>
  <si>
    <t>ﾘｻｲｸﾙﾄﾅｰ PR-L8500-11</t>
  </si>
  <si>
    <t>R850012</t>
  </si>
  <si>
    <t>ﾘｻｲｸﾙﾄﾅｰ PR-L8500-12</t>
  </si>
  <si>
    <t>R85A</t>
  </si>
  <si>
    <t>ﾘｻｲｸﾙﾄﾅｰ 85A</t>
  </si>
  <si>
    <t>R85B</t>
  </si>
  <si>
    <t>ﾘｻｲｸﾙﾄﾅｰ ﾀｲﾌﾟ85B</t>
  </si>
  <si>
    <t>R860012</t>
  </si>
  <si>
    <t>ﾘｻｲｸﾙﾄﾅｰ PR-L8600-12</t>
  </si>
  <si>
    <t>R870011</t>
  </si>
  <si>
    <t>ﾘｻｲｸﾙﾄﾅｰ PR-L8700-11</t>
  </si>
  <si>
    <t>R870012</t>
  </si>
  <si>
    <t>ﾘｻｲｸﾙﾄﾅｰ PR-L8700-12</t>
  </si>
  <si>
    <t>R870031</t>
  </si>
  <si>
    <t>ﾘｻｲｸﾙﾄﾞﾗﾑ PR-L8700-31</t>
  </si>
  <si>
    <t>R901011</t>
  </si>
  <si>
    <t>ﾘｻｲｸﾙﾄﾅｰ PR-L9010-11</t>
  </si>
  <si>
    <t>R901012</t>
  </si>
  <si>
    <t>ﾘｻｲｸﾙﾄﾅｰ PR-L9010-12</t>
  </si>
  <si>
    <t>R901013</t>
  </si>
  <si>
    <t>ﾘｻｲｸﾙﾄﾅｰ PR-L9010-13</t>
  </si>
  <si>
    <t>R901014</t>
  </si>
  <si>
    <t>ﾘｻｲｸﾙﾄﾅｰ PR-L9010-14 BK</t>
  </si>
  <si>
    <t>R9010C11</t>
  </si>
  <si>
    <t>ﾘｻｲｸﾙﾄﾅｰ PR-L9010C-11Y</t>
  </si>
  <si>
    <t>R9010C12</t>
  </si>
  <si>
    <t>ﾘｻｲｸﾙﾄﾅｰ PR-L9010C-12M</t>
  </si>
  <si>
    <t>R9010C13</t>
  </si>
  <si>
    <t>ﾘｻｲｸﾙﾄﾅｰ PR-L9010C-13C</t>
  </si>
  <si>
    <t>R9010C14</t>
  </si>
  <si>
    <t>ﾘｻｲｸﾙﾄﾅｰ PR-L9010C-14K</t>
  </si>
  <si>
    <t>R9100C11</t>
  </si>
  <si>
    <t>ﾘｻｲｸﾙﾄﾅｰ PR-L9100C-11 Y</t>
  </si>
  <si>
    <t>R9100C12</t>
  </si>
  <si>
    <t>ﾘｻｲｸﾙﾄﾅｰ PR-L9100C-12 M</t>
  </si>
  <si>
    <t>R9100C13</t>
  </si>
  <si>
    <t>ﾘｻｲｸﾙﾄﾅｰ PR-L9100C-13 C</t>
  </si>
  <si>
    <t>R9100C14</t>
  </si>
  <si>
    <t>ﾘｻｲｸﾙﾄﾅｰ PR-L9100C-14 BK</t>
  </si>
  <si>
    <t>R9100C31</t>
  </si>
  <si>
    <t>ﾘｻｲｸﾙﾄﾞﾗﾑ PR-L9100C-31 ﾌﾞﾗｯｸ</t>
  </si>
  <si>
    <t>R9100C33</t>
  </si>
  <si>
    <t>ﾘｻｲｸﾙ　ﾄﾅｰ回収ﾎﾞﾄﾙ PR-L9100C-33</t>
  </si>
  <si>
    <t>R9100C35</t>
  </si>
  <si>
    <t>ﾘｻｲｸﾙﾄﾞﾗﾑ PR-L9100C-35 ｶﾗｰ</t>
  </si>
  <si>
    <t>R911011</t>
  </si>
  <si>
    <t>ﾘｻｲｸﾙﾄﾅｰ PR-L9110-11</t>
  </si>
  <si>
    <t>R911012</t>
  </si>
  <si>
    <t>ﾘｻｲｸﾙﾄﾅｰ PR-L9110-12</t>
  </si>
  <si>
    <t>R911013</t>
  </si>
  <si>
    <t>ﾘｻｲｸﾙﾄﾅｰ PR-L9110-13</t>
  </si>
  <si>
    <t>R911014</t>
  </si>
  <si>
    <t>ﾘｻｲｸﾙﾄﾅｰ PR-L9110-14 BK</t>
  </si>
  <si>
    <t>R9110C11</t>
  </si>
  <si>
    <t>ﾘｻｲｸﾙﾄﾅｰ PR-L9110C-11Y</t>
  </si>
  <si>
    <t>R9110C12</t>
  </si>
  <si>
    <t>ﾘｻｲｸﾙﾄﾅｰ PR-L9110C-12M</t>
  </si>
  <si>
    <t>R9110C13</t>
  </si>
  <si>
    <t>ﾘｻｲｸﾙﾄﾅｰ PR-L9110C-13C</t>
  </si>
  <si>
    <t>R9110C14</t>
  </si>
  <si>
    <t>ﾘｻｲｸﾙﾄﾅｰ PR-L9110C-14K</t>
  </si>
  <si>
    <t>R9160C16</t>
  </si>
  <si>
    <t>ﾘｻｲｸﾙﾄﾅｰ PR-L9160C-16 Y</t>
  </si>
  <si>
    <t>R9160C17</t>
  </si>
  <si>
    <t>ﾘｻｲｸﾙﾄﾅｰ PR-L9160C-17 M</t>
  </si>
  <si>
    <t>R9160C18</t>
  </si>
  <si>
    <t>ﾘｻｲｸﾙﾄﾅｰ PR-L9160C-18 C</t>
  </si>
  <si>
    <t>R9160C19</t>
  </si>
  <si>
    <t>ﾘｻｲｸﾙﾄﾅｰ PR-L9160C-19 BK</t>
  </si>
  <si>
    <t>R920</t>
  </si>
  <si>
    <t>R9300C16</t>
  </si>
  <si>
    <t>ﾘｻｲｸﾙﾄﾅｰ PR-L9300C-16 Y</t>
  </si>
  <si>
    <t>R9300C17</t>
  </si>
  <si>
    <t>ﾘｻｲｸﾙﾄﾅｰ PR-L9300C-17 M</t>
  </si>
  <si>
    <t>R9300C18</t>
  </si>
  <si>
    <t>ﾘｻｲｸﾙﾄﾅｰ PR-L9300C-18 C</t>
  </si>
  <si>
    <t>R9300C19</t>
  </si>
  <si>
    <t>ﾘｻｲｸﾙﾄﾅｰ PR-L9300C-19 BK</t>
  </si>
  <si>
    <t>R9300C31</t>
  </si>
  <si>
    <t>ﾘｻｲｸﾙ PR-L9300C-31</t>
  </si>
  <si>
    <t>R9300C33</t>
  </si>
  <si>
    <t>ﾘｻｲｸﾙ PR-L9300C-33 ﾄﾅｰ回収ﾎﾞﾄﾙ</t>
  </si>
  <si>
    <t>R9560C16</t>
  </si>
  <si>
    <t>ﾘｻｲｸﾙﾄﾅｰ PR-L9560C-16 Y</t>
  </si>
  <si>
    <t>R9560C17</t>
  </si>
  <si>
    <t>ﾘｻｲｸﾙﾄﾅｰ PR-L9560C-17 M</t>
  </si>
  <si>
    <t>R9560C18</t>
  </si>
  <si>
    <t>ﾘｻｲｸﾙﾄﾅｰ PR-L9560C-18 C</t>
  </si>
  <si>
    <t>R9560C19</t>
  </si>
  <si>
    <t>ﾘｻｲｸﾙﾄﾅｰ PR-L9560C-19 BK</t>
  </si>
  <si>
    <t>R9600C16</t>
  </si>
  <si>
    <t>ﾘｻｲｸﾙﾄﾅｰ PR-L9600C-16 ｲｴﾛｰ</t>
  </si>
  <si>
    <t>R9600C17</t>
  </si>
  <si>
    <t>ﾘｻｲｸﾙﾄﾅｰ PR-L9600C-17 ﾏｾﾞﾝﾀ</t>
  </si>
  <si>
    <t>R9600C18</t>
  </si>
  <si>
    <t>ﾘｻｲｸﾙﾄﾅｰ PR-L9600C-18 ｼｱﾝ</t>
  </si>
  <si>
    <t>R9600C19</t>
  </si>
  <si>
    <t>ﾘｻｲｸﾙﾄﾅｰ PR-L9600C-19 ﾌﾞﾗｯｸ</t>
  </si>
  <si>
    <t>R9600C31</t>
  </si>
  <si>
    <t>ﾘｻｲｸﾙﾄﾞﾗﾑ PR-L9600Ｃ-31</t>
  </si>
  <si>
    <t>R9800BK</t>
  </si>
  <si>
    <t>ﾘｻｲｸﾙﾄﾅｰ ﾀｲﾌﾟ9800 BK</t>
  </si>
  <si>
    <t>R9800C</t>
  </si>
  <si>
    <t>ﾘｻｲｸﾙﾄﾅｰ ﾀｲﾌﾟ9800 C</t>
  </si>
  <si>
    <t>R9800C11</t>
  </si>
  <si>
    <t>ﾘｻｲｸﾙ PR-L9800C-11</t>
  </si>
  <si>
    <t>R9800C12</t>
  </si>
  <si>
    <t>ﾘｻｲｸﾙ PR-L9800C-12</t>
  </si>
  <si>
    <t>R9800C13</t>
  </si>
  <si>
    <t>ﾘｻｲｸﾙ PR-L9800C-13</t>
  </si>
  <si>
    <t>R9800C14</t>
  </si>
  <si>
    <t>ﾘｻｲｸﾙ PR-L9800C-14</t>
  </si>
  <si>
    <t>R9800C31</t>
  </si>
  <si>
    <t>ﾘｻｲｸﾙ PR-L9800C-31</t>
  </si>
  <si>
    <t>R9800M</t>
  </si>
  <si>
    <t>ﾘｻｲｸﾙﾄﾅｰ ﾀｲﾌﾟ9800 M</t>
  </si>
  <si>
    <t>R9800Y</t>
  </si>
  <si>
    <t>ﾘｻｲｸﾙﾄﾅｰ ﾀｲﾌﾟ9800 Y</t>
  </si>
  <si>
    <t>R9950C11</t>
  </si>
  <si>
    <t>ﾘｻｲｸﾙﾄﾅｰ PR-L9950C-11 ｲｴﾛｰ</t>
  </si>
  <si>
    <t>R9950C12</t>
  </si>
  <si>
    <t>ﾘｻｲｸﾙﾄﾅｰ PR-L9950C-12 ﾏｾﾞﾝﾀ</t>
  </si>
  <si>
    <t>R9950C13</t>
  </si>
  <si>
    <t>ﾘｻｲｸﾙﾄﾅｰ PR-L9950C-13 ｼｱﾝ</t>
  </si>
  <si>
    <t>R9950C14</t>
  </si>
  <si>
    <t>ﾘｻｲｸﾙﾄﾅｰ PR-L9950C-14 ﾌﾞﾗｯｸ</t>
  </si>
  <si>
    <t>R9950C31</t>
  </si>
  <si>
    <t>ﾘｻｲｸﾙ PR-L9950C-31</t>
  </si>
  <si>
    <t>R99P3290</t>
  </si>
  <si>
    <t>ﾘｻｲｸﾙ 99P3290</t>
  </si>
  <si>
    <t>R99P3291</t>
  </si>
  <si>
    <t>ﾘｻｲｸﾙ 99P3291</t>
  </si>
  <si>
    <t>RB4000</t>
  </si>
  <si>
    <t>RB90TDSN</t>
  </si>
  <si>
    <t>ﾘｻｲｸﾙﾄﾅｰ B90-TDS-N</t>
  </si>
  <si>
    <t>RB95TSN</t>
  </si>
  <si>
    <t>CASIO ﾘｻｲｸﾙ B95-TS-N</t>
  </si>
  <si>
    <t>RB95TSZ</t>
  </si>
  <si>
    <t>CASIO ﾘｻｲｸﾙ B95-TS-Z</t>
  </si>
  <si>
    <t>RBC310</t>
  </si>
  <si>
    <t>ﾘｻｲｸﾙｲﾝｸ BC-310 ﾌﾞﾗｯｸ</t>
  </si>
  <si>
    <t>RBC311</t>
  </si>
  <si>
    <t>ﾘｻｲｸﾙｲﾝｸ BC-311 3色ｶﾗｰ</t>
  </si>
  <si>
    <t>RBC345</t>
  </si>
  <si>
    <t>ﾘｻｲｸﾙｲﾝｸ BCI-345 BK</t>
  </si>
  <si>
    <t>RBC345XL</t>
  </si>
  <si>
    <t>ﾘｻｲｸﾙｲﾝｸ BC-345XL ﾌﾞﾗｯｸ</t>
  </si>
  <si>
    <t>RBC346</t>
  </si>
  <si>
    <t>ﾘｻｲｸﾙｲﾝｸ BCI-346 3色ｶﾗｰ</t>
  </si>
  <si>
    <t>RBC346XL</t>
  </si>
  <si>
    <t>ﾘｻｲｸﾙｲﾝｸ BC-346XL 3色ｶﾗｰ</t>
  </si>
  <si>
    <t>RBC360</t>
  </si>
  <si>
    <t>ﾘｻｲｸﾙｲﾝｸ BC-360 ﾌﾞﾗｯｸ</t>
  </si>
  <si>
    <t>RBC360XL</t>
  </si>
  <si>
    <t>ﾘｻｲｸﾙｲﾝｸ BC-360XL ﾌﾞﾗｯｸ</t>
  </si>
  <si>
    <t>RBC361</t>
  </si>
  <si>
    <t>ﾘｻｲｸﾙｲﾝｸ BC-361 ｶﾗｰ</t>
  </si>
  <si>
    <t>RBC361XL</t>
  </si>
  <si>
    <t>ﾘｻｲｸﾙｲﾝｸ BC-361XL ｶﾗｰ</t>
  </si>
  <si>
    <t>RBC365</t>
  </si>
  <si>
    <t>ﾘｻｲｸﾙｲﾝｸ BC-365 ﾌﾞﾗｯｸ 小容量</t>
  </si>
  <si>
    <t>RBC365XL</t>
  </si>
  <si>
    <t>ﾘｻｲｸﾙｲﾝｸ BC-365XL ﾌﾞﾗｯｸ ※欠品注意</t>
  </si>
  <si>
    <t>RBC366</t>
  </si>
  <si>
    <t>ﾘｻｲｸﾙｲﾝｸ BC-366 3色ｶﾗｰ 小容量</t>
  </si>
  <si>
    <t>RBC366XL</t>
  </si>
  <si>
    <t>ﾘｻｲｸﾙｲﾝｸ BC-365XL 3色ｶﾗｰ ※欠品注意</t>
  </si>
  <si>
    <t>RBCI19BK</t>
  </si>
  <si>
    <t>ﾘｻｲｸﾙｲﾝｸ BCI-19BK</t>
  </si>
  <si>
    <t>RBCI19CLR</t>
  </si>
  <si>
    <t>ﾘｻｲｸﾙｲﾝｸ BCI-19CLR</t>
  </si>
  <si>
    <t>RBCI325PGBK</t>
  </si>
  <si>
    <t>ﾘｻｲｸﾙｲﾝｸ BCI-325PGBK</t>
  </si>
  <si>
    <t>RBCI326BK</t>
  </si>
  <si>
    <t>ﾘｻｲｸﾙｲﾝｸ BCI-326BK</t>
  </si>
  <si>
    <t>RBCI326C</t>
  </si>
  <si>
    <t>ﾘｻｲｸﾙｲﾝｸ BCI-326C</t>
  </si>
  <si>
    <t>RBCI326GY</t>
  </si>
  <si>
    <t>ﾘｻｲｸﾙｲﾝｸ BCI-326GY</t>
  </si>
  <si>
    <t>RBCI326M</t>
  </si>
  <si>
    <t>ﾘｻｲｸﾙｲﾝｸ BCI-326M</t>
  </si>
  <si>
    <t>RBCI326Y</t>
  </si>
  <si>
    <t>ﾘｻｲｸﾙｲﾝｸ BCI-326Y</t>
  </si>
  <si>
    <t>RBCI330PGBK</t>
  </si>
  <si>
    <t>ﾘｻｲｸﾙｲﾝｸ BCI-330 PGBK</t>
  </si>
  <si>
    <t>RBCI331BK</t>
  </si>
  <si>
    <t>ﾘｻｲｸﾙｲﾝｸ BCI-331 BK</t>
  </si>
  <si>
    <t>RBCI331C</t>
  </si>
  <si>
    <t>ﾘｻｲｸﾙｲﾝｸ BCI-331 C</t>
  </si>
  <si>
    <t>RBCI331GY</t>
  </si>
  <si>
    <t>ﾘｻｲｸﾙｲﾝｸ BCI-331 GY</t>
  </si>
  <si>
    <t>RBCI331M</t>
  </si>
  <si>
    <t>ﾘｻｲｸﾙｲﾝｸ BCI-331 M</t>
  </si>
  <si>
    <t>RBCI331Y</t>
  </si>
  <si>
    <t>ﾘｻｲｸﾙｲﾝｸ BCI-331 Y</t>
  </si>
  <si>
    <t>RBCI381BK</t>
  </si>
  <si>
    <t>ﾘｻｲｸﾙｲﾝｸ BCI-381BK</t>
  </si>
  <si>
    <t>RBCI381C</t>
  </si>
  <si>
    <t>ﾘｻｲｸﾙｲﾝｸ BCI-381C</t>
  </si>
  <si>
    <t>RBCI381GY</t>
  </si>
  <si>
    <t>ﾘｻｲｸﾙｲﾝｸ BCI-381GY</t>
  </si>
  <si>
    <t>RBCI381M</t>
  </si>
  <si>
    <t>ﾘｻｲｸﾙｲﾝｸ BCI-381M</t>
  </si>
  <si>
    <t>RBCI381Y</t>
  </si>
  <si>
    <t>ﾘｻｲｸﾙｲﾝｸ BCI-381Y</t>
  </si>
  <si>
    <t>RC056L</t>
  </si>
  <si>
    <t>ﾘｻｲｸﾙﾄﾅｰ ｶｰﾄﾘｯｼﾞ056L</t>
  </si>
  <si>
    <t>RC1800C</t>
  </si>
  <si>
    <t>ﾘｻｲｸﾙﾄﾅｰ C1800 C</t>
  </si>
  <si>
    <t>RC1800K</t>
  </si>
  <si>
    <t>ﾘｻｲｸﾙﾄﾅｰ C1800 K</t>
  </si>
  <si>
    <t>RC1800M</t>
  </si>
  <si>
    <t>ﾘｻｲｸﾙﾄﾅｰ C1800 M</t>
  </si>
  <si>
    <t>RC1800Y</t>
  </si>
  <si>
    <t>ﾘｻｲｸﾙﾄﾅｰ C1800 Y</t>
  </si>
  <si>
    <t>RC200C</t>
  </si>
  <si>
    <t>ﾘｻｲｸﾙﾄﾅｰ C200 ｼｱﾝ</t>
  </si>
  <si>
    <t>RC200K</t>
  </si>
  <si>
    <t>ﾘｻｲｸﾙﾄﾅｰ C200 ﾌﾞﾗｯｸ</t>
  </si>
  <si>
    <t>RC200M</t>
  </si>
  <si>
    <t>ﾘｻｲｸﾙﾄﾅｰ C200 ﾏｾﾞﾝﾀ</t>
  </si>
  <si>
    <t>RC200Y</t>
  </si>
  <si>
    <t>ﾘｻｲｸﾙﾄﾅｰ C200 ｲｴﾛｰ</t>
  </si>
  <si>
    <t>RC220BK</t>
  </si>
  <si>
    <t>ﾘｻｲｸﾙﾄﾅｰ C220 ﾌﾞﾗｯｸ</t>
  </si>
  <si>
    <t>RC220C</t>
  </si>
  <si>
    <t>ﾘｻｲｸﾙﾄﾅｰ C220 ｼｱﾝ</t>
  </si>
  <si>
    <t>RC220M</t>
  </si>
  <si>
    <t>ﾘｻｲｸﾙﾄﾅｰ C220 ﾏｾﾞﾝﾀ</t>
  </si>
  <si>
    <t>RC220Y</t>
  </si>
  <si>
    <t>ﾘｻｲｸﾙﾄﾅｰ C220 ｲｴﾛｰ</t>
  </si>
  <si>
    <t>RC310HC</t>
  </si>
  <si>
    <t>ﾘｻｲｸﾙﾄﾅｰ C310H ｼｱﾝ</t>
  </si>
  <si>
    <t>RC310HK</t>
  </si>
  <si>
    <t>ﾘｻｲｸﾙﾄﾅｰ C310H ﾌﾞﾗｯｸ</t>
  </si>
  <si>
    <t>RC310HM</t>
  </si>
  <si>
    <t>ﾘｻｲｸﾙﾄﾅｰ C310H ﾏｾﾞﾝﾀ</t>
  </si>
  <si>
    <t>RC310HY</t>
  </si>
  <si>
    <t>ﾘｻｲｸﾙﾄﾅｰ C310H ｲｴﾛｰ</t>
  </si>
  <si>
    <t>RC316BK</t>
  </si>
  <si>
    <t>ﾘｻｲｸﾙﾄﾅ- 316 BK</t>
  </si>
  <si>
    <t>RC316C</t>
  </si>
  <si>
    <t>ﾘｻｲｸﾙﾄﾅｰ 316 C</t>
  </si>
  <si>
    <t>RC316M</t>
  </si>
  <si>
    <t>ﾘｻｲｸﾙﾄﾅｰ 316 M</t>
  </si>
  <si>
    <t>RC316Y</t>
  </si>
  <si>
    <t>ﾘｻｲｸﾙﾄﾅｰ 316 Y</t>
  </si>
  <si>
    <t>RC3302BK</t>
  </si>
  <si>
    <t>ﾘｻｲｸﾙﾄﾅｰ C3302 BK</t>
  </si>
  <si>
    <t>RC3302C</t>
  </si>
  <si>
    <t>ﾘｻｲｸﾙﾄﾅｰ C3302 C</t>
  </si>
  <si>
    <t>RC3302M</t>
  </si>
  <si>
    <t>ﾘｻｲｸﾙﾄﾅｰ C3302 M</t>
  </si>
  <si>
    <t>RC3302Y</t>
  </si>
  <si>
    <t>ﾘｻｲｸﾙﾄﾅｰ C3302 Y</t>
  </si>
  <si>
    <t>RC5001C</t>
  </si>
  <si>
    <t>ﾘｻｲｸﾙﾄﾅｰ MPｽﾎﾟｯﾄﾄﾅｰC5001C  (EQ/取説なし）</t>
  </si>
  <si>
    <t>RC5001K</t>
  </si>
  <si>
    <t>ﾘｻｲｸﾙﾄﾅｰ MPｽﾎﾟｯﾄﾄﾅｰC5001BK  (EQ/取説なし）</t>
  </si>
  <si>
    <t>RC710C</t>
  </si>
  <si>
    <t>ﾘｻｲｸﾙﾄﾅｰ C710 ｼｱﾝ</t>
  </si>
  <si>
    <t>RC710DC</t>
  </si>
  <si>
    <t>ﾘｻｲｸﾙﾄﾞﾗﾑ C710 ｼｱﾝ</t>
  </si>
  <si>
    <t>RC710DK</t>
  </si>
  <si>
    <t>ﾘｻｲｸﾙﾄﾞﾗﾑ C710 ﾌﾞﾗｯｸ</t>
  </si>
  <si>
    <t>RC710DM</t>
  </si>
  <si>
    <t>ﾘｻｲｸﾙﾄﾞﾗﾑ C710 ﾏｾﾞﾝﾀ</t>
  </si>
  <si>
    <t>RC710DY</t>
  </si>
  <si>
    <t>ﾘｻｲｸﾙﾄﾞﾗﾑ C710 ｲｴﾛｰ</t>
  </si>
  <si>
    <t>RC710K</t>
  </si>
  <si>
    <t>ﾘｻｲｸﾙﾄﾅｰ C710 ﾌﾞﾗｯｸ</t>
  </si>
  <si>
    <t>RC710M</t>
  </si>
  <si>
    <t>ﾘｻｲｸﾙﾄﾅｰ C710 ﾏｾﾞﾝﾀ</t>
  </si>
  <si>
    <t>RC710Y</t>
  </si>
  <si>
    <t>ﾘｻｲｸﾙﾄﾅｰ C710 ｲｴﾛｰ</t>
  </si>
  <si>
    <t>RC730HBK</t>
  </si>
  <si>
    <t>-在庫限り-ﾘｻｲｸﾙﾄﾅｰ C730H ﾌﾞﾗｯｸ</t>
  </si>
  <si>
    <t>RC730HC</t>
  </si>
  <si>
    <t>-在庫限り-ﾘｻｲｸﾙﾄﾅｰ C730H ｼｱﾝ</t>
  </si>
  <si>
    <t>RC730HM</t>
  </si>
  <si>
    <t>-在庫限り-ﾘｻｲｸﾙﾄﾅｰ C730H ﾏｾﾞﾝﾀ</t>
  </si>
  <si>
    <t>RC730HY</t>
  </si>
  <si>
    <t>-在庫限り-ﾘｻｲｸﾙﾄﾅｰ C730H ｲｴﾛｰ</t>
  </si>
  <si>
    <t>RC740C</t>
  </si>
  <si>
    <t>ﾘｻｲｸﾙﾄﾅｰ C740C</t>
  </si>
  <si>
    <t>RC740DC</t>
  </si>
  <si>
    <t>ﾘｻｲｸﾙﾄﾞﾗﾑ C740 ｼｱﾝ</t>
  </si>
  <si>
    <t>RC740DK</t>
  </si>
  <si>
    <t>ﾘｻｲｸﾙﾄﾞﾗﾑ C740 ﾌﾞﾗｯｸ</t>
  </si>
  <si>
    <t>RC740DM</t>
  </si>
  <si>
    <t>ﾘｻｲｸﾙﾄﾞﾗﾑ C740 ﾏｾﾞﾝﾀ</t>
  </si>
  <si>
    <t>RC740DY</t>
  </si>
  <si>
    <t>ﾘｻｲｸﾙﾄﾞﾗﾑ C740 ｲｴﾛｰ</t>
  </si>
  <si>
    <t>RC740HC</t>
  </si>
  <si>
    <t>ﾘｻｲｸﾙﾄﾅｰ C740HC</t>
  </si>
  <si>
    <t>RC740HK</t>
  </si>
  <si>
    <t>ﾘｻｲｸﾙﾄﾅｰ C740HK</t>
  </si>
  <si>
    <t>RC740HM</t>
  </si>
  <si>
    <t>ﾘｻｲｸﾙﾄﾅｰ C740HM</t>
  </si>
  <si>
    <t>RC740HY</t>
  </si>
  <si>
    <t>ﾘｻｲｸﾙﾄﾅｰ C740HY</t>
  </si>
  <si>
    <t>RC740K</t>
  </si>
  <si>
    <t>ﾘｻｲｸﾙﾄﾅｰ C740K</t>
  </si>
  <si>
    <t>RC740M</t>
  </si>
  <si>
    <t>ﾘｻｲｸﾙﾄﾅｰ C740M</t>
  </si>
  <si>
    <t>RC740Y</t>
  </si>
  <si>
    <t>ﾘｻｲｸﾙﾄﾅｰ C740Y</t>
  </si>
  <si>
    <t>RC810DBK</t>
  </si>
  <si>
    <t>ﾘｻｲｸﾙﾄﾞﾗﾑ C810 ﾌﾞﾗｯｸ</t>
  </si>
  <si>
    <t>RC810DC</t>
  </si>
  <si>
    <t>ﾘｻｲｸﾙﾄﾞﾗﾑ C810 ｶﾗｰ</t>
  </si>
  <si>
    <t>RC810HC</t>
  </si>
  <si>
    <t>ﾘｻｲｸﾙﾄﾅｰ C810H ｼｱﾝ</t>
  </si>
  <si>
    <t>RC810HK</t>
  </si>
  <si>
    <t>ﾘｻｲｸﾙﾄﾅｰ C810H ﾌﾞﾗｯｸ</t>
  </si>
  <si>
    <t>RC810HM</t>
  </si>
  <si>
    <t>ﾘｻｲｸﾙﾄﾅｰ C810H ﾏｾﾞﾝﾀ</t>
  </si>
  <si>
    <t>RC810HY</t>
  </si>
  <si>
    <t>ﾘｻｲｸﾙﾄﾅｰ C810H ｲｴﾛｰ</t>
  </si>
  <si>
    <t>RC820DBK</t>
  </si>
  <si>
    <t>ﾘｻｲｸﾙﾄﾞﾗﾑ C820 ﾌﾞﾗｯｸ</t>
  </si>
  <si>
    <t>RC820DC</t>
  </si>
  <si>
    <t>ﾘｻｲｸﾙﾄﾞﾗﾑ C820 ｶﾗｰ</t>
  </si>
  <si>
    <t>RC820HBK</t>
  </si>
  <si>
    <t>ﾘｻｲｸﾙﾄﾅｰ C820H BK</t>
  </si>
  <si>
    <t>RC820HC</t>
  </si>
  <si>
    <t>ﾘｻｲｸﾙﾄﾅｰ C820H C</t>
  </si>
  <si>
    <t>RC820HM</t>
  </si>
  <si>
    <t>ﾘｻｲｸﾙﾄﾅｰ C820H M</t>
  </si>
  <si>
    <t>RC820HY</t>
  </si>
  <si>
    <t>ﾘｻｲｸﾙﾄﾅｰ C820H Y</t>
  </si>
  <si>
    <t>RC830BK</t>
  </si>
  <si>
    <t>ﾘｻｲｸﾙﾄﾅｰ C830 ﾌﾞﾗｯｸ</t>
  </si>
  <si>
    <t>RC830C</t>
  </si>
  <si>
    <t>ﾘｻｲｸﾙﾄﾅｰ C830 ｼｱﾝ</t>
  </si>
  <si>
    <t>RC830DBK</t>
  </si>
  <si>
    <t>ﾘｻｲｸﾙﾄﾞﾗﾑ C830 ﾌﾞﾗｯｸ</t>
  </si>
  <si>
    <t>RC830DC</t>
  </si>
  <si>
    <t>ﾘｻｲｸﾙﾄﾞﾗﾑ C830 ｼｱﾝ</t>
  </si>
  <si>
    <t>RC830DM</t>
  </si>
  <si>
    <t>ﾘｻｲｸﾙﾄﾞﾗﾑ C830 ﾏｾﾞﾝﾀ</t>
  </si>
  <si>
    <t>RC830DY</t>
  </si>
  <si>
    <t>ﾘｻｲｸﾙﾄﾞﾗﾑ C830 ｲｴﾛｰ</t>
  </si>
  <si>
    <t>RC830HC</t>
  </si>
  <si>
    <t>ﾘｻｲｸﾙﾄﾅｰ C830H ｼｱﾝ</t>
  </si>
  <si>
    <t>RC830HK</t>
  </si>
  <si>
    <t>ﾘｻｲｸﾙﾄﾅｰ C830H ﾌﾞﾗｯｸ</t>
  </si>
  <si>
    <t>RC830HM</t>
  </si>
  <si>
    <t>ﾘｻｲｸﾙﾄﾅｰ C830H ﾏｾﾞﾝﾀ</t>
  </si>
  <si>
    <t>RC830HY</t>
  </si>
  <si>
    <t>ﾘｻｲｸﾙﾄﾅｰ C830H ｲｴﾛｰ</t>
  </si>
  <si>
    <t>RC830M</t>
  </si>
  <si>
    <t>ﾘｻｲｸﾙﾄﾅｰ C830 ﾏｾﾞﾝﾀ</t>
  </si>
  <si>
    <t>RC830Y</t>
  </si>
  <si>
    <t>ﾘｻｲｸﾙﾄﾅｰ C830 ｲｴﾛｰ</t>
  </si>
  <si>
    <t>RC840C</t>
  </si>
  <si>
    <t>ﾘｻｲｸﾙﾄﾅｰ C840 C</t>
  </si>
  <si>
    <t>RC840HC</t>
  </si>
  <si>
    <t>ﾘｻｲｸﾙﾄﾅｰ ｼｱﾝ C840H</t>
  </si>
  <si>
    <t>RC840HK</t>
  </si>
  <si>
    <t>ﾘｻｲｸﾙﾄﾅｰ ﾌﾞﾗｯｸ C840H</t>
  </si>
  <si>
    <t>RC840HM</t>
  </si>
  <si>
    <t>ﾘｻｲｸﾙﾄﾅｰ ﾏｾﾞﾝﾀ C840H</t>
  </si>
  <si>
    <t>RC840HMEC</t>
  </si>
  <si>
    <t>ﾘｻｲｸﾙﾄﾅｰME ｼｱﾝ C840H</t>
  </si>
  <si>
    <t>RC840HMEK</t>
  </si>
  <si>
    <t>ﾘｻｲｸﾙﾄﾅｰME ﾌﾞﾗｯｸ C840H</t>
  </si>
  <si>
    <t>RC840HMEM</t>
  </si>
  <si>
    <t>ﾘｻｲｸﾙﾄﾅｰME ﾏｾﾞﾝﾀ C840H</t>
  </si>
  <si>
    <t>RC840HMEY</t>
  </si>
  <si>
    <t>ﾘｻｲｸﾙﾄﾅｰME ｲｴﾛｰ C840H</t>
  </si>
  <si>
    <t>RC840HY</t>
  </si>
  <si>
    <t>ﾘｻｲｸﾙﾄﾅｰ ｲｴﾛｰ C840H</t>
  </si>
  <si>
    <t>RC840K</t>
  </si>
  <si>
    <t>ﾘｻｲｸﾙﾄﾅｰ C840 BK</t>
  </si>
  <si>
    <t>RC840M</t>
  </si>
  <si>
    <t>ﾘｻｲｸﾙﾄﾅｰ C840 M</t>
  </si>
  <si>
    <t>RC840Y</t>
  </si>
  <si>
    <t>ﾘｻｲｸﾙﾄﾅｰ C840 Y</t>
  </si>
  <si>
    <t>RCCT201199</t>
  </si>
  <si>
    <t>ﾘｻｲｸﾙﾄﾅｰ CT201199</t>
  </si>
  <si>
    <t>RCCT201398</t>
  </si>
  <si>
    <t>ﾘｻｲｸﾙﾄﾅｰ CT201398 ﾌﾞﾗｯｸ</t>
  </si>
  <si>
    <t>RCCT201399</t>
  </si>
  <si>
    <t>ﾘｻｲｸﾙﾄﾅｰ CT201399 ｼｱﾝ</t>
  </si>
  <si>
    <t>RCCT201400</t>
  </si>
  <si>
    <t>ﾘｻｲｸﾙﾄﾅｰ CT201400 ﾏｾﾞﾝﾀ</t>
  </si>
  <si>
    <t>RCCT201401</t>
  </si>
  <si>
    <t>ﾘｻｲｸﾙﾄﾅｰ CT201401 ｲｴﾛｰ</t>
  </si>
  <si>
    <t>RCE255A</t>
  </si>
  <si>
    <t>ﾘｻｲｸﾙﾄﾅｰ CE255A 小容量</t>
  </si>
  <si>
    <t>RCE255X</t>
  </si>
  <si>
    <t>ﾘｻｲｸﾙﾄﾅｰ CE255X 大容量</t>
  </si>
  <si>
    <t>RCF287X</t>
  </si>
  <si>
    <t>ﾘｻｲｸﾙﾄﾅｰ HP CF287X</t>
  </si>
  <si>
    <t>RCF289Y</t>
  </si>
  <si>
    <t>ﾘｻｲｸﾙﾄﾅｰ HP CF289Y</t>
  </si>
  <si>
    <t>RCL114BBK</t>
  </si>
  <si>
    <t>RCL114BC</t>
  </si>
  <si>
    <t>RCL114BM</t>
  </si>
  <si>
    <t>RCL114BY</t>
  </si>
  <si>
    <t>RCL115BBK</t>
  </si>
  <si>
    <t>ﾘｻｲｸﾙﾄﾅｰ CL115B BK</t>
  </si>
  <si>
    <t>RCL115BC</t>
  </si>
  <si>
    <t>ﾘｻｲｸﾙﾄﾅｰ CL115B C</t>
  </si>
  <si>
    <t>RCL115BM</t>
  </si>
  <si>
    <t>ﾘｻｲｸﾙﾄﾅｰ CL115B M</t>
  </si>
  <si>
    <t>RCL115BY</t>
  </si>
  <si>
    <t>ﾘｻｲｸﾙﾄﾅｰ CL115B Y</t>
  </si>
  <si>
    <t>RCL116BC</t>
  </si>
  <si>
    <t>ﾘｻｲｸﾙ ﾄﾅｰｶｰﾄﾘｯｼﾞCL116B ｼｱﾝ</t>
  </si>
  <si>
    <t>RCL116BK</t>
  </si>
  <si>
    <t>ﾘｻｲｸﾙ ﾄﾅｰｶｰﾄﾘｯｼﾞCL116B ﾌﾞﾗｯｸ</t>
  </si>
  <si>
    <t>RCL116BM</t>
  </si>
  <si>
    <t>ﾘｻｲｸﾙ ﾄﾅｰｶｰﾄﾘｯｼﾞCL116B ﾏｾﾞﾝﾀ</t>
  </si>
  <si>
    <t>RCL116BY</t>
  </si>
  <si>
    <t>ﾘｻｲｸﾙ ﾄﾅｰｶｰﾄﾘｯｼﾞCL116B ｲｴﾛｰ</t>
  </si>
  <si>
    <t>RCL117BK</t>
  </si>
  <si>
    <t>ﾘｻｲｸﾙﾄﾅｰ CL117 BK</t>
  </si>
  <si>
    <t>RCL117C</t>
  </si>
  <si>
    <t>ﾘｻｲｸﾙﾄﾅｰ CL117 C</t>
  </si>
  <si>
    <t>RCL117M</t>
  </si>
  <si>
    <t>ﾘｻｲｸﾙﾄﾅｰ CL117 M</t>
  </si>
  <si>
    <t>RCL117Y</t>
  </si>
  <si>
    <t>ﾘｻｲｸﾙﾄﾅｰ CL117 Y</t>
  </si>
  <si>
    <t>RCLPB4T13</t>
  </si>
  <si>
    <t>ﾘｻｲｸﾙﾄﾅｰ LPB4T13</t>
  </si>
  <si>
    <t>RCP-B3DS</t>
  </si>
  <si>
    <t>ﾘｻｲｸﾙﾄﾅｰ　CP-B3DS</t>
  </si>
  <si>
    <t>RCP-B3TR</t>
  </si>
  <si>
    <t>ﾘｻｲｸﾙﾄﾅｰ　CP-B3TS</t>
  </si>
  <si>
    <t>RCP-DTC5</t>
  </si>
  <si>
    <t>ﾘｻｲｸﾙﾄﾅｰ　CP-DTC5</t>
  </si>
  <si>
    <t>RCP-DTC80</t>
  </si>
  <si>
    <t>ﾘｻｲｸﾙﾄﾅｰ　CP-DTC80</t>
  </si>
  <si>
    <t>RCT200247</t>
  </si>
  <si>
    <t>ﾘｻｲｸﾙ CT200247</t>
  </si>
  <si>
    <t>RCT200248</t>
  </si>
  <si>
    <t>ﾘｻｲｸﾙ CT200248</t>
  </si>
  <si>
    <t>RCT200249</t>
  </si>
  <si>
    <t>ﾘｻｲｸﾙ CT200249</t>
  </si>
  <si>
    <t>RCT200250</t>
  </si>
  <si>
    <t>ﾘｻｲｸﾙ CT200250</t>
  </si>
  <si>
    <t>RCT200396</t>
  </si>
  <si>
    <t>ﾘｻｲｸﾙﾄﾅｰ CT200396 ｲｴﾛｰ</t>
  </si>
  <si>
    <t>RCT200414</t>
  </si>
  <si>
    <t>ﾘｻｲｸﾙ CT200414</t>
  </si>
  <si>
    <t>RCT200425</t>
  </si>
  <si>
    <t>ﾘｻｲｸﾙ CT200425</t>
  </si>
  <si>
    <t>RCT200441</t>
  </si>
  <si>
    <t>ﾘｻｲｸﾙﾄﾅｰ CT200441</t>
  </si>
  <si>
    <t>RCT200611</t>
  </si>
  <si>
    <t>ﾘｻｲｸﾙ CT200611</t>
  </si>
  <si>
    <t>RCT200612</t>
  </si>
  <si>
    <t>ﾘｻｲｸﾙ CT200612</t>
  </si>
  <si>
    <t>RCT200613</t>
  </si>
  <si>
    <t>ﾘｻｲｸﾙ CT200613</t>
  </si>
  <si>
    <t>RCT200614</t>
  </si>
  <si>
    <t>ﾘｻｲｸﾙ CT200614</t>
  </si>
  <si>
    <t>RCT200623</t>
  </si>
  <si>
    <t>RCT200624</t>
  </si>
  <si>
    <t>RCT200625</t>
  </si>
  <si>
    <t>RCT200626</t>
  </si>
  <si>
    <t>RCT200822</t>
  </si>
  <si>
    <t>ﾘｻｲｸﾙﾄﾅｰ CT200822</t>
  </si>
  <si>
    <t>RCT200823</t>
  </si>
  <si>
    <t>ﾘｻｲｸﾙﾄﾅｰ CT200823</t>
  </si>
  <si>
    <t>RCT200824</t>
  </si>
  <si>
    <t>ﾘｻｲｸﾙﾄﾅｰ CT200824</t>
  </si>
  <si>
    <t>RCT200825</t>
  </si>
  <si>
    <t>ﾘｻｲｸﾙﾄﾅｰ CT200825</t>
  </si>
  <si>
    <t>RCT200916</t>
  </si>
  <si>
    <t>ﾘｻｲｸﾙﾄﾅｰ CT200916</t>
  </si>
  <si>
    <t>RCT201087</t>
  </si>
  <si>
    <t>ﾘｻｲｸﾙﾄﾅｰ CT201087 ｼｱﾝ</t>
  </si>
  <si>
    <t>RCT201088</t>
  </si>
  <si>
    <t>ﾘｻｲｸﾙﾄﾅｰ CT201088 ﾏｾﾞﾝﾀ</t>
  </si>
  <si>
    <t>RCT201089</t>
  </si>
  <si>
    <t>ﾘｻｲｸﾙﾄﾅｰ CT201089 ｲｴﾛｰ</t>
  </si>
  <si>
    <t>RCT201125</t>
  </si>
  <si>
    <t>ﾘｻｲｸﾙﾄﾅｰ CT201125 BK</t>
  </si>
  <si>
    <t>RCT201126</t>
  </si>
  <si>
    <t>ﾘｻｲｸﾙﾄﾅｰ CT201126 C</t>
  </si>
  <si>
    <t>RCT201127</t>
  </si>
  <si>
    <t>ﾘｻｲｸﾙﾄﾅｰ CT201127 M</t>
  </si>
  <si>
    <t>RCT201128</t>
  </si>
  <si>
    <t>ﾘｻｲｸﾙﾄﾅｰ CT201128 Y</t>
  </si>
  <si>
    <t>RCT201129</t>
  </si>
  <si>
    <t>ﾘｻｲｸﾙﾄﾅｰ CT201129 BK</t>
  </si>
  <si>
    <t>RCT201130</t>
  </si>
  <si>
    <t>ﾘｻｲｸﾙﾄﾅｰ CT201130 C</t>
  </si>
  <si>
    <t>RCT201131</t>
  </si>
  <si>
    <t>ﾘｻｲｸﾙﾄﾅｰ CT201131 M</t>
  </si>
  <si>
    <t>RCT201132</t>
  </si>
  <si>
    <t>ﾘｻｲｸﾙﾄﾅｰ CT201132 Y</t>
  </si>
  <si>
    <t>RCT201225</t>
  </si>
  <si>
    <t>ﾘｻｲｸﾙ CT201225</t>
  </si>
  <si>
    <t>RCT201276</t>
  </si>
  <si>
    <t>ﾘｻｲｸﾙﾄﾅｰ CT201276</t>
  </si>
  <si>
    <t>RCT201360</t>
  </si>
  <si>
    <t>ﾘｻｲｸﾙﾄﾅｰ CT201360 BK</t>
  </si>
  <si>
    <t>RCT201361</t>
  </si>
  <si>
    <t>ﾘｻｲｸﾙﾄﾅｰ CT201361 C</t>
  </si>
  <si>
    <t>RCT201362</t>
  </si>
  <si>
    <t>ﾘｻｲｸﾙﾄﾅｰ CT201362 M</t>
  </si>
  <si>
    <t>RCT201363</t>
  </si>
  <si>
    <t>ﾘｻｲｸﾙﾄﾅｰ CT201363 Y</t>
  </si>
  <si>
    <t>RCT201444</t>
  </si>
  <si>
    <t>ﾘｻｲｸﾙﾄﾅｰ CT201444 ﾌﾞﾗｯｸ</t>
  </si>
  <si>
    <t>RCT201445</t>
  </si>
  <si>
    <t>ﾘｻｲｸﾙﾄﾅｰ CT201445 ｼｱﾝ</t>
  </si>
  <si>
    <t>RCT201446</t>
  </si>
  <si>
    <t>ﾘｻｲｸﾙﾄﾅｰ CT201446 ﾏｾﾞﾝﾀ</t>
  </si>
  <si>
    <t>RCT201447</t>
  </si>
  <si>
    <t>ﾘｻｲｸﾙﾄﾅｰ CT201447 ｲｴﾛｰ</t>
  </si>
  <si>
    <t>RCT201688</t>
  </si>
  <si>
    <t>ﾘｻｲｸﾙﾄﾅｰ CT201688 BK</t>
  </si>
  <si>
    <t>RCT201689</t>
  </si>
  <si>
    <t>ﾘｻｲｸﾙﾄﾅｰ CT201689 C</t>
  </si>
  <si>
    <t>RCT201690</t>
  </si>
  <si>
    <t>ﾘｻｲｸﾙﾄﾅｰ CT201690 M</t>
  </si>
  <si>
    <t>RCT201691</t>
  </si>
  <si>
    <t>ﾘｻｲｸﾙﾄﾅｰ CT201691 Y</t>
  </si>
  <si>
    <t>RCT201697</t>
  </si>
  <si>
    <t>ﾘｻｲｸﾙﾄﾅｰ CT201697</t>
  </si>
  <si>
    <t>RCT201733</t>
  </si>
  <si>
    <t>ﾘｻｲｸﾙﾄﾅｰ CT201733</t>
  </si>
  <si>
    <t>RCT201761</t>
  </si>
  <si>
    <t>ﾘｻｲｸﾙﾄﾅｰ CT201761</t>
  </si>
  <si>
    <t>RCT201762</t>
  </si>
  <si>
    <t>ﾘｻｲｸﾙﾄﾅｰ CT201762</t>
  </si>
  <si>
    <t>RCT201763</t>
  </si>
  <si>
    <t>ﾘｻｲｸﾙﾄﾅｰ CT201763</t>
  </si>
  <si>
    <t>RCT201764</t>
  </si>
  <si>
    <t>ﾘｻｲｸﾙﾄﾅｰ CT201764</t>
  </si>
  <si>
    <t>RCT201779</t>
  </si>
  <si>
    <t>ﾘｻｲｸﾙﾄﾅｰ CT201779</t>
  </si>
  <si>
    <t>RCT202054</t>
  </si>
  <si>
    <t>ﾘｻｲｸﾙﾄﾅｰ CT202054 ﾌﾞﾗｯｸ</t>
  </si>
  <si>
    <t>RCT202055</t>
  </si>
  <si>
    <t>ﾘｻｲｸﾙﾄﾅｰ CT202055 ｼｱﾝ</t>
  </si>
  <si>
    <t>RCT202056</t>
  </si>
  <si>
    <t>ﾘｻｲｸﾙﾄﾅｰ CT202056 ﾏｾﾞﾝﾀ</t>
  </si>
  <si>
    <t>RCT202057</t>
  </si>
  <si>
    <t>ﾘｻｲｸﾙﾄﾅｰ CT202057 ｲｴﾛｰ</t>
  </si>
  <si>
    <t>RCT202074</t>
  </si>
  <si>
    <t>ﾘｻｲｸﾙﾄﾅｰ CT202074</t>
  </si>
  <si>
    <t>RCT202078</t>
  </si>
  <si>
    <t>ﾘｻｲｸﾙﾄﾅｰ CT202078</t>
  </si>
  <si>
    <t>RCT202085</t>
  </si>
  <si>
    <t>ﾘｻｲｸﾙﾄﾅｰ CT202085 ﾌﾞﾗｯｸ</t>
  </si>
  <si>
    <t>RCT202086</t>
  </si>
  <si>
    <t>ﾘｻｲｸﾙﾄﾅｰ CT202086 ｼｱﾝ</t>
  </si>
  <si>
    <t>RCT202087</t>
  </si>
  <si>
    <t>ﾘｻｲｸﾙﾄﾅｰ CT202087 ﾏｾﾞﾝﾀ</t>
  </si>
  <si>
    <t>RCT202088</t>
  </si>
  <si>
    <t>ﾘｻｲｸﾙﾄﾅｰ CT202088 ｲｴﾛｰ</t>
  </si>
  <si>
    <t>RCT202089</t>
  </si>
  <si>
    <t>ﾘｻｲｸﾙﾄﾅｰ CT202089 大容量ﾌﾞﾗｯｸ</t>
  </si>
  <si>
    <t>RCT202090</t>
  </si>
  <si>
    <t>ﾘｻｲｸﾙﾄﾅｰ CT202090 大容量ｼｱﾝ</t>
  </si>
  <si>
    <t>RCT202091</t>
  </si>
  <si>
    <t>ﾘｻｲｸﾙﾄﾅｰ CT202091 大容量ﾏｾﾞﾝﾀ</t>
  </si>
  <si>
    <t>RCT202092</t>
  </si>
  <si>
    <t>ﾘｻｲｸﾙﾄﾅｰ CT202092 大容量ｲｴﾛｰ</t>
  </si>
  <si>
    <t>RCT202334</t>
  </si>
  <si>
    <t>ﾘｻｲｸﾙﾄﾅｰ CT202334</t>
  </si>
  <si>
    <t>RCT202342</t>
  </si>
  <si>
    <t>ﾘｻｲｸﾙﾄﾅｰ CT202342</t>
  </si>
  <si>
    <t>RCT202451</t>
  </si>
  <si>
    <t>ﾘｻｲｸﾙﾄﾅｰ CT202451 ﾌﾞﾗｯｸ</t>
  </si>
  <si>
    <t>RCT202452</t>
  </si>
  <si>
    <t>ﾘｻｲｸﾙﾄﾅｰ CT202452 ｼｱﾝ</t>
  </si>
  <si>
    <t>RCT202453</t>
  </si>
  <si>
    <t>ﾘｻｲｸﾙﾄﾅｰ CT202453 ﾏｾﾞﾝﾀ</t>
  </si>
  <si>
    <t>RCT202454</t>
  </si>
  <si>
    <t>ﾘｻｲｸﾙﾄﾅｰ CT202454 ｲｴﾛｰ</t>
  </si>
  <si>
    <t>RCT202459</t>
  </si>
  <si>
    <t>ﾘｻｲｸﾙﾄﾅｰ CT202459 ﾌﾞﾗｯｸ</t>
  </si>
  <si>
    <t>RCT202460</t>
  </si>
  <si>
    <t>ﾘｻｲｸﾙﾄﾅｰ CT202460 ｼｱﾝ</t>
  </si>
  <si>
    <t>RCT202461</t>
  </si>
  <si>
    <t>ﾘｻｲｸﾙﾄﾅｰ CT202461 ﾏｾﾞﾝﾀ</t>
  </si>
  <si>
    <t>RCT202462</t>
  </si>
  <si>
    <t>ﾘｻｲｸﾙﾄﾅｰ CT202462 ｲｴﾛｰ</t>
  </si>
  <si>
    <t>RCT202630</t>
  </si>
  <si>
    <t>ﾘｻｲｸﾙﾄﾅｰ CT202630 BK</t>
  </si>
  <si>
    <t>RCT202631</t>
  </si>
  <si>
    <t>ﾘｻｲｸﾙﾄﾅｰ CT202631 C</t>
  </si>
  <si>
    <t>RCT202632</t>
  </si>
  <si>
    <t>ﾘｻｲｸﾙﾄﾅｰ CT202632 M</t>
  </si>
  <si>
    <t>RCT202633</t>
  </si>
  <si>
    <t>ﾘｻｲｸﾙﾄﾅｰ CT202633 Y</t>
  </si>
  <si>
    <t>RCT202673</t>
  </si>
  <si>
    <t>ﾘｻｲｸﾙﾄﾅｰ CT202673 BK</t>
  </si>
  <si>
    <t>RCT202674</t>
  </si>
  <si>
    <t>ﾘｻｲｸﾙﾄﾅｰ CT202674 C</t>
  </si>
  <si>
    <t>RCT202675</t>
  </si>
  <si>
    <t>ﾘｻｲｸﾙﾄﾅｰ CT202675 M</t>
  </si>
  <si>
    <t>RCT202676</t>
  </si>
  <si>
    <t>ﾘｻｲｸﾙﾄﾅｰ CT202676 Y</t>
  </si>
  <si>
    <t>RCT202681</t>
  </si>
  <si>
    <t>ﾘｻｲｸﾙﾄﾅｰ CT202681 ﾌﾞﾗｯｸ</t>
  </si>
  <si>
    <t>RCT202682</t>
  </si>
  <si>
    <t>ﾘｻｲｸﾙﾄﾅｰ CT202682 ｼｱﾝ</t>
  </si>
  <si>
    <t>RCT202683</t>
  </si>
  <si>
    <t>ﾘｻｲｸﾙﾄﾅｰ CT202683 ﾏｾﾞﾝﾀ</t>
  </si>
  <si>
    <t>RCT202684</t>
  </si>
  <si>
    <t>ﾘｻｲｸﾙﾄﾅｰ CT202684 ｲｴﾛｰ</t>
  </si>
  <si>
    <t>RCT202728</t>
  </si>
  <si>
    <t>ﾘｻｲｸﾙﾄﾅｰ CT202728 K</t>
  </si>
  <si>
    <t>RCT202729</t>
  </si>
  <si>
    <t>ﾘｻｲｸﾙﾄﾅｰ CT202729 C</t>
  </si>
  <si>
    <t>RCT202730</t>
  </si>
  <si>
    <t>ﾘｻｲｸﾙﾄﾅｰ CT202730 M</t>
  </si>
  <si>
    <t>RCT202731</t>
  </si>
  <si>
    <t>ﾘｻｲｸﾙﾄﾅｰ CT202731 Y</t>
  </si>
  <si>
    <t>RCT203057</t>
  </si>
  <si>
    <t>ﾘｻｲｸﾙ CT203057</t>
  </si>
  <si>
    <t>RCT203058</t>
  </si>
  <si>
    <t>ﾘｻｲｸﾙ CT203058</t>
  </si>
  <si>
    <t>RCT203059</t>
  </si>
  <si>
    <t>ﾘｻｲｸﾙ CT203059</t>
  </si>
  <si>
    <t>RCT203060</t>
  </si>
  <si>
    <t>ﾘｻｲｸﾙ CT203060</t>
  </si>
  <si>
    <t>RCT203090</t>
  </si>
  <si>
    <t>ﾘｻｲｸﾙﾄﾅｰ CT203090</t>
  </si>
  <si>
    <t>RCT203091</t>
  </si>
  <si>
    <t>ﾘｻｲｸﾙﾄﾅｰ CT203091</t>
  </si>
  <si>
    <t>RCT203092</t>
  </si>
  <si>
    <t>ﾘｻｲｸﾙﾄﾅｰ CT203092</t>
  </si>
  <si>
    <t>RCT203113</t>
  </si>
  <si>
    <t>ﾘｻｲｸﾙﾄﾅｰ CT203113</t>
  </si>
  <si>
    <t>RCT203114</t>
  </si>
  <si>
    <t>ﾘｻｲｸﾙﾄﾅｰ CT203114</t>
  </si>
  <si>
    <t>RCT203169</t>
  </si>
  <si>
    <t>ﾘｻｲｸﾙﾄﾅｰ CT203169 BK</t>
  </si>
  <si>
    <t>RCT203170</t>
  </si>
  <si>
    <t>ﾘｻｲｸﾙﾄﾅｰ CT203170 C</t>
  </si>
  <si>
    <t>RCT203171</t>
  </si>
  <si>
    <t>ﾘｻｲｸﾙﾄﾅｰ CT203171 M</t>
  </si>
  <si>
    <t>RCT203172</t>
  </si>
  <si>
    <t>ﾘｻｲｸﾙﾄﾅｰ CT203172 Y</t>
  </si>
  <si>
    <t>RCT203177</t>
  </si>
  <si>
    <t>ﾘｻｲｸﾙﾄﾅｰ CT203177 ﾌﾞﾗｯｸ</t>
  </si>
  <si>
    <t>RCT203178</t>
  </si>
  <si>
    <t>ﾘｻｲｸﾙﾄﾅｰ CT203178 ｼｱﾝ</t>
  </si>
  <si>
    <t>RCT203179</t>
  </si>
  <si>
    <t>ﾘｻｲｸﾙﾄﾅｰ CT203179 ﾏｾﾞﾝﾀ</t>
  </si>
  <si>
    <t>RCT203180</t>
  </si>
  <si>
    <t>ﾘｻｲｸﾙﾄﾅｰ CT203180 ｲｴﾛｰ</t>
  </si>
  <si>
    <t>RCT203207</t>
  </si>
  <si>
    <t>ﾘｻｲｸﾙﾄﾅｰ CT203207 ﾌﾞﾗｯｸ</t>
  </si>
  <si>
    <t>RCT203208</t>
  </si>
  <si>
    <t>ﾘｻｲｸﾙﾄﾅｰ CT203208 ｼｱﾝ</t>
  </si>
  <si>
    <t>RCT203209</t>
  </si>
  <si>
    <t>ﾘｻｲｸﾙﾄﾅｰ CT203209 ﾏｾﾞﾝﾀ</t>
  </si>
  <si>
    <t>RCT203210</t>
  </si>
  <si>
    <t>ﾘｻｲｸﾙﾄﾅｰ CT203210 ｲｴﾛｰ</t>
  </si>
  <si>
    <t>RCT203215</t>
  </si>
  <si>
    <t>ﾘｻｲｸﾙﾄﾅｰ CT203215 ﾌﾞﾗｯｸ</t>
  </si>
  <si>
    <t>RCT203216</t>
  </si>
  <si>
    <t>ﾘｻｲｸﾙﾄﾅｰ CT203216 ｼｱﾝ</t>
  </si>
  <si>
    <t>RCT203217</t>
  </si>
  <si>
    <t>ﾘｻｲｸﾙﾄﾅｰ CT203217 ﾏｾﾞﾝﾀ</t>
  </si>
  <si>
    <t>RCT203218</t>
  </si>
  <si>
    <t>ﾘｻｲｸﾙﾄﾅｰ CT203218 ｲｴﾛｰ</t>
  </si>
  <si>
    <t>RCT203338</t>
  </si>
  <si>
    <t>ﾘｻｲｸﾙﾄﾅｰ CT203338 ﾌﾞﾗｯｸ</t>
  </si>
  <si>
    <t>RCT203339</t>
  </si>
  <si>
    <t>ﾘｻｲｸﾙﾄﾅｰ CT203339 ｼｱﾝ</t>
  </si>
  <si>
    <t>RCT203340</t>
  </si>
  <si>
    <t>ﾘｻｲｸﾙﾄﾅｰ CT203340 ﾏｾﾞﾝﾀ</t>
  </si>
  <si>
    <t>RCT203341</t>
  </si>
  <si>
    <t>ﾘｻｲｸﾙﾄﾅｰ CT203341 ｲｴﾛｰ</t>
  </si>
  <si>
    <t>RCT203364</t>
  </si>
  <si>
    <t>ﾘｻｲｸﾙ CT203364</t>
  </si>
  <si>
    <t>RCT203418</t>
  </si>
  <si>
    <t>ﾘｻｲｸﾙﾄﾅｰ CT203418 ﾌﾞﾗｯｸ</t>
  </si>
  <si>
    <t>RCT203419</t>
  </si>
  <si>
    <t>ﾘｻｲｸﾙﾄﾅｰ CT203419 ｼｱﾝ</t>
  </si>
  <si>
    <t>RCT203420</t>
  </si>
  <si>
    <t>ﾘｻｲｸﾙﾄﾅｰ CT203420 ﾏｾﾞﾝﾀ</t>
  </si>
  <si>
    <t>RCT203421</t>
  </si>
  <si>
    <t>ﾘｻｲｸﾙﾄﾅｰ CT203421 ｲｴﾛｰ</t>
  </si>
  <si>
    <t>RCT203532</t>
  </si>
  <si>
    <t>ﾘｻｲｸﾙﾄﾅｰ CT203532 BK</t>
  </si>
  <si>
    <t>RCT203533</t>
  </si>
  <si>
    <t>ﾘｻｲｸﾙﾄﾅｰ CT203533 C</t>
  </si>
  <si>
    <t>RCT203534</t>
  </si>
  <si>
    <t>ﾘｻｲｸﾙﾄﾅｰ CT203534 M</t>
  </si>
  <si>
    <t>RCT203535</t>
  </si>
  <si>
    <t>ﾘｻｲｸﾙﾄﾅｰ CT203535 Y</t>
  </si>
  <si>
    <t>RCT203887</t>
  </si>
  <si>
    <t>ﾘｻｲｸﾙﾄﾅｰ CT203887 BK</t>
  </si>
  <si>
    <t>RCT203888</t>
  </si>
  <si>
    <t>ﾘｻｲｸﾙﾄﾅｰ CT203888 C</t>
  </si>
  <si>
    <t>RCT203889</t>
  </si>
  <si>
    <t>ﾘｻｲｸﾙﾄﾅｰ CT203889 M</t>
  </si>
  <si>
    <t>RCT203890</t>
  </si>
  <si>
    <t>ﾘｻｲｸﾙﾄﾅｰ CT203890 Y</t>
  </si>
  <si>
    <t>RCT203923</t>
  </si>
  <si>
    <t>ﾘｻｲｸﾙﾄﾅｰ CT203923</t>
  </si>
  <si>
    <t>RCT203924</t>
  </si>
  <si>
    <t>ﾘｻｲｸﾙﾄﾅｰ CT203924</t>
  </si>
  <si>
    <t>RCT203925</t>
  </si>
  <si>
    <t>ﾘｻｲｸﾙﾄﾅｰ CT203925</t>
  </si>
  <si>
    <t>RCT203996</t>
  </si>
  <si>
    <t>ﾘｻｲｸﾙﾄﾅｰ CT203996</t>
  </si>
  <si>
    <t>RCT350051</t>
  </si>
  <si>
    <t>ﾘｻｲｸﾙ CT350051</t>
  </si>
  <si>
    <t>RCT350129</t>
  </si>
  <si>
    <t>ﾘｻｲｸﾙﾄﾅｰ CT350129</t>
  </si>
  <si>
    <t>RCT350187</t>
  </si>
  <si>
    <t>ﾘｻｲｸﾙ CT350187</t>
  </si>
  <si>
    <t>RCT350244</t>
  </si>
  <si>
    <t>ﾘｻｲｸﾙﾄﾅｰ CT350244</t>
  </si>
  <si>
    <t>RCT350245</t>
  </si>
  <si>
    <t>ﾘｻｲｸﾙﾄﾅｰ CT350245</t>
  </si>
  <si>
    <t>RCT350247</t>
  </si>
  <si>
    <t>RCT350281</t>
  </si>
  <si>
    <t>ﾘｻｲｸﾙﾄﾞﾗﾑ CT350281</t>
  </si>
  <si>
    <t>RCT350307</t>
  </si>
  <si>
    <t>ﾘｻｲｸﾙ CT350307</t>
  </si>
  <si>
    <t>RCT350324</t>
  </si>
  <si>
    <t>RCT350376</t>
  </si>
  <si>
    <t>ﾘｻｲｸﾙ CT350376</t>
  </si>
  <si>
    <t>RCT350443</t>
  </si>
  <si>
    <t>RCT350508</t>
  </si>
  <si>
    <t>ﾘｻｲｸﾙﾄﾞﾗﾑ CT350508</t>
  </si>
  <si>
    <t>RCT350515</t>
  </si>
  <si>
    <t>ﾘｻｲｸﾙﾄﾅｰ CT350515</t>
  </si>
  <si>
    <t>RCT350516</t>
  </si>
  <si>
    <t>ﾘｻｲｸﾙﾄﾅｰ CT350516</t>
  </si>
  <si>
    <t>RCT350589</t>
  </si>
  <si>
    <t>RCT350590</t>
  </si>
  <si>
    <t>ﾘｻｲｸﾙﾄﾅｰ CT350590</t>
  </si>
  <si>
    <t>RCT350591</t>
  </si>
  <si>
    <t>ﾘｻｲｸﾙﾄﾞﾗﾑｶｰﾄﾘｯｼﾞ CT350591</t>
  </si>
  <si>
    <t>RCT350615</t>
  </si>
  <si>
    <t>ﾘｻｲｸﾙﾄﾞﾗﾑ CT350615</t>
  </si>
  <si>
    <t>RCT350738</t>
  </si>
  <si>
    <t>ﾘｻｲｸﾙﾄﾞﾗﾑ CT350738</t>
  </si>
  <si>
    <t>RCT350760</t>
  </si>
  <si>
    <t>ﾘｻｲｸﾙﾄﾅｰ CT350760</t>
  </si>
  <si>
    <t>RCT350761</t>
  </si>
  <si>
    <t>ﾘｻｲｸﾙﾄﾅｰ CT350761</t>
  </si>
  <si>
    <t>RCT350765</t>
  </si>
  <si>
    <t>ﾘｻｲｸﾙ CT350765</t>
  </si>
  <si>
    <t>RCT350812</t>
  </si>
  <si>
    <t>ﾘｻｲｸﾙﾄﾞﾗﾑ CT350812 ﾌﾞﾗｯｸ</t>
  </si>
  <si>
    <t>RCT350813</t>
  </si>
  <si>
    <t>ﾘｻｲｸﾙﾄﾞﾗﾑ CT350813 ｶﾗｰ</t>
  </si>
  <si>
    <t>RCT350871</t>
  </si>
  <si>
    <t>ﾘｻｲｸﾙﾄﾅｰ CT350871</t>
  </si>
  <si>
    <t>RCT350872</t>
  </si>
  <si>
    <t>ﾘｻｲｸﾙﾄﾅｰ CT350872</t>
  </si>
  <si>
    <t>RCT350904</t>
  </si>
  <si>
    <t>ﾘｻｲｸﾙﾄﾞﾗﾑ CT350904</t>
  </si>
  <si>
    <t>RCT350906</t>
  </si>
  <si>
    <t>ﾘｻｲｸﾙﾄﾞﾗﾑ CT350906</t>
  </si>
  <si>
    <t>RCT350920</t>
  </si>
  <si>
    <t>ﾘｻｲｸﾙﾄﾞﾗﾑ CT350920</t>
  </si>
  <si>
    <t>RCT350988</t>
  </si>
  <si>
    <t>ﾘｻｲｸﾙﾄﾞﾗﾑ CT350988</t>
  </si>
  <si>
    <t>RCT351057</t>
  </si>
  <si>
    <t>ﾘｻｲｸﾙﾄﾞﾗﾑ CT351057</t>
  </si>
  <si>
    <t>RCT351060</t>
  </si>
  <si>
    <t>ﾘｻｲｸﾙﾄﾞﾗﾑ CT351060</t>
  </si>
  <si>
    <t>RCT351166</t>
  </si>
  <si>
    <t>ﾘｻｲｸﾙﾄﾞﾗﾑ CT351166</t>
  </si>
  <si>
    <t>RCT351167</t>
  </si>
  <si>
    <t>ﾘｻｲｸﾙﾄﾞﾗﾑ CT351167</t>
  </si>
  <si>
    <t>RCT351175</t>
  </si>
  <si>
    <t>ﾘｻｲｸﾙﾄﾞﾗﾑ CT351175</t>
  </si>
  <si>
    <t>RCT351380</t>
  </si>
  <si>
    <t>ﾘｻｲｸﾙﾄﾞﾗﾑ CT351380</t>
  </si>
  <si>
    <t>RCT351381</t>
  </si>
  <si>
    <t>ﾘｻｲｸﾙﾄﾞﾗﾑ CT351381</t>
  </si>
  <si>
    <t>RCTCC4EC1</t>
  </si>
  <si>
    <t>ﾘｻｲｸﾙﾄﾅｰ TC-C4EC1</t>
  </si>
  <si>
    <t>RCTCC4EK1</t>
  </si>
  <si>
    <t>ﾘｻｲｸﾙﾄﾅｰ TC-C4EK1</t>
  </si>
  <si>
    <t>RCTCC4EM1</t>
  </si>
  <si>
    <t>ﾘｻｲｸﾙﾄﾅｰ TC-C4EM1</t>
  </si>
  <si>
    <t>RCTCC4EY1</t>
  </si>
  <si>
    <t>ﾘｻｲｸﾙﾄﾅｰ TC-C4EY1</t>
  </si>
  <si>
    <t>RCWAA0731</t>
  </si>
  <si>
    <t>ﾘｻｲｸﾙ CWAA0731 ﾄﾅｰ回収ﾎﾞﾄﾙ</t>
  </si>
  <si>
    <t>RCWAA0773</t>
  </si>
  <si>
    <t>ﾘｻｲｸﾙ CWAA0773 ﾄﾅｰ回収ﾎﾞﾄﾙ</t>
  </si>
  <si>
    <t>RCWAA0966</t>
  </si>
  <si>
    <t>ﾘｻｲｸﾙ CWAA0966 回収ﾎﾞﾄﾙ</t>
  </si>
  <si>
    <t>RCWAA1051</t>
  </si>
  <si>
    <t>ﾘｻｲｸﾙ CWAA1051 ﾄﾅｰ回収ﾎﾞﾄﾙ</t>
  </si>
  <si>
    <t>RD3100</t>
  </si>
  <si>
    <t>ﾘｻｲｸﾙ ﾄﾞﾗﾑﾕﾆｯﾄ 3100</t>
  </si>
  <si>
    <t>RDE1004</t>
  </si>
  <si>
    <t>ﾘｻｲｸﾙﾄﾅｰ DE-1004</t>
  </si>
  <si>
    <t>RDE1005</t>
  </si>
  <si>
    <t>ﾘｻｲｸﾙﾄﾅｰ DE-1005</t>
  </si>
  <si>
    <t>RDE3350</t>
  </si>
  <si>
    <t>ﾘｻｲｸﾙﾄﾅｰ DE-3350</t>
  </si>
  <si>
    <t>RDE3380</t>
  </si>
  <si>
    <t>ﾘｻｲｸﾙﾄﾅｰ DE-3380</t>
  </si>
  <si>
    <t>RDK0780AJP</t>
  </si>
  <si>
    <t>ﾘｻｲｸﾙﾄﾞﾗﾑ V-780 DK0780AJP</t>
  </si>
  <si>
    <t>RDK20B</t>
  </si>
  <si>
    <t>RDK5180AJP</t>
  </si>
  <si>
    <t>ﾘｻｲｸﾙﾄﾞﾗﾑ DK5180AJP</t>
  </si>
  <si>
    <t>RDLB321</t>
  </si>
  <si>
    <t>ﾘｻｲｸﾙﾄﾞﾗﾑ LB321</t>
  </si>
  <si>
    <t>RDPC6000BK</t>
  </si>
  <si>
    <t>ﾘｻｲｸﾙﾄﾞﾗﾑ P C6000 BK</t>
  </si>
  <si>
    <t>RDPC6000C</t>
  </si>
  <si>
    <t>ﾘｻｲｸﾙﾄﾞﾗﾑ P C6000 C</t>
  </si>
  <si>
    <t>RDPC6000M</t>
  </si>
  <si>
    <t>ﾘｻｲｸﾙﾄﾞﾗﾑ P C6000 M</t>
  </si>
  <si>
    <t>RDPC6000Y</t>
  </si>
  <si>
    <t>ﾘｻｲｸﾙﾄﾞﾗﾑ P C6000 Y</t>
  </si>
  <si>
    <t>RDPK3800</t>
  </si>
  <si>
    <t>ﾘｻｲｸﾙﾘﾎﾞﾝｶｾｯﾄ DPK3800 黒(2) 0327610</t>
  </si>
  <si>
    <t>RDR20J</t>
  </si>
  <si>
    <t>ﾘｻｲｸﾙﾄﾞﾗﾑ DR-20J</t>
  </si>
  <si>
    <t>RDR21J</t>
  </si>
  <si>
    <t>ﾘｻｲｸﾙﾄﾞﾗﾑ DR-21J</t>
  </si>
  <si>
    <t>RDR22J</t>
  </si>
  <si>
    <t>ﾘｻｲｸﾙﾄﾞﾗﾑ DR-22J</t>
  </si>
  <si>
    <t>RDR23J</t>
  </si>
  <si>
    <t>ﾘｻｲｸﾙﾄﾞﾗﾑ DR-23J</t>
  </si>
  <si>
    <t>RDR24J</t>
  </si>
  <si>
    <t>ﾘｻｲｸﾙﾄﾞﾗﾑ DR-24J</t>
  </si>
  <si>
    <t>RDR31J</t>
  </si>
  <si>
    <t>ﾘｻｲｸﾙﾄﾞﾗﾑ DR-31J</t>
  </si>
  <si>
    <t>RDR32J</t>
  </si>
  <si>
    <t>ﾘｻｲｸﾙﾄﾞﾗﾑ DR32J</t>
  </si>
  <si>
    <t>RDR41J</t>
  </si>
  <si>
    <t>ﾘｻｲｸﾙﾄﾞﾗﾑ DR-41J</t>
  </si>
  <si>
    <t>RDR502BK</t>
  </si>
  <si>
    <t>ﾘｻｲｸﾙﾄﾞﾗﾑ 502 BK</t>
  </si>
  <si>
    <t>RDR502C</t>
  </si>
  <si>
    <t>ﾘｻｲｸﾙﾄﾞﾗﾑ 502 C</t>
  </si>
  <si>
    <t>RDR502M</t>
  </si>
  <si>
    <t>ﾘｻｲｸﾙﾄﾞﾗﾑ 502 M</t>
  </si>
  <si>
    <t>RDR502Y</t>
  </si>
  <si>
    <t>ﾘｻｲｸﾙﾄﾞﾗﾑ 502 Y</t>
  </si>
  <si>
    <t>RDR51J</t>
  </si>
  <si>
    <t>ﾘｻｲｸﾙﾄﾞﾗﾑ DR-51J</t>
  </si>
  <si>
    <t>RDR60J</t>
  </si>
  <si>
    <t>ﾘｻｲｸﾙﾄﾞﾗﾑ DR-60J</t>
  </si>
  <si>
    <t>RDRM3A</t>
  </si>
  <si>
    <t>ﾘｻｲｸﾙ DR-M3A</t>
  </si>
  <si>
    <t>RDRP6000</t>
  </si>
  <si>
    <t>ﾘｻｲｸﾙﾄﾞﾗﾑ P6000</t>
  </si>
  <si>
    <t>RE30</t>
  </si>
  <si>
    <t>ﾘｻｲｸﾙﾄﾅｰ E30</t>
  </si>
  <si>
    <t>REP25</t>
  </si>
  <si>
    <t>ﾘｻｲｸﾙﾄﾅｰ EP-25</t>
  </si>
  <si>
    <t>REP26</t>
  </si>
  <si>
    <t>ﾘｻｲｸﾙﾄﾅｰ EP-26</t>
  </si>
  <si>
    <t>REP32</t>
  </si>
  <si>
    <t>ﾘｻｲｸﾙﾄﾅｰ EP-32-要在庫確認-</t>
  </si>
  <si>
    <t>REP62</t>
  </si>
  <si>
    <t>ﾘｻｲｸﾙﾄﾅｰ EP-62</t>
  </si>
  <si>
    <t>REP65</t>
  </si>
  <si>
    <t>ﾘｻｲｸﾙﾄﾅｰ EP-65(終息傾向)</t>
  </si>
  <si>
    <t>REP66</t>
  </si>
  <si>
    <t>ﾘｻｲｸﾙﾄﾅｰ EP-66</t>
  </si>
  <si>
    <t>REPA</t>
  </si>
  <si>
    <t>[終息]　ﾘｻｲｸﾙﾄﾅｰ EP-A</t>
  </si>
  <si>
    <t>REPC8</t>
  </si>
  <si>
    <t>ﾘｻｲｸﾙﾄﾅｰ EP(C)-8</t>
  </si>
  <si>
    <t>REPCM3A1</t>
  </si>
  <si>
    <t>ﾘｻｲｸﾙ EPC-M3A1</t>
  </si>
  <si>
    <t>REPCM3A2</t>
  </si>
  <si>
    <t>ﾘｻｲｸﾙ EPC-M3A2</t>
  </si>
  <si>
    <t>REPCM3B1</t>
  </si>
  <si>
    <t>ﾘｻｲｸﾙ EPC-M3B1</t>
  </si>
  <si>
    <t>REPCM3B2</t>
  </si>
  <si>
    <t>ﾘｻｲｸﾙﾄﾅｰ EPC-M3B2</t>
  </si>
  <si>
    <t>REPCM3C1</t>
  </si>
  <si>
    <t>ﾘｻｲｸﾙﾄﾅｰ EPC-M3C1</t>
  </si>
  <si>
    <t>REPCM3C2</t>
  </si>
  <si>
    <t>ﾘｻｲｸﾙﾄﾅｰ EPC-M3C2</t>
  </si>
  <si>
    <t>REPCM3C3</t>
  </si>
  <si>
    <t>ﾘｻｲｸﾙﾄﾅｰ EPC-M3C3</t>
  </si>
  <si>
    <t>REPK</t>
  </si>
  <si>
    <t>ﾘｻｲｸﾙﾄﾅｰ EP-K</t>
  </si>
  <si>
    <t>RES15ICBK94</t>
  </si>
  <si>
    <t>ﾘｻｲｸﾙｲﾝｸ ES15ICBK94</t>
  </si>
  <si>
    <t>RES15ICC94</t>
  </si>
  <si>
    <t>ﾘｻｲｸﾙｲﾝｸ ES15ICC94</t>
  </si>
  <si>
    <t>RES15ICM94</t>
  </si>
  <si>
    <t>ﾘｻｲｸﾙｲﾝｸ ES15ICM94</t>
  </si>
  <si>
    <t>RES15ICY94</t>
  </si>
  <si>
    <t>ﾘｻｲｸﾙｲﾝｸ ES15ICY94</t>
  </si>
  <si>
    <t>RFX12</t>
  </si>
  <si>
    <t>ﾘｻｲｸﾙﾄﾅｰ FX-12</t>
  </si>
  <si>
    <t>RFX13</t>
  </si>
  <si>
    <t>ﾘｻｲｸﾙﾄﾅｰ FX-13</t>
  </si>
  <si>
    <t>RFX3</t>
  </si>
  <si>
    <t>ﾘｻｲｸﾙﾄﾅｰ FX-3</t>
  </si>
  <si>
    <t>RFX7</t>
  </si>
  <si>
    <t>ﾘｻｲｸﾙﾄﾅｰ　FX-7</t>
  </si>
  <si>
    <t>RFX9</t>
  </si>
  <si>
    <t>ﾘｻｲｸﾙﾄﾅｰ FX-9</t>
  </si>
  <si>
    <t>RFXV</t>
  </si>
  <si>
    <t>ﾘｻｲｸﾙﾄﾅｰ　FX-V</t>
  </si>
  <si>
    <t>RGC31C</t>
  </si>
  <si>
    <t>ﾘｻｲｸﾙｲﾝｸ GC31C</t>
  </si>
  <si>
    <t>RGC31CH</t>
  </si>
  <si>
    <t>ﾘｻｲｸﾙｲﾝｸ GC31CH</t>
  </si>
  <si>
    <t>RGC31K</t>
  </si>
  <si>
    <t>ﾘｻｲｸﾙｲﾝｸ GC31K</t>
  </si>
  <si>
    <t>RGC31KH</t>
  </si>
  <si>
    <t>ﾘｻｲｸﾙｲﾝｸ GC31KH</t>
  </si>
  <si>
    <t>RGC31M</t>
  </si>
  <si>
    <t>ﾘｻｲｸﾙｲﾝｸ GC31M</t>
  </si>
  <si>
    <t>RGC31MH</t>
  </si>
  <si>
    <t>ﾘｻｲｸﾙｲﾝｸ GC31MH</t>
  </si>
  <si>
    <t>RGC31Y</t>
  </si>
  <si>
    <t>ﾘｻｲｸﾙｲﾝｸ GC31Y</t>
  </si>
  <si>
    <t>RGC31YH</t>
  </si>
  <si>
    <t>ﾘｻｲｸﾙｲﾝｸ GC31YH</t>
  </si>
  <si>
    <t>RGC41C</t>
  </si>
  <si>
    <t>ﾘｻｲｸﾙｲﾝｸ GC41C</t>
  </si>
  <si>
    <t>RGC41CH</t>
  </si>
  <si>
    <t>ﾘｻｲｸﾙｲﾝｸ GC41CH</t>
  </si>
  <si>
    <t>RGC41K</t>
  </si>
  <si>
    <t>ﾘｻｲｸﾙｲﾝｸ GC41K</t>
  </si>
  <si>
    <t>RGC41KH</t>
  </si>
  <si>
    <t>ﾘｻｲｸﾙｲﾝｸ GC41KH</t>
  </si>
  <si>
    <t>RGC41M</t>
  </si>
  <si>
    <t>ﾘｻｲｸﾙｲﾝｸ GC41M</t>
  </si>
  <si>
    <t>RGC41MH</t>
  </si>
  <si>
    <t>ﾘｻｲｸﾙｲﾝｸ GC41MH</t>
  </si>
  <si>
    <t>RGC41Y</t>
  </si>
  <si>
    <t>ﾘｻｲｸﾙｲﾝｸ GC41Y</t>
  </si>
  <si>
    <t>RGC41YH</t>
  </si>
  <si>
    <t>ﾘｻｲｸﾙｲﾝｸ GC41YH</t>
  </si>
  <si>
    <t>RGE5-TSC-N</t>
  </si>
  <si>
    <t>RGE5-TSM-N</t>
  </si>
  <si>
    <t>RGE5TSKN</t>
  </si>
  <si>
    <t>RGE5TSKZ</t>
  </si>
  <si>
    <t>ﾘｻｲｸﾙﾄﾅｰ GE5-TSK-Z ﾌﾞﾗｯｸ</t>
  </si>
  <si>
    <t>RIB02CA</t>
  </si>
  <si>
    <t>ﾘｻｲｸﾙｲﾝｸ IB02CA</t>
  </si>
  <si>
    <t>RIB02CB</t>
  </si>
  <si>
    <t>ﾘｻｲｸﾙｲﾝｸ IB02CB</t>
  </si>
  <si>
    <t>RIB02KA</t>
  </si>
  <si>
    <t>ﾘｻｲｸﾙｲﾝｸ IB02KA</t>
  </si>
  <si>
    <t>RIB02KB</t>
  </si>
  <si>
    <t>ﾘｻｲｸﾙｲﾝｸ IB02KB</t>
  </si>
  <si>
    <t>RIB02MA</t>
  </si>
  <si>
    <t>ﾘｻｲｸﾙｲﾝｸ IB02MA</t>
  </si>
  <si>
    <t>RIB02MB</t>
  </si>
  <si>
    <t>ﾘｻｲｸﾙｲﾝｸ IB02MB</t>
  </si>
  <si>
    <t>RIB02YA</t>
  </si>
  <si>
    <t>ﾘｻｲｸﾙｲﾝｸ IB02YA</t>
  </si>
  <si>
    <t>RIB02YB</t>
  </si>
  <si>
    <t>ﾘｻｲｸﾙｲﾝｸ IB02YB</t>
  </si>
  <si>
    <t>RIB06CA</t>
  </si>
  <si>
    <t>ﾘｻｲｸﾙｲﾝｸ  IB06CA ｼｱﾝ</t>
  </si>
  <si>
    <t>RIB06CL5A</t>
  </si>
  <si>
    <t>ﾘｻｲｸﾙｲﾝｸ  IB06CL5A 4色(5本)ﾊﾟｯｸ</t>
  </si>
  <si>
    <t>RIB06KA</t>
  </si>
  <si>
    <t>ﾘｻｲｸﾙｲﾝｸ  IB06KA ﾌﾞﾗｯｸ</t>
  </si>
  <si>
    <t>RIB06MA</t>
  </si>
  <si>
    <t>ﾘｻｲｸﾙｲﾝｸ  IB06MA ﾏｾﾞﾝﾀ</t>
  </si>
  <si>
    <t>RIB06YA</t>
  </si>
  <si>
    <t>ﾘｻｲｸﾙｲﾝｸ  IB06YA ｲｴﾛｰ</t>
  </si>
  <si>
    <t>RIB07CB</t>
  </si>
  <si>
    <t>ﾘｻｲｸﾙｲﾝｸ IB07CB</t>
  </si>
  <si>
    <t>RIB07CL4B</t>
  </si>
  <si>
    <t>ﾘｻｲｸﾙｲﾝｸ IB07CL4B</t>
  </si>
  <si>
    <t>RIB07KB</t>
  </si>
  <si>
    <t>ﾘｻｲｸﾙｲﾝｸ IB07KB</t>
  </si>
  <si>
    <t>RIB07MB</t>
  </si>
  <si>
    <t>ﾘｻｲｸﾙｲﾝｸ IB07MB</t>
  </si>
  <si>
    <t>RIB07YB</t>
  </si>
  <si>
    <t>ﾘｻｲｸﾙｲﾝｸ IB07YB</t>
  </si>
  <si>
    <t>RIC6CL80L</t>
  </si>
  <si>
    <t>ﾘｻｲｸﾙｲﾝｸ ICL6CL80L 6色ﾊﾟｯｸ</t>
  </si>
  <si>
    <t>RICBK57</t>
  </si>
  <si>
    <t>ﾘｻｲｸﾙｲﾝｸ ICBK57</t>
  </si>
  <si>
    <t>RICBK58</t>
  </si>
  <si>
    <t>ﾘｻｲｸﾙｲﾝｸ ICBK58</t>
  </si>
  <si>
    <t>RICBK59</t>
  </si>
  <si>
    <t>ﾘｻｲｸﾙｲﾝｸ ICBK59</t>
  </si>
  <si>
    <t>RICBK61</t>
  </si>
  <si>
    <t>ﾘｻｲｸﾙｲﾝｸ ICBK61</t>
  </si>
  <si>
    <t>RICBK69</t>
  </si>
  <si>
    <t>ﾘｻｲｸﾙｲﾝｸ ICBK69 ﾌﾞﾗｯｸ</t>
  </si>
  <si>
    <t>RICBK70L</t>
  </si>
  <si>
    <t>ﾘｻｲｸﾙｲﾝｸ ICBK70L</t>
  </si>
  <si>
    <t>RICBK74</t>
  </si>
  <si>
    <t>ﾘｻｲｸﾙｲﾝｸ ICBK74</t>
  </si>
  <si>
    <t>RICBK76</t>
  </si>
  <si>
    <t>ﾘｻｲｸﾙｲﾝｸ ICBK76</t>
  </si>
  <si>
    <t>RICBK80L</t>
  </si>
  <si>
    <t>ﾘｻｲｸﾙｲﾝｸ ICBK80L</t>
  </si>
  <si>
    <t>RICBK84</t>
  </si>
  <si>
    <t>互換ｲﾝｸ ICBK84</t>
  </si>
  <si>
    <t>RICBK93L</t>
  </si>
  <si>
    <t>ﾘｻｲｸﾙｲﾝｸ ICBK93L</t>
  </si>
  <si>
    <t>RICC40A</t>
  </si>
  <si>
    <t>ﾘｻｲｸﾙｲﾝｸ ICC40A</t>
  </si>
  <si>
    <t>RICC41A</t>
  </si>
  <si>
    <t>ﾘｻｲｸﾙｲﾝｸ ICC41A</t>
  </si>
  <si>
    <t>RICC57</t>
  </si>
  <si>
    <t>ﾘｻｲｸﾙｲﾝｸ ICC57</t>
  </si>
  <si>
    <t>RICC58</t>
  </si>
  <si>
    <t>ﾘｻｲｸﾙｲﾝｸ ICC58</t>
  </si>
  <si>
    <t>RICC59</t>
  </si>
  <si>
    <t>ﾘｻｲｸﾙｲﾝｸ ICC59</t>
  </si>
  <si>
    <t>RICC62</t>
  </si>
  <si>
    <t>ﾘｻｲｸﾙｲﾝｸ ICC62</t>
  </si>
  <si>
    <t>RICC69</t>
  </si>
  <si>
    <t>ﾘｻｲｸﾙｲﾝｸ ICC69 ｼｱﾝ</t>
  </si>
  <si>
    <t>RICC70L</t>
  </si>
  <si>
    <t>ﾘｻｲｸﾙｲﾝｸ ICC70L</t>
  </si>
  <si>
    <t>RICC74</t>
  </si>
  <si>
    <t>ﾘｻｲｸﾙｲﾝｸ ICC74</t>
  </si>
  <si>
    <t>RICC76</t>
  </si>
  <si>
    <t>ﾘｻｲｸﾙｲﾝｸ ICC76</t>
  </si>
  <si>
    <t>RICC80L</t>
  </si>
  <si>
    <t>ﾘｻｲｸﾙｲﾝｸ ICC80L</t>
  </si>
  <si>
    <t>RICC84</t>
  </si>
  <si>
    <t>互換ｲﾝｸ ICC84</t>
  </si>
  <si>
    <t>RICC93L</t>
  </si>
  <si>
    <t>ﾘｻｲｸﾙｲﾝｸ ICC93L</t>
  </si>
  <si>
    <t>RICGY57</t>
  </si>
  <si>
    <t>ﾘｻｲｸﾙｲﾝｸ ICGY57</t>
  </si>
  <si>
    <t>RICGY58</t>
  </si>
  <si>
    <t>ﾘｻｲｸﾙｲﾝｸ ICGY58</t>
  </si>
  <si>
    <t>RICLC57</t>
  </si>
  <si>
    <t>ﾘｻｲｸﾙｲﾝｸ ICLC57</t>
  </si>
  <si>
    <t>RICLC58</t>
  </si>
  <si>
    <t>ﾘｻｲｸﾙｲﾝｸ ICLC58</t>
  </si>
  <si>
    <t>RICLC70L</t>
  </si>
  <si>
    <t>ﾘｻｲｸﾙｲﾝｸ ICLC70L</t>
  </si>
  <si>
    <t>RICLC80L</t>
  </si>
  <si>
    <t>ﾘｻｲｸﾙｲﾝｸ ICLC80L</t>
  </si>
  <si>
    <t>RICLGY57</t>
  </si>
  <si>
    <t>ﾘｻｲｸﾙｲﾝｸ ICLGY57</t>
  </si>
  <si>
    <t>RICLGY58</t>
  </si>
  <si>
    <t>ﾘｻｲｸﾙｲﾝｸ ICLGY58</t>
  </si>
  <si>
    <t>RICLM70L</t>
  </si>
  <si>
    <t>ﾘｻｲｸﾙｲﾝｸ ICLM70L</t>
  </si>
  <si>
    <t>RICLM80L</t>
  </si>
  <si>
    <t>ﾘｻｲｸﾙｲﾝｸ ICLM80L</t>
  </si>
  <si>
    <t>RICM40A</t>
  </si>
  <si>
    <t>ﾘｻｲｸﾙｲﾝｸ ICM40A</t>
  </si>
  <si>
    <t>RICM41A</t>
  </si>
  <si>
    <t>ﾘｻｲｸﾙｲﾝｸ ICM41A</t>
  </si>
  <si>
    <t>RICM59</t>
  </si>
  <si>
    <t>ﾘｻｲｸﾙｲﾝｸ ICM59</t>
  </si>
  <si>
    <t>RICM62</t>
  </si>
  <si>
    <t>ﾘｻｲｸﾙｲﾝｸ ICM62</t>
  </si>
  <si>
    <t>RICM69</t>
  </si>
  <si>
    <t>ﾘｻｲｸﾙｲﾝｸ ICM69 ﾏｾﾞﾝﾀ</t>
  </si>
  <si>
    <t>RICM70L</t>
  </si>
  <si>
    <t>ﾘｻｲｸﾙｲﾝｸ ICM70L</t>
  </si>
  <si>
    <t>RICM74</t>
  </si>
  <si>
    <t>ﾘｻｲｸﾙｲﾝｸ ICM74</t>
  </si>
  <si>
    <t>RICM76</t>
  </si>
  <si>
    <t>ﾘｻｲｸﾙｲﾝｸ ICM76</t>
  </si>
  <si>
    <t>RICM80L</t>
  </si>
  <si>
    <t>ﾘｻｲｸﾙｲﾝｸ ICM80L</t>
  </si>
  <si>
    <t>RICM84</t>
  </si>
  <si>
    <t>RICM93L</t>
  </si>
  <si>
    <t>ﾘｻｲｸﾙｲﾝｸ ICM93L</t>
  </si>
  <si>
    <t>RICMB40A</t>
  </si>
  <si>
    <t>ﾘｻｲｸﾙｲﾝｸ ICMB40A</t>
  </si>
  <si>
    <t>RICMB41A</t>
  </si>
  <si>
    <t>ﾘｻｲｸﾙｲﾝｸ ICMB41A</t>
  </si>
  <si>
    <t>RICMB57</t>
  </si>
  <si>
    <t>ﾘｻｲｸﾙｲﾝｸ ICMB57</t>
  </si>
  <si>
    <t>RICMB58</t>
  </si>
  <si>
    <t>ﾘｻｲｸﾙｲﾝｸ ICMB58</t>
  </si>
  <si>
    <t>RICVLM57</t>
  </si>
  <si>
    <t>ﾘｻｲｸﾙｲﾝｸ ICVLM57</t>
  </si>
  <si>
    <t>RICVLM58</t>
  </si>
  <si>
    <t>ﾘｻｲｸﾙｲﾝｸ ICVLM58</t>
  </si>
  <si>
    <t>RICVM57</t>
  </si>
  <si>
    <t>ﾘｻｲｸﾙｲﾝｸ ICVM57</t>
  </si>
  <si>
    <t>RICVM58</t>
  </si>
  <si>
    <t>ﾘｻｲｸﾙｲﾝｸ ICVM58</t>
  </si>
  <si>
    <t>RICY40A</t>
  </si>
  <si>
    <t>ﾘｻｲｸﾙｲﾝｸ ICY40A</t>
  </si>
  <si>
    <t>RICY41A</t>
  </si>
  <si>
    <t>ﾘｻｲｸﾙｲﾝｸ ICY41A</t>
  </si>
  <si>
    <t>RICY57</t>
  </si>
  <si>
    <t>ﾘｻｲｸﾙｲﾝｸ ICY57</t>
  </si>
  <si>
    <t>RICY58</t>
  </si>
  <si>
    <t>ﾘｻｲｸﾙｲﾝｸ ICY58</t>
  </si>
  <si>
    <t>RICY59</t>
  </si>
  <si>
    <t>ﾘｻｲｸﾙｲﾝｸ ICY59</t>
  </si>
  <si>
    <t>RICY62</t>
  </si>
  <si>
    <t>ﾘｻｲｸﾙｲﾝｸ ICY62</t>
  </si>
  <si>
    <t>RICY69</t>
  </si>
  <si>
    <t>ﾘｻｲｸﾙｲﾝｸ ICY69 ｲｴﾛｰ</t>
  </si>
  <si>
    <t>RICY70L</t>
  </si>
  <si>
    <t>ﾘｻｲｸﾙｲﾝｸ ICY70L</t>
  </si>
  <si>
    <t>RICY74</t>
  </si>
  <si>
    <t>ﾘｻｲｸﾙｲﾝｸ ICY74</t>
  </si>
  <si>
    <t>RICY76</t>
  </si>
  <si>
    <t>ﾘｻｲｸﾙｲﾝｸ ICY76</t>
  </si>
  <si>
    <t>RICY80L</t>
  </si>
  <si>
    <t>ﾘｻｲｸﾙｲﾝｸ ICY80L</t>
  </si>
  <si>
    <t>RICY84</t>
  </si>
  <si>
    <t>互換ｲﾝｸ ICY84</t>
  </si>
  <si>
    <t>RICY93L</t>
  </si>
  <si>
    <t>ﾘｻｲｸﾙｲﾝｸ ICY93L</t>
  </si>
  <si>
    <t>RID-C3EC</t>
  </si>
  <si>
    <t>ﾘｻｲｸﾙ ID-C3EC</t>
  </si>
  <si>
    <t>RID-C3EK</t>
  </si>
  <si>
    <t>ﾘｻｲｸﾙ ID-C3EK</t>
  </si>
  <si>
    <t>RID-C3EM</t>
  </si>
  <si>
    <t>ﾘｻｲｸﾙ ID-C3EM</t>
  </si>
  <si>
    <t>RID-C3EY</t>
  </si>
  <si>
    <t>ﾘｻｲｸﾙ ID-C3EY</t>
  </si>
  <si>
    <t>RID-C3FC</t>
  </si>
  <si>
    <t>ﾘｻｲｸﾙ ID-C3FC</t>
  </si>
  <si>
    <t>RID-C3FK</t>
  </si>
  <si>
    <t>ﾘｻｲｸﾙ ID-C3FK</t>
  </si>
  <si>
    <t>RID-C3FM</t>
  </si>
  <si>
    <t>ﾘｻｲｸﾙ ID-C3FM</t>
  </si>
  <si>
    <t>RID-C3FY</t>
  </si>
  <si>
    <t>ﾘｻｲｸﾙ ID-C3FY</t>
  </si>
  <si>
    <t>RID-C3KC</t>
  </si>
  <si>
    <t>ﾘｻｲｸﾙﾄﾞﾗﾑ ID-C3KC</t>
  </si>
  <si>
    <t>RID-C3KK</t>
  </si>
  <si>
    <t>ﾘｻｲｸﾙﾄﾞﾗﾑ ID-C3KK</t>
  </si>
  <si>
    <t>RID-C3KM</t>
  </si>
  <si>
    <t>ﾘｻｲｸﾙﾄﾞﾗﾑ ID-C3KM</t>
  </si>
  <si>
    <t>RID-C3KY</t>
  </si>
  <si>
    <t>ﾘｻｲｸﾙﾄﾞﾗﾑ ID-C3KY</t>
  </si>
  <si>
    <t>RIDC3LC</t>
  </si>
  <si>
    <t>ﾘｻｲｸﾙﾄﾞﾗﾑ ID-C3LC</t>
  </si>
  <si>
    <t>RIDC3LK</t>
  </si>
  <si>
    <t>ﾘｻｲｸﾙﾄﾞﾗﾑ ID-C3LK</t>
  </si>
  <si>
    <t>RIDC3LM</t>
  </si>
  <si>
    <t>ﾘｻｲｸﾙﾄﾞﾗﾑ ID-C3LM</t>
  </si>
  <si>
    <t>RIDC3LY</t>
  </si>
  <si>
    <t>ﾘｻｲｸﾙﾄﾞﾗﾑ ID-C3LY</t>
  </si>
  <si>
    <t>RIDC4BC</t>
  </si>
  <si>
    <t>ﾘｻｲｸﾙ ID-C4BC</t>
  </si>
  <si>
    <t>RIDC4BK</t>
  </si>
  <si>
    <t>ﾘｻｲｸﾙ ID-C4BK</t>
  </si>
  <si>
    <t>RIDC4BM</t>
  </si>
  <si>
    <t>ﾘｻｲｸﾙ ID-C4BM</t>
  </si>
  <si>
    <t>RIDC4BY</t>
  </si>
  <si>
    <t>ﾘｻｲｸﾙ ID-C4BY</t>
  </si>
  <si>
    <t>RIDC4DC</t>
  </si>
  <si>
    <t>ﾘｻｲｸﾙ ID-C4DC</t>
  </si>
  <si>
    <t>RIDC4DM</t>
  </si>
  <si>
    <t>ﾘｻｲｸﾙ ID-C4DM</t>
  </si>
  <si>
    <t>RIDC4DY</t>
  </si>
  <si>
    <t>ﾘｻｲｸﾙ ID-C4DY</t>
  </si>
  <si>
    <t>RIDC4HC</t>
  </si>
  <si>
    <t>ﾘｻｲｸﾙﾄﾅｰ ID-C4HC</t>
  </si>
  <si>
    <t>RIDC4HK</t>
  </si>
  <si>
    <t>ﾘｻｲｸﾙﾄﾅｰ ID-C4HK</t>
  </si>
  <si>
    <t>RIDC4HM</t>
  </si>
  <si>
    <t>ﾘｻｲｸﾙﾄﾅｰ ID-C4HM</t>
  </si>
  <si>
    <t>RIDC4HY</t>
  </si>
  <si>
    <t>ﾘｻｲｸﾙﾄﾅｰ ID-C4HY</t>
  </si>
  <si>
    <t>RIDC4JC</t>
  </si>
  <si>
    <t>ﾘｻｲｸﾙ ID-C4JC</t>
  </si>
  <si>
    <t>RIDC4JK</t>
  </si>
  <si>
    <t>ﾘｻｲｸﾙ ID-C4JK</t>
  </si>
  <si>
    <t>RIDC4JM</t>
  </si>
  <si>
    <t>ﾘｻｲｸﾙ ID-C4JM</t>
  </si>
  <si>
    <t>RIDC4JY</t>
  </si>
  <si>
    <t>ﾘｻｲｸﾙ ID-C4JY</t>
  </si>
  <si>
    <t>RIDM4E</t>
  </si>
  <si>
    <t>ﾘｻｲｸﾙﾄﾞﾗﾑ ID-M4E</t>
  </si>
  <si>
    <t>RIMC2010C</t>
  </si>
  <si>
    <t>ﾘｻｲｸﾙﾄﾅｰ IM C2010C</t>
  </si>
  <si>
    <t>RIMC2010K</t>
  </si>
  <si>
    <t>ﾘｻｲｸﾙﾄﾅｰ IM C2010K</t>
  </si>
  <si>
    <t>RIMC2010M</t>
  </si>
  <si>
    <t>ﾘｻｲｸﾙﾄﾅｰ IM C2010M</t>
  </si>
  <si>
    <t>RIMC2010Y</t>
  </si>
  <si>
    <t>ﾘｻｲｸﾙﾄﾅｰ IM C2010Y</t>
  </si>
  <si>
    <t>RIP03KB</t>
  </si>
  <si>
    <t>ﾘｻｲｸﾙｲﾝｸ IP03KB</t>
  </si>
  <si>
    <t>RIPC8500HBK</t>
  </si>
  <si>
    <t>ﾘｻｲｸﾙﾄﾅｰ IP C8500H BK</t>
  </si>
  <si>
    <t>RIPC8500HC</t>
  </si>
  <si>
    <t>ﾘｻｲｸﾙﾄﾅｰ IP C8500H C</t>
  </si>
  <si>
    <t>RIPC8500HM</t>
  </si>
  <si>
    <t>ﾘｻｲｸﾙﾄﾅｰ IP C8500H M</t>
  </si>
  <si>
    <t>RIPC8500HY</t>
  </si>
  <si>
    <t>ﾘｻｲｸﾙﾄﾅｰ IP C8500H Y</t>
  </si>
  <si>
    <t>RKAM6CLL</t>
  </si>
  <si>
    <t>ﾘｻｲｸﾙｲﾝｸ KAM-6CL-L 6色ﾊﾟｯｸL</t>
  </si>
  <si>
    <t>RKAMBKL</t>
  </si>
  <si>
    <t>ﾘｻｲｸﾙｲﾝｸ KAM-BK-L ﾌﾞﾗｯｸL</t>
  </si>
  <si>
    <t>RKAMCL</t>
  </si>
  <si>
    <t>ﾘｻｲｸﾙｲﾝｸ KAM-C-L ｼｱﾝL</t>
  </si>
  <si>
    <t>RKAMLCL</t>
  </si>
  <si>
    <t>ﾘｻｲｸﾙｲﾝｸ KAM-LC-L ﾗｲﾄｼｱﾝL</t>
  </si>
  <si>
    <t>RKAMLML</t>
  </si>
  <si>
    <t>ﾘｻｲｸﾙｲﾝｸ KAM-LM-L ﾗｲﾄﾏｾﾞﾝﾀL</t>
  </si>
  <si>
    <t>RKAMML</t>
  </si>
  <si>
    <t>ﾘｻｲｸﾙｲﾝｸ KAM-M-L ﾏｾﾞﾝﾀL</t>
  </si>
  <si>
    <t>RKAMYL</t>
  </si>
  <si>
    <t>ﾘｻｲｸﾙｲﾝｸ KAM-Y-L ｲｴﾛｰL</t>
  </si>
  <si>
    <t>RL340</t>
  </si>
  <si>
    <t>ﾘｻｲｸﾙﾄﾅｰ NTT L-340用　3,600枚仕様</t>
  </si>
  <si>
    <t>RL340H</t>
  </si>
  <si>
    <t>ﾘｻｲｸﾙﾄﾅｰ NTT L-340用　6,000枚仕様</t>
  </si>
  <si>
    <t>RL400EP2</t>
  </si>
  <si>
    <t>ﾘｻｲｸﾙﾄﾅｰ EP-2 (L400)</t>
  </si>
  <si>
    <t>RLB107</t>
  </si>
  <si>
    <t>ﾘｻｲｸﾙﾄﾅｰ LB107</t>
  </si>
  <si>
    <t>RLB108B</t>
  </si>
  <si>
    <t>ﾘｻｲｸﾙﾄﾅｰ LB108B</t>
  </si>
  <si>
    <t>RLB108D</t>
  </si>
  <si>
    <t>ﾘｻｲｸﾙﾄﾞﾗﾑ LB108</t>
  </si>
  <si>
    <t>RLB109A</t>
  </si>
  <si>
    <t>ﾘｻｲｸﾙ ﾌﾟﾛｾｽｶｰﾄﾘｯｼﾞLB109A</t>
  </si>
  <si>
    <t>RLB109B</t>
  </si>
  <si>
    <t>ﾘｻｲｸﾙ ﾌﾟﾛｾｽｶｰﾄﾘｯｼﾞLB109B</t>
  </si>
  <si>
    <t>RLB110A</t>
  </si>
  <si>
    <t>ﾘｻｲｸﾙﾄﾅｰ LB110A</t>
  </si>
  <si>
    <t>RLB110B</t>
  </si>
  <si>
    <t>ﾘｻｲｸﾙﾄﾅｰ LB110B</t>
  </si>
  <si>
    <t>RLB110D</t>
  </si>
  <si>
    <t>ﾘｻｲｸﾙ ﾄﾞﾗﾑｶｰﾄﾘｯｼﾞLB110</t>
  </si>
  <si>
    <t>RLB111</t>
  </si>
  <si>
    <t>ﾘｻｲｸﾙﾄﾞﾗﾑ LB111</t>
  </si>
  <si>
    <t>RLB111B</t>
  </si>
  <si>
    <t>ﾘｻｲｸﾙﾄﾅｰ LB111B</t>
  </si>
  <si>
    <t>RLB112A</t>
  </si>
  <si>
    <t>ﾘｻｲｸﾙﾄﾅｰ LB112A</t>
  </si>
  <si>
    <t>RLB112B</t>
  </si>
  <si>
    <t>ﾘｻｲｸﾙﾄﾅｰ LB112B</t>
  </si>
  <si>
    <t>RLB112D</t>
  </si>
  <si>
    <t>ﾘｻｲｸﾙﾄﾞﾗﾑ LB112</t>
  </si>
  <si>
    <t>RLB312A</t>
  </si>
  <si>
    <t>ﾘｻｲｸﾙﾄﾅｰ LB312A</t>
  </si>
  <si>
    <t>RLB313</t>
  </si>
  <si>
    <t>RLB315A</t>
  </si>
  <si>
    <t>ﾘｻｲｸﾙﾄﾅｰ LB315A</t>
  </si>
  <si>
    <t>RLB315B</t>
  </si>
  <si>
    <t>ﾘｻｲｸﾙﾄﾅｰ LB315B</t>
  </si>
  <si>
    <t>RLB316</t>
  </si>
  <si>
    <t>ﾘｻｲｸﾙﾄﾅｰ LB316</t>
  </si>
  <si>
    <t>RLB316D</t>
  </si>
  <si>
    <t>ﾘｻｲｸﾙﾄﾞﾗﾑ LB316</t>
  </si>
  <si>
    <t>RLB317A</t>
  </si>
  <si>
    <t>ﾘｻｲｸﾙﾄﾅｰ LB317A</t>
  </si>
  <si>
    <t>RLB317B</t>
  </si>
  <si>
    <t>ﾘｻｲｸﾙﾄﾅｰ LB317B</t>
  </si>
  <si>
    <t>RLB318A</t>
  </si>
  <si>
    <t>ﾘｻｲｸﾙﾄﾅｰ LB318A</t>
  </si>
  <si>
    <t>RLB318B</t>
  </si>
  <si>
    <t>ﾘｻｲｸﾙﾄﾅｰ LB318B</t>
  </si>
  <si>
    <t>RLB319A</t>
  </si>
  <si>
    <t>ﾘｻｲｸﾙﾄﾅｰ LB319A</t>
  </si>
  <si>
    <t>RLB319B</t>
  </si>
  <si>
    <t>ﾘｻｲｸﾙﾄﾅｰ LB319B</t>
  </si>
  <si>
    <t>RLB320A</t>
  </si>
  <si>
    <t>ﾘｻｲｸﾙﾄﾅｰ LB320A</t>
  </si>
  <si>
    <t>RLB320B</t>
  </si>
  <si>
    <t>ﾘｻｲｸﾙﾄﾅｰ LB320B</t>
  </si>
  <si>
    <t>RLB320D</t>
  </si>
  <si>
    <t>ﾘｻｲｸﾙﾄﾞﾗﾑ LB320</t>
  </si>
  <si>
    <t>RLB320M</t>
  </si>
  <si>
    <t>ﾘｻｲｸﾙﾄﾅｰ LB320M</t>
  </si>
  <si>
    <t>RLB321A</t>
  </si>
  <si>
    <t>ﾘｻｲｸﾙﾄﾅｰ LB321A</t>
  </si>
  <si>
    <t>RLB321B</t>
  </si>
  <si>
    <t>ﾘｻｲｸﾙﾄﾅｰ LB321B</t>
  </si>
  <si>
    <t>RLB321M</t>
  </si>
  <si>
    <t>ﾘｻｲｸﾙﾄﾅｰ LB321M</t>
  </si>
  <si>
    <t>RLB322</t>
  </si>
  <si>
    <t>ﾘｻｲｸﾙﾄﾞﾗﾑ LB322</t>
  </si>
  <si>
    <t>RLB322B</t>
  </si>
  <si>
    <t>ﾘｻｲｸﾙﾄﾅｰ LB322B</t>
  </si>
  <si>
    <t>RLB323</t>
  </si>
  <si>
    <t>ﾘｻｲｸﾙﾄﾅｰ LB323</t>
  </si>
  <si>
    <t>RLB501</t>
  </si>
  <si>
    <t>ﾘｻｲｸﾙ ﾌﾟﾘﾝﾄﾕﾆｯﾄ LB501</t>
  </si>
  <si>
    <t>RLB502</t>
  </si>
  <si>
    <t>ﾘｻｲｸﾙﾄﾅｰ LB502</t>
  </si>
  <si>
    <t>RLC1114PK</t>
  </si>
  <si>
    <t>ﾘｻｲｸﾙｲﾝｸ LC111-4PK</t>
  </si>
  <si>
    <t>RLC111BK</t>
  </si>
  <si>
    <t>ﾘｻｲｸﾙｲﾝｸ LC111 BK</t>
  </si>
  <si>
    <t>RLC111C</t>
  </si>
  <si>
    <t>ﾘｻｲｸﾙｲﾝｸ LC111 C</t>
  </si>
  <si>
    <t>RLC111M</t>
  </si>
  <si>
    <t>ﾘｻｲｸﾙｲﾝｸ LC111 M</t>
  </si>
  <si>
    <t>RLC111Y</t>
  </si>
  <si>
    <t>ﾘｻｲｸﾙｲﾝｸ LC111 Y</t>
  </si>
  <si>
    <t>RLPA3ETC10</t>
  </si>
  <si>
    <t>ﾘｻｲｸﾙﾄﾅｰ LPA3ETC10</t>
  </si>
  <si>
    <t>RLPA3ETC12</t>
  </si>
  <si>
    <t>RLPA3ETC14</t>
  </si>
  <si>
    <t>ﾘｻｲｸﾙﾄﾅｰ LPA3ETC14</t>
  </si>
  <si>
    <t>RLPA3ETC15</t>
  </si>
  <si>
    <t>ﾘｻｲｸﾙﾄﾅｰ LPA3ETC15</t>
  </si>
  <si>
    <t>RLPA3ETC16</t>
  </si>
  <si>
    <t>ﾘｻｲｸﾙﾄﾅｰLPA3ETC16</t>
  </si>
  <si>
    <t>RLPA3ETC17</t>
  </si>
  <si>
    <t>ﾘｻｲｸﾙﾄﾅｰLPA3ETC17</t>
  </si>
  <si>
    <t>RLPA3ETC9</t>
  </si>
  <si>
    <t>ﾘｻｲｸﾙﾄﾅｰ LPA3ETC9</t>
  </si>
  <si>
    <t>RLPA3T14C</t>
  </si>
  <si>
    <t>RLPA3T14K</t>
  </si>
  <si>
    <t>RLPA3T14M</t>
  </si>
  <si>
    <t>RLPA3T14Y</t>
  </si>
  <si>
    <t>RLPA4ETC19</t>
  </si>
  <si>
    <t>ﾘｻｲｸﾙﾄﾅｰLPA4ETC19</t>
  </si>
  <si>
    <t>RLPA4ETC7</t>
  </si>
  <si>
    <t>ﾘｻｲｸﾙﾄﾅｰ LPA4ETC7</t>
  </si>
  <si>
    <t>RLPA4ETC8</t>
  </si>
  <si>
    <t>ﾘｻｲｸﾙﾄﾅｰ LPA4ETC8</t>
  </si>
  <si>
    <t>RLPA4KUT4</t>
  </si>
  <si>
    <t>ﾘｻｲｸﾙﾄﾞﾗﾑ LPA4KUT4</t>
  </si>
  <si>
    <t>RLPB3T20</t>
  </si>
  <si>
    <t>ﾘｻｲｸﾙﾄﾅｰ LPB3T20</t>
  </si>
  <si>
    <t>RLPB3T21</t>
  </si>
  <si>
    <t>ﾘｻｲｸﾙﾄﾅｰ LPB3T21</t>
  </si>
  <si>
    <t>RLPB3T22</t>
  </si>
  <si>
    <t>ﾘｻｲｸﾙﾄﾅｰ LPB3T22</t>
  </si>
  <si>
    <t>RLPB3T23</t>
  </si>
  <si>
    <t>ﾘｻｲｸﾙﾄﾅｰ LPB3T23</t>
  </si>
  <si>
    <t>RLPB3T24</t>
  </si>
  <si>
    <t>ﾘｻｲｸﾙﾄﾅｰ LPB3T24</t>
  </si>
  <si>
    <t>RLPB3T25</t>
  </si>
  <si>
    <t>ﾘｻｲｸﾙﾄﾅｰ LPB3T25</t>
  </si>
  <si>
    <t>RLPB3T26</t>
  </si>
  <si>
    <t>ﾘｻｲｸﾙﾄﾅｰ LPB3T26</t>
  </si>
  <si>
    <t>RLPB3T27</t>
  </si>
  <si>
    <t>ﾘｻｲｸﾙﾄﾅｰ LPB3T27</t>
  </si>
  <si>
    <t>RLPB3T28</t>
  </si>
  <si>
    <t>ﾘｻｲｸﾙﾄﾅｰ LPB3T28</t>
  </si>
  <si>
    <t>RLPB3T29</t>
  </si>
  <si>
    <t>ﾘｻｲｸﾙﾄﾅｰ LPB3T29</t>
  </si>
  <si>
    <t>RLPB3T30</t>
  </si>
  <si>
    <t>ﾘｻｲｸﾙﾄﾅｰ LPB3T30</t>
  </si>
  <si>
    <t>RLPB3T31</t>
  </si>
  <si>
    <t>ﾘｻｲｸﾙﾄﾅｰ LPB3T31</t>
  </si>
  <si>
    <t>RLPB3T32</t>
  </si>
  <si>
    <t>ﾘｻｲｸﾙﾄﾅｰ LPB3T32</t>
  </si>
  <si>
    <t>RLPB3T33</t>
  </si>
  <si>
    <t>ﾘｻｲｸﾙﾄﾅｰ LPB3T33</t>
  </si>
  <si>
    <t>RLPB3T34</t>
  </si>
  <si>
    <t>ﾘｻｲｸﾙﾄﾅｰ LPB3T34</t>
  </si>
  <si>
    <t>RLPB4T10</t>
  </si>
  <si>
    <t>ﾘｻｲｸﾙﾄﾅｰLPB4T10</t>
  </si>
  <si>
    <t>RLPB4T12</t>
  </si>
  <si>
    <t>ﾘｻｲｸﾙﾄﾅｰ LPB4T12</t>
  </si>
  <si>
    <t>RLPB4T15</t>
  </si>
  <si>
    <t>ﾘｻｲｸﾙﾄﾅｰ LPB4T15</t>
  </si>
  <si>
    <t>RLPB4T17</t>
  </si>
  <si>
    <t>ﾘｻｲｸﾙﾄﾅｰ LPB4T17</t>
  </si>
  <si>
    <t>RLPB4T19</t>
  </si>
  <si>
    <t>ﾘｻｲｸﾙﾄﾅｰ LPB4T19</t>
  </si>
  <si>
    <t>RLPB4T21</t>
  </si>
  <si>
    <t>ﾘｻｲｸﾙﾄﾅｰ LPB4T21</t>
  </si>
  <si>
    <t>RLPB4T24</t>
  </si>
  <si>
    <t>ﾘｻｲｸﾙﾄﾅｰ LPB4T24</t>
  </si>
  <si>
    <t>RLPB4T25</t>
  </si>
  <si>
    <t>ﾘｻｲｸﾙﾄﾅｰ LPB4T25</t>
  </si>
  <si>
    <t>RLPB4T26</t>
  </si>
  <si>
    <t>ﾘｻｲｸﾙﾄﾅｰ LPB4T26</t>
  </si>
  <si>
    <t>RLPB4T9</t>
  </si>
  <si>
    <t>ﾘｻｲｸﾙﾄﾅｰ LPB4T9</t>
  </si>
  <si>
    <t>RLPC3H15</t>
  </si>
  <si>
    <t>ﾘｻｲｸﾙ LPC3H15 廃ﾄﾅｰﾎﾞｯｸｽ</t>
  </si>
  <si>
    <t>RLPC3H17</t>
  </si>
  <si>
    <t>ﾘｻｲｸﾙ LPC3H17 廃ﾄﾅｰﾎﾞｯｸｽ</t>
  </si>
  <si>
    <t>RLPC3K10K</t>
  </si>
  <si>
    <t>RLPC3K10Y</t>
  </si>
  <si>
    <t>RLPC3K15</t>
  </si>
  <si>
    <t>ﾘｻｲｸﾙﾄﾞﾗﾑ LPC3K15 感光体ﾕﾆｯﾄ</t>
  </si>
  <si>
    <t>RLPC3K17C</t>
  </si>
  <si>
    <t>ﾘｻｲｸﾙﾄﾞﾗﾑ LPC3K17 ｶﾗｰ</t>
  </si>
  <si>
    <t>RLPC3K17K</t>
  </si>
  <si>
    <t>ﾘｻｲｸﾙﾄﾞﾗﾑ LPC3K17K ﾌﾞﾗｯｸ</t>
  </si>
  <si>
    <t>RLPC3T10C</t>
  </si>
  <si>
    <t>RLPC3T10K</t>
  </si>
  <si>
    <t>RLPC3T10M</t>
  </si>
  <si>
    <t>RLPC3T10Y</t>
  </si>
  <si>
    <t>RLPC3T16C</t>
  </si>
  <si>
    <t>ﾘｻｲｸﾙﾄﾅｰ LPC3T16C</t>
  </si>
  <si>
    <t>RLPC3T16K</t>
  </si>
  <si>
    <t>ﾘｻｲｸﾙﾄﾅｰ LPC3T16K</t>
  </si>
  <si>
    <t>RLPC3T16M</t>
  </si>
  <si>
    <t>ﾘｻｲｸﾙﾄﾅｰ LPC3T16M</t>
  </si>
  <si>
    <t>RLPC3T16Y</t>
  </si>
  <si>
    <t>ﾘｻｲｸﾙﾄﾅｰ LPC3T16Y</t>
  </si>
  <si>
    <t>RLPC3T18C</t>
  </si>
  <si>
    <t>ﾘｻｲｸﾙﾄﾅｰ LPC3T18C ｼｱﾝ</t>
  </si>
  <si>
    <t>RLPC3T18K</t>
  </si>
  <si>
    <t>ﾘｻｲｸﾙﾄﾅｰ LPC3T18K ﾌﾞﾗｯｸ</t>
  </si>
  <si>
    <t>RLPC3T18M</t>
  </si>
  <si>
    <t>ﾘｻｲｸﾙﾄﾅｰ LPC3T18M ﾏｾﾞﾝﾀ</t>
  </si>
  <si>
    <t>RLPC3T18Y</t>
  </si>
  <si>
    <t>ﾘｻｲｸﾙﾄﾅｰ LPC3T18Y ｲｴﾛｰ</t>
  </si>
  <si>
    <t>RLPC3T20C</t>
  </si>
  <si>
    <t>RLPC3T20M</t>
  </si>
  <si>
    <t>RLPC3T20Y</t>
  </si>
  <si>
    <t>RLPC3T21C</t>
  </si>
  <si>
    <t>ﾘｻｲｸﾙﾄﾅｰ LPC3T21C</t>
  </si>
  <si>
    <t>RLPC3T21K</t>
  </si>
  <si>
    <t>ﾘｻｲｸﾙﾄﾅｰ LPC3T21K</t>
  </si>
  <si>
    <t>RLPC3T21M</t>
  </si>
  <si>
    <t>ﾘｻｲｸﾙﾄﾅｰ LPC3T21M</t>
  </si>
  <si>
    <t>RLPC3T21Y</t>
  </si>
  <si>
    <t>ﾘｻｲｸﾙﾄﾅｰ LPC3T21Y</t>
  </si>
  <si>
    <t>RLPC3T31C</t>
  </si>
  <si>
    <t>ﾘｻｲｸﾙﾄﾅｰ LPC3T31C</t>
  </si>
  <si>
    <t>RLPC3T31K</t>
  </si>
  <si>
    <t>ﾘｻｲｸﾙﾄﾅｰ LPC3T31K</t>
  </si>
  <si>
    <t>RLPC3T31M</t>
  </si>
  <si>
    <t>ﾘｻｲｸﾙﾄﾅｰ LPC3T31M</t>
  </si>
  <si>
    <t>RLPC3T31Y</t>
  </si>
  <si>
    <t>ﾘｻｲｸﾙﾄﾅｰ LPC3T31Y</t>
  </si>
  <si>
    <t>RLPC3T32C</t>
  </si>
  <si>
    <t>ﾘｻｲｸﾙﾄﾅｰ LPC3T32C</t>
  </si>
  <si>
    <t>RLPC3T32K</t>
  </si>
  <si>
    <t>ﾘｻｲｸﾙﾄﾅｰ LPC3T32K</t>
  </si>
  <si>
    <t>RLPC3T32M</t>
  </si>
  <si>
    <t>ﾘｻｲｸﾙﾄﾅｰ LPC3T32M</t>
  </si>
  <si>
    <t>RLPC3T32Y</t>
  </si>
  <si>
    <t>ﾘｻｲｸﾙﾄﾅｰ LPC3T32Y</t>
  </si>
  <si>
    <t>RLPC3T33C</t>
  </si>
  <si>
    <t>ﾘｻｲｸﾙﾄﾅｰ LPC3T33C</t>
  </si>
  <si>
    <t>RLPC3T33K</t>
  </si>
  <si>
    <t>ﾘｻｲｸﾙﾄﾅｰ LPC3T33K</t>
  </si>
  <si>
    <t>RLPC3T33M</t>
  </si>
  <si>
    <t>ﾘｻｲｸﾙﾄﾅｰ LPC3T33M</t>
  </si>
  <si>
    <t>RLPC3T33Y</t>
  </si>
  <si>
    <t>ﾘｻｲｸﾙﾄﾅｰ LPC3T33Y</t>
  </si>
  <si>
    <t>RLPC3T35C</t>
  </si>
  <si>
    <t>ﾘｻｲｸﾙﾄﾅｰ LPC3T35C</t>
  </si>
  <si>
    <t>RLPC3T35K</t>
  </si>
  <si>
    <t>ﾘｻｲｸﾙﾄﾅｰ LPC3T35K</t>
  </si>
  <si>
    <t>RLPC3T35M</t>
  </si>
  <si>
    <t>ﾘｻｲｸﾙﾄﾅｰ LPC3T35M</t>
  </si>
  <si>
    <t>RLPC3T35Y</t>
  </si>
  <si>
    <t>ﾘｻｲｸﾙﾄﾅｰ LPC3T35Y</t>
  </si>
  <si>
    <t>RLPC3T36C</t>
  </si>
  <si>
    <t>ﾘｻｲｸﾙﾄﾅｰ LPC3T36C</t>
  </si>
  <si>
    <t>RLPC3T36K</t>
  </si>
  <si>
    <t>ﾘｻｲｸﾙﾄﾅｰ LPC3T36K</t>
  </si>
  <si>
    <t>RLPC3T36M</t>
  </si>
  <si>
    <t>ﾘｻｲｸﾙﾄﾅｰ LPC3T36M</t>
  </si>
  <si>
    <t>RLPC3T36Y</t>
  </si>
  <si>
    <t>ﾘｻｲｸﾙﾄﾅｰ LPC3T36Y</t>
  </si>
  <si>
    <t>RLPC3T38C</t>
  </si>
  <si>
    <t>ﾘｻｲｸﾙﾄﾅｰ LPC3T38C</t>
  </si>
  <si>
    <t>RLPC3T38K</t>
  </si>
  <si>
    <t>ﾘｻｲｸﾙﾄﾅｰ LPC3T38K</t>
  </si>
  <si>
    <t>RLPC3T38M</t>
  </si>
  <si>
    <t>ﾘｻｲｸﾙﾄﾅｰ LPC3T38M</t>
  </si>
  <si>
    <t>RLPC3T38Y</t>
  </si>
  <si>
    <t>ﾘｻｲｸﾙﾄﾅｰ LPC3T38Y</t>
  </si>
  <si>
    <t>RLPC3T39C</t>
  </si>
  <si>
    <t>ﾘｻｲｸﾙﾄﾅｰ LPC3T39C</t>
  </si>
  <si>
    <t>RLPC3T39K</t>
  </si>
  <si>
    <t>ﾘｻｲｸﾙﾄﾅｰ LPC3T39K</t>
  </si>
  <si>
    <t>RLPC3T39M</t>
  </si>
  <si>
    <t>ﾘｻｲｸﾙﾄﾅｰ LPC3T39M</t>
  </si>
  <si>
    <t>RLPC3T39Y</t>
  </si>
  <si>
    <t>ﾘｻｲｸﾙﾄﾅｰ LPC3T39Y</t>
  </si>
  <si>
    <t>RLPC4T8C</t>
  </si>
  <si>
    <t>ﾘｻｲｸﾙﾄﾅｰ LPC4T8C</t>
  </si>
  <si>
    <t>RLPC4T8K</t>
  </si>
  <si>
    <t>ﾘｻｲｸﾙﾄﾅｰ LPC4T8K</t>
  </si>
  <si>
    <t>RLPC4T8M</t>
  </si>
  <si>
    <t>ﾘｻｲｸﾙﾄﾅｰ LPC4T8M</t>
  </si>
  <si>
    <t>RLPC4T8Y</t>
  </si>
  <si>
    <t>ﾘｻｲｸﾙﾄﾅｰ LPC4T8Y</t>
  </si>
  <si>
    <t>RLPCA3ETC9C</t>
  </si>
  <si>
    <t>RLPCA3ETC9K</t>
  </si>
  <si>
    <t>RLPCA3ETC9M</t>
  </si>
  <si>
    <t>RLPCA3ETC9Y</t>
  </si>
  <si>
    <t>RLPCA3K9</t>
  </si>
  <si>
    <t>ﾘｻｲｸﾙﾄﾞﾗﾑ LPCA3K9</t>
  </si>
  <si>
    <t>RLPCA3T11C</t>
  </si>
  <si>
    <t>ﾘｻｲｸﾙﾄﾅｰ LPCA3T11C</t>
  </si>
  <si>
    <t>RLPCA3T11M</t>
  </si>
  <si>
    <t>ﾘｻｲｸﾙﾄﾅｰ LPCA3T11M</t>
  </si>
  <si>
    <t>RLPCA3T11Y</t>
  </si>
  <si>
    <t>ﾘｻｲｸﾙﾄﾅｰ LPCA3T11Y</t>
  </si>
  <si>
    <t>RLPCA3T12C</t>
  </si>
  <si>
    <t>ﾘｻｲｸﾙﾄﾅｰ LPCA3T12C</t>
  </si>
  <si>
    <t>RLPCA3T12K</t>
  </si>
  <si>
    <t>ﾘｻｲｸﾙﾄﾅｰ LPCA3T12K</t>
  </si>
  <si>
    <t>RLPCA3T12M</t>
  </si>
  <si>
    <t>ﾘｻｲｸﾙﾄﾅｰ LPCA3T12M</t>
  </si>
  <si>
    <t>RLPCA3T12Y</t>
  </si>
  <si>
    <t>ﾘｻｲｸﾙﾄﾅｰ LPCA3T12Y</t>
  </si>
  <si>
    <t>RLPCA3T19C</t>
  </si>
  <si>
    <t>RLPCA3T19K</t>
  </si>
  <si>
    <t>RLPCA3T19M</t>
  </si>
  <si>
    <t>RLPCA3T19Y</t>
  </si>
  <si>
    <t>RLPCA4ETC5Y</t>
  </si>
  <si>
    <t>ﾘｻｲｸﾙﾄﾅｰ LPCA4ETC5Y</t>
  </si>
  <si>
    <t>RM</t>
  </si>
  <si>
    <t>ﾘｻｲｸﾙﾄﾅｰ ﾀｲﾌﾟM</t>
  </si>
  <si>
    <t>RM1800L</t>
  </si>
  <si>
    <t>ﾘｻｲｸﾙﾄﾅｰ M1800 (L)</t>
  </si>
  <si>
    <t>RMPC2503BK</t>
  </si>
  <si>
    <t>ﾘｻｲｸﾙ MPC2503 BK</t>
  </si>
  <si>
    <t>RMPC2503C</t>
  </si>
  <si>
    <t>ﾘｻｲｸﾙ MPC2503 C</t>
  </si>
  <si>
    <t>RMPC2503M</t>
  </si>
  <si>
    <t>ﾘｻｲｸﾙ MPC2503 M</t>
  </si>
  <si>
    <t>RMPC2503Y</t>
  </si>
  <si>
    <t>ﾘｻｲｸﾙ MPC2503 Y</t>
  </si>
  <si>
    <t>RMPC3503BK</t>
  </si>
  <si>
    <t>ﾘｻｲｸﾙ MPC3503 BK</t>
  </si>
  <si>
    <t>RMPC3503C</t>
  </si>
  <si>
    <t>ﾘｻｲｸﾙ MPC3503 C</t>
  </si>
  <si>
    <t>RMPC3503M</t>
  </si>
  <si>
    <t>ﾘｻｲｸﾙ MPC3503 M</t>
  </si>
  <si>
    <t>RMPC3503Y</t>
  </si>
  <si>
    <t>ﾘｻｲｸﾙ MPC3503 Y</t>
  </si>
  <si>
    <t>RMPC6003BK</t>
  </si>
  <si>
    <t>ﾘｻｲｸﾙ MPC6003 BK</t>
  </si>
  <si>
    <t>RMPC6003C</t>
  </si>
  <si>
    <t>ﾘｻｲｸﾙ MPC6003 C</t>
  </si>
  <si>
    <t>RMPC6003M</t>
  </si>
  <si>
    <t>ﾘｻｲｸﾙ MPC6003 M</t>
  </si>
  <si>
    <t>RMPC6003Y</t>
  </si>
  <si>
    <t>ﾘｻｲｸﾙ MPC6003 Y</t>
  </si>
  <si>
    <t>RMUGBK</t>
  </si>
  <si>
    <t>ﾘｻｲｸﾙｲﾝｸ MUG-BK ﾌﾞﾗｯｸ</t>
  </si>
  <si>
    <t>RMUGC</t>
  </si>
  <si>
    <t>ﾘｻｲｸﾙｲﾝｸ MUG-C ｼｱﾝ</t>
  </si>
  <si>
    <t>RMUGM</t>
  </si>
  <si>
    <t>ﾘｻｲｸﾙｲﾝｸ MUG-M ﾏｾﾞﾝﾀ</t>
  </si>
  <si>
    <t>RMUGY</t>
  </si>
  <si>
    <t>ﾘｻｲｸﾙｲﾝｸ MUG-Y ｲｴﾛｰ</t>
  </si>
  <si>
    <t>RMVHPML25A</t>
  </si>
  <si>
    <t>ﾘｻｲｸﾙﾄﾅｰ MV-HPML25A(Panasonic)</t>
  </si>
  <si>
    <t>RMVHPRB25A</t>
  </si>
  <si>
    <t>ﾘｻｲｸﾙ MV-HPRB25A</t>
  </si>
  <si>
    <t>RMVHPRB30AZ</t>
  </si>
  <si>
    <t>ﾘｻｲｸﾙﾄﾅｰ MV-HPRB30AZ</t>
  </si>
  <si>
    <t>RMVHPRB35A</t>
  </si>
  <si>
    <t>RMVHPRBS30A</t>
  </si>
  <si>
    <t>ﾘｻｲｸﾙ MV-HPRBS30A</t>
  </si>
  <si>
    <t>RMX23JTBA</t>
  </si>
  <si>
    <t>ﾘｻｲｸﾙﾄﾅｰ MX-23JTBA ﾌﾞﾗｯｸ</t>
  </si>
  <si>
    <t>RMX23JTCA</t>
  </si>
  <si>
    <t>ﾘｻｲｸﾙﾄﾅｰ MX-23JTCA ｼｱﾝ</t>
  </si>
  <si>
    <t>RMX23JTMA</t>
  </si>
  <si>
    <t>ﾘｻｲｸﾙﾄﾅｰ MX-23JTMA ﾏｾﾞﾝﾀ</t>
  </si>
  <si>
    <t>RMX23JTYA</t>
  </si>
  <si>
    <t>ﾘｻｲｸﾙﾄﾅｰ MX-23JTYA ｲｴﾛｰ</t>
  </si>
  <si>
    <t>RMX27JCA</t>
  </si>
  <si>
    <t>ﾘｻｲｸﾙﾄﾅｰ MX-27JTCA</t>
  </si>
  <si>
    <t>RMX27JTBA</t>
  </si>
  <si>
    <t>ﾘｻｲｸﾙﾄﾅｰ MX-27JTBA</t>
  </si>
  <si>
    <t>RMX27JTMA</t>
  </si>
  <si>
    <t>ﾘｻｲｸﾙﾄﾅｰ MX-27JTMA</t>
  </si>
  <si>
    <t>RMX27JTYA</t>
  </si>
  <si>
    <t>ﾘｻｲｸﾙﾄﾅｰ MX-27JTYA</t>
  </si>
  <si>
    <t>RMX31JTBA</t>
  </si>
  <si>
    <t>ﾘｻｲｸﾙﾄﾅｰ MX-31JTBA ﾌﾞﾗｯｸ</t>
  </si>
  <si>
    <t>RMX31JTCA</t>
  </si>
  <si>
    <t>ﾘｻｲｸﾙﾄﾅｰ MX-31JTCA ｼｱﾝ</t>
  </si>
  <si>
    <t>RMX31JTMA</t>
  </si>
  <si>
    <t>ﾘｻｲｸﾙﾄﾅｰ MX-31JTMA ﾏｾﾞﾝﾀ</t>
  </si>
  <si>
    <t>RMX31JTYA</t>
  </si>
  <si>
    <t>ﾘｻｲｸﾙﾄﾅｰ MX-31JTYA ｲｴﾛｰ</t>
  </si>
  <si>
    <t>RMX36JTBA</t>
  </si>
  <si>
    <t>ﾘｻｲｸﾙﾄﾅｰ MX-36JTBA</t>
  </si>
  <si>
    <t>RMX36JTCA</t>
  </si>
  <si>
    <t>ﾘｻｲｸﾙﾄﾅｰ MX-36JTCA</t>
  </si>
  <si>
    <t>RMX36JTMA</t>
  </si>
  <si>
    <t>ﾘｻｲｸﾙﾄﾅｰ MX-36JTMA</t>
  </si>
  <si>
    <t>RMX36JTYA</t>
  </si>
  <si>
    <t>ﾘｻｲｸﾙﾄﾅｰ MX-36JTYA</t>
  </si>
  <si>
    <t>RMX61JTBA</t>
  </si>
  <si>
    <t>ﾘｻｲｸﾙﾄﾅｰ MX-61JTBA ﾌﾞﾗｯｸ</t>
  </si>
  <si>
    <t>RMX61JTCA</t>
  </si>
  <si>
    <t>ﾘｻｲｸﾙﾄﾅｰ MX-61JTCA ｼｱﾝ</t>
  </si>
  <si>
    <t>RMX61JTMA</t>
  </si>
  <si>
    <t>ﾘｻｲｸﾙﾄﾅｰ MX-61JTMA ﾏｾﾞﾝﾀ</t>
  </si>
  <si>
    <t>RMX61JTYA</t>
  </si>
  <si>
    <t>ﾘｻｲｸﾙﾄﾅｰ MX-61JTYA ﾏｾﾞﾝﾀ</t>
  </si>
  <si>
    <t>RN30-TSC</t>
  </si>
  <si>
    <t>RN30-TSK</t>
  </si>
  <si>
    <t>RN30-TSM</t>
  </si>
  <si>
    <t>RN30-TSY</t>
  </si>
  <si>
    <t>RNPG-35BK</t>
  </si>
  <si>
    <t>ﾘｻｲｸﾙﾄﾅｰ　NPG-35　BK</t>
  </si>
  <si>
    <t>RNPG-35C</t>
  </si>
  <si>
    <t>ﾘｻｲｸﾙﾄﾅｰ　NPG-35　C</t>
  </si>
  <si>
    <t>RNPG-35M</t>
  </si>
  <si>
    <t>ﾘｻｲｸﾙﾄﾅｰ　NPG-35　M</t>
  </si>
  <si>
    <t>RNPG-35Y</t>
  </si>
  <si>
    <t>ﾘｻｲｸﾙﾄﾅｰ　NPG-35　Y</t>
  </si>
  <si>
    <t>RNPG25</t>
  </si>
  <si>
    <t>ﾘｻｲｸﾙﾄﾅｰ　NPG-25</t>
  </si>
  <si>
    <t>RNPG26</t>
  </si>
  <si>
    <t>ﾘｻｲｸﾙﾄﾅｰ　NPG-26</t>
  </si>
  <si>
    <t>RNPG45BK</t>
  </si>
  <si>
    <t>ﾘｻｲｸﾙﾄﾅｰ NPG-45 BK</t>
  </si>
  <si>
    <t>RNPG45C</t>
  </si>
  <si>
    <t>ﾘｻｲｸﾙﾄﾅｰ NPG-45 C</t>
  </si>
  <si>
    <t>RNPG45M</t>
  </si>
  <si>
    <t>ﾘｻｲｸﾙﾄﾅｰ NPG-45 M</t>
  </si>
  <si>
    <t>RNPG45Y</t>
  </si>
  <si>
    <t>ﾘｻｲｸﾙﾄﾅｰ NPG-45 Y</t>
  </si>
  <si>
    <t>RNPG46BK</t>
  </si>
  <si>
    <t>ﾘｻｲｸﾙﾄﾅｰ NPG-46 BK</t>
  </si>
  <si>
    <t>RNPG46C</t>
  </si>
  <si>
    <t>ﾘｻｲｸﾙﾄﾅｰ NPG-46 C</t>
  </si>
  <si>
    <t>RNPG46M</t>
  </si>
  <si>
    <t>ﾘｻｲｸﾙﾄﾅｰ NPG-46 M</t>
  </si>
  <si>
    <t>RNPG46Y</t>
  </si>
  <si>
    <t>ﾘｻｲｸﾙﾄﾅｰ NPG-46 Y</t>
  </si>
  <si>
    <t>RNPG52C</t>
  </si>
  <si>
    <t>ﾘｻｲｸﾙ ﾄﾅｰｶｰﾄﾘｯｼﾞ NPG-52 C</t>
  </si>
  <si>
    <t>RNPG52K</t>
  </si>
  <si>
    <t>ﾘｻｲｸﾙ ﾄﾅｰｶｰﾄﾘｯｼﾞ NPG-52 K</t>
  </si>
  <si>
    <t>RNPG52M</t>
  </si>
  <si>
    <t>ﾘｻｲｸﾙ ﾄﾅｰｶｰﾄﾘｯｼﾞ NPG-52 M</t>
  </si>
  <si>
    <t>RNPG52Y</t>
  </si>
  <si>
    <t>ﾘｻｲｸﾙ ﾄﾅｰｶｰﾄﾘｯｼﾞ NPG-52 Y</t>
  </si>
  <si>
    <t>RNPG60BK</t>
  </si>
  <si>
    <t>ﾘｻｲｸﾙﾄﾅｰ NPG-60 BK</t>
  </si>
  <si>
    <t>RNPG60C</t>
  </si>
  <si>
    <t>ﾘｻｲｸﾙﾄﾅｰ NPG-60 C</t>
  </si>
  <si>
    <t>RNPG60M</t>
  </si>
  <si>
    <t>ﾘｻｲｸﾙﾄﾅｰ NPG-60 M</t>
  </si>
  <si>
    <t>RNPG60Y</t>
  </si>
  <si>
    <t>ﾘｻｲｸﾙﾄﾅｰ NPG-60 Y</t>
  </si>
  <si>
    <t>RNPG67BK</t>
  </si>
  <si>
    <t>ﾘｻｲｸﾙﾄﾅｰ NPG-67 BK</t>
  </si>
  <si>
    <t>RNPG67C</t>
  </si>
  <si>
    <t>ﾘｻｲｸﾙﾄﾅｰ NPG-67 C</t>
  </si>
  <si>
    <t>RNPG67M</t>
  </si>
  <si>
    <t>ﾘｻｲｸﾙﾄﾅｰ NPG-67 M</t>
  </si>
  <si>
    <t>RNPG67Y</t>
  </si>
  <si>
    <t>ﾘｻｲｸﾙﾄﾅｰ NPG-67 Y</t>
  </si>
  <si>
    <t>RNTTB4100</t>
  </si>
  <si>
    <t>ﾘｻｲｸﾙﾄﾅｰ ｵﾌｨｽﾀｰB4100</t>
  </si>
  <si>
    <t>RNTTH7200</t>
  </si>
  <si>
    <t>ﾘｻｲｸﾙﾄﾅｰ ｵﾌｨｽﾀｰH7200/H7300</t>
  </si>
  <si>
    <t>RP</t>
  </si>
  <si>
    <t>ﾘｻｲｸﾙﾄﾅｰ ｶｰﾄﾘｯｼﾞP</t>
  </si>
  <si>
    <t>RP500</t>
  </si>
  <si>
    <t>ﾘｻｲｸﾙﾄﾅｰ P500</t>
  </si>
  <si>
    <t>RP500DR</t>
  </si>
  <si>
    <t>ﾘｻｲｸﾙﾄﾞﾗﾑ P500</t>
  </si>
  <si>
    <t>RP500H</t>
  </si>
  <si>
    <t>ﾘｻｲｸﾙﾄﾅｰ P500H</t>
  </si>
  <si>
    <t>RP500L</t>
  </si>
  <si>
    <t>ﾘｻｲｸﾙﾄﾅｰ P500L</t>
  </si>
  <si>
    <t>RP6500</t>
  </si>
  <si>
    <t>ﾘｻｲｸﾙﾄﾅｰ P6500</t>
  </si>
  <si>
    <t>RP6500D</t>
  </si>
  <si>
    <t>ﾘｻｲｸﾙﾄﾞﾗﾑ P6500</t>
  </si>
  <si>
    <t>RP6500H</t>
  </si>
  <si>
    <t>ﾘｻｲｸﾙﾄﾅｰ P6500H</t>
  </si>
  <si>
    <t>RPC201BK</t>
  </si>
  <si>
    <t>ﾘｻｲｸﾙ ﾄﾅｰｶｰﾄﾘｯｼﾞP C201 BK 514455</t>
  </si>
  <si>
    <t>RPC201C</t>
  </si>
  <si>
    <t>ﾘｻｲｸﾙ ﾄﾅｰｶｰﾄﾘｯｼﾞP C201 C 514452</t>
  </si>
  <si>
    <t>RPC201M</t>
  </si>
  <si>
    <t>ﾘｻｲｸﾙ ﾄﾅｰｶｰﾄﾘｯｼﾞP C201 M 514453</t>
  </si>
  <si>
    <t>RPC201Y</t>
  </si>
  <si>
    <t>ﾘｻｲｸﾙ ﾄﾅｰｶｰﾄﾘｯｼﾞP C201 Y 514454</t>
  </si>
  <si>
    <t>RPC300HBK</t>
  </si>
  <si>
    <t>ﾘｻｲｸﾙﾄﾅｰ P C300H BK</t>
  </si>
  <si>
    <t>RPC300HC</t>
  </si>
  <si>
    <t>ﾘｻｲｸﾙﾄﾅｰ P C300H C</t>
  </si>
  <si>
    <t>RPC300HM</t>
  </si>
  <si>
    <t>ﾘｻｲｸﾙﾄﾅｰ P C300H M</t>
  </si>
  <si>
    <t>RPC300HY</t>
  </si>
  <si>
    <t>ﾘｻｲｸﾙﾄﾅｰ P C300H Y</t>
  </si>
  <si>
    <t>RPC375HBK</t>
  </si>
  <si>
    <t>ﾘｻｲｸﾙﾄﾅｰ ﾌﾞﾗｯｸ P C375H</t>
  </si>
  <si>
    <t>RPC375HC</t>
  </si>
  <si>
    <t>ﾘｻｲｸﾙﾄﾅｰ ｼｱﾝ P C375H</t>
  </si>
  <si>
    <t>RPC375HM</t>
  </si>
  <si>
    <t>ﾘｻｲｸﾙﾄﾅｰ ﾏｾﾞﾝﾀ P C375H</t>
  </si>
  <si>
    <t>RPC375HY</t>
  </si>
  <si>
    <t>ﾘｻｲｸﾙﾄﾅｰ ｲｴﾛｰ P C375H</t>
  </si>
  <si>
    <t>RPC6000HBK</t>
  </si>
  <si>
    <t>ﾘｻｲｸﾙﾄﾅｰ P C6000H BK</t>
  </si>
  <si>
    <t>RPC6000HC</t>
  </si>
  <si>
    <t>ﾘｻｲｸﾙﾄﾅｰ P C6000H C</t>
  </si>
  <si>
    <t>RPC6000HM</t>
  </si>
  <si>
    <t>ﾘｻｲｸﾙﾄﾅｰ P C6000H M</t>
  </si>
  <si>
    <t>RPC6000HY</t>
  </si>
  <si>
    <t>ﾘｻｲｸﾙﾄﾅｰ P C6000H Y</t>
  </si>
  <si>
    <t>RPCPZ21801</t>
  </si>
  <si>
    <t>ﾘｻｲｸﾙﾄﾅｰ PC-PZ21801ﾄﾅｰ</t>
  </si>
  <si>
    <t>RPCPZ35501</t>
  </si>
  <si>
    <t>ﾘｻｲｸﾙﾄﾅｰ PC-PZ35501</t>
  </si>
  <si>
    <t>RPFI120BK</t>
  </si>
  <si>
    <t>ﾘｻｲｸﾙｲﾝｸ PFI-120BK ﾌﾞﾗｯｸ</t>
  </si>
  <si>
    <t>RPFI120C</t>
  </si>
  <si>
    <t>ﾘｻｲｸﾙｲﾝｸ PFI-120C ｼｱﾝ</t>
  </si>
  <si>
    <t>RPFI120M</t>
  </si>
  <si>
    <t>ﾘｻｲｸﾙｲﾝｸ PFI-120M ﾏｾﾞﾝﾀ</t>
  </si>
  <si>
    <t>RPFI120MBK</t>
  </si>
  <si>
    <t>ﾘｻｲｸﾙｲﾝｸ PFI-120MBK ﾏｯﾄﾌﾞﾗｯｸ</t>
  </si>
  <si>
    <t>RPFI120Y</t>
  </si>
  <si>
    <t>ﾘｻｲｸﾙｲﾝｸ PFI-120Y ｲｴﾛｰ</t>
  </si>
  <si>
    <t>RPGI1300XLB</t>
  </si>
  <si>
    <t>ﾘｻｲｸﾙｲﾝｸ PGI-1300XLBK</t>
  </si>
  <si>
    <t>RPGI1300XLC</t>
  </si>
  <si>
    <t>ﾘｻｲｸﾙｲﾝｸ PGI-1300XLC</t>
  </si>
  <si>
    <t>RPGI1300XLM</t>
  </si>
  <si>
    <t>ﾘｻｲｸﾙｲﾝｸ PGI-1300XLM</t>
  </si>
  <si>
    <t>RPGI1300XLY</t>
  </si>
  <si>
    <t>ﾘｻｲｸﾙｲﾝｸ PGI-1300XLY</t>
  </si>
  <si>
    <t>RPR-L8600-31</t>
  </si>
  <si>
    <t>ﾘｻｲｸﾙﾄﾞﾗﾑ PR-L8600-31</t>
  </si>
  <si>
    <t>RPRL115011</t>
  </si>
  <si>
    <t>ﾘｻｲｸﾙ PR-L1150-11</t>
  </si>
  <si>
    <t>RPRL115031</t>
  </si>
  <si>
    <t>ﾘｻｲｸﾙ PR-L1150-31</t>
  </si>
  <si>
    <t>RPRL120012</t>
  </si>
  <si>
    <t>ﾘｻｲｸﾙ PR-L1200-12</t>
  </si>
  <si>
    <t>RPRL120031</t>
  </si>
  <si>
    <t>RPRL150011</t>
  </si>
  <si>
    <t>ﾘｻｲｸﾙ PR-L1500-11</t>
  </si>
  <si>
    <t>RPRL150031</t>
  </si>
  <si>
    <t>ﾘｻｲｸﾙ PR-L1500-31</t>
  </si>
  <si>
    <t>RPRL230011</t>
  </si>
  <si>
    <t>ﾘｻｲｸﾙ PR-L2300-11</t>
  </si>
  <si>
    <t>RPRL230012</t>
  </si>
  <si>
    <t>ﾘｻｲｸﾙ PR-L2300-12</t>
  </si>
  <si>
    <t>RPRL280012</t>
  </si>
  <si>
    <t>ﾘｻｲｸﾙﾄﾅｰ PR-L2800-12</t>
  </si>
  <si>
    <t>RPRL330011</t>
  </si>
  <si>
    <t>ﾘｻｲｸﾙ PR-L3300-11</t>
  </si>
  <si>
    <t>RPRL330012</t>
  </si>
  <si>
    <t>ﾘｻｲｸﾙ PR-L3300-12</t>
  </si>
  <si>
    <t>RPRL460012</t>
  </si>
  <si>
    <t>ﾘｻｲｸﾙ PR-L4600-12</t>
  </si>
  <si>
    <t>RPRL460031</t>
  </si>
  <si>
    <t>ﾘｻｲｸﾙ PR-L4600-31</t>
  </si>
  <si>
    <t>RPRL4C15016</t>
  </si>
  <si>
    <t>ﾘｻｲｸﾙﾄﾅｰ PR-L4C150-16</t>
  </si>
  <si>
    <t>RPRL4C15017</t>
  </si>
  <si>
    <t>ﾘｻｲｸﾙﾄﾅｰ PR-L4C150-17</t>
  </si>
  <si>
    <t>RPRL4C15018</t>
  </si>
  <si>
    <t>ﾘｻｲｸﾙﾄﾅｰ PR-L4C150-18</t>
  </si>
  <si>
    <t>RPRL4C15019</t>
  </si>
  <si>
    <t>ﾘｻｲｸﾙﾄﾅｰ PR-L4C150-19</t>
  </si>
  <si>
    <t>RPRL720011</t>
  </si>
  <si>
    <t>ﾘｻｲｸﾙ PR-L7200-11 ﾄﾅｰｶｰﾄﾘｯｼﾞ</t>
  </si>
  <si>
    <t>RPRL720012</t>
  </si>
  <si>
    <t>ﾘｻｲｸﾙ PR-L7200-12 ﾄﾅｰｶｰﾄﾘｯｼﾞ</t>
  </si>
  <si>
    <t>RPRL7700C16</t>
  </si>
  <si>
    <t>ﾘｻｲｸﾙﾄﾅｰ PR-L7700C-16 ｲｴﾛｰ</t>
  </si>
  <si>
    <t>RPRL7700C17</t>
  </si>
  <si>
    <t>ﾘｻｲｸﾙﾄﾅｰ PR-L7700C-17 ﾏｾﾞﾝﾀ</t>
  </si>
  <si>
    <t>RPRL7700C18</t>
  </si>
  <si>
    <t>ﾘｻｲｸﾙﾄﾅｰ PR-L7700C-18 ｼｱﾝ</t>
  </si>
  <si>
    <t>RPRL7700C19</t>
  </si>
  <si>
    <t>ﾘｻｲｸﾙﾄﾅｰ PR-L7700C-19 ﾌﾞﾗｯｸ</t>
  </si>
  <si>
    <t>RQ5949A</t>
  </si>
  <si>
    <t>ﾘｻｲｸﾙﾄﾅｰ HP Q5949A</t>
  </si>
  <si>
    <t>RQ7516A</t>
  </si>
  <si>
    <t>ﾘｻｲｸﾙﾄﾅｰ Q7516A</t>
  </si>
  <si>
    <t>RRFAX5</t>
  </si>
  <si>
    <t>ﾘｻｲｸﾙﾄﾅｰ　ﾘﾌｧｯｸｽ ﾏｶﾞｼﾞﾝﾀｲﾌﾟ5</t>
  </si>
  <si>
    <t>RRFAX6000</t>
  </si>
  <si>
    <t>ﾘｻｲｸﾙﾄﾅｰ　ﾘﾌｧｯｸｽ ﾀｲﾌﾟ6000</t>
  </si>
  <si>
    <t>RSAT6CL</t>
  </si>
  <si>
    <t>ﾘｻｲｸﾙｲﾝｸ SAT-6CL  ECI-ESAT-6P 6色ﾊﾟｯｸ</t>
  </si>
  <si>
    <t>RSATBK</t>
  </si>
  <si>
    <t>ﾘｻｲｸﾙｲﾝｸ SAT-BK ﾌﾞﾗｯｸ ECI-ESAT-B</t>
  </si>
  <si>
    <t>RSATBK2</t>
  </si>
  <si>
    <t>ﾘｻｲｸﾙｲﾝｸ SAT-BK 2P ﾌﾞﾗｯｸ ECI-ESAT-B-2P</t>
  </si>
  <si>
    <t>RSATC</t>
  </si>
  <si>
    <t>ﾘｻｲｸﾙｲﾝｸ SAT-C ｼｱﾝ ECI-ESAT-C</t>
  </si>
  <si>
    <t>RSATLC</t>
  </si>
  <si>
    <t>ﾘｻｲｸﾙｲﾝｸ SAT-LC ﾗｲﾄｼｱﾝ ECI-ESAT-LC</t>
  </si>
  <si>
    <t>RSATLM</t>
  </si>
  <si>
    <t>ﾘｻｲｸﾙｲﾝｸ SAT-LM ﾗｲﾄﾏｾﾞﾝﾀ ECI-ESAT-LM</t>
  </si>
  <si>
    <t>RSATM</t>
  </si>
  <si>
    <t>ﾘｻｲｸﾙｲﾝｸ SAT-M ﾏｾﾞﾝﾀ ECI-ESAT-M</t>
  </si>
  <si>
    <t>RSATY</t>
  </si>
  <si>
    <t>ﾘｻｲｸﾙｲﾝｸ SAT-Y ｲｴﾛｰ ECI-ESAT-Y</t>
  </si>
  <si>
    <t>RSC12Y</t>
  </si>
  <si>
    <t>ﾘｻｲｸﾙ巻替ﾃﾌﾟﾗ SC12Y 12mm/8m 黄/黒文字 混載10本以上</t>
  </si>
  <si>
    <t>RSC18Y</t>
  </si>
  <si>
    <t>ﾘｻｲｸﾙ巻替ﾃﾌﾟﾗ SC18Y 18mm/8m 黄/黒文字 混載10本以上</t>
  </si>
  <si>
    <t>RSC1BK70</t>
  </si>
  <si>
    <t>ﾘｻｲｸﾙｲﾝｸ SC1BK70 ﾌｫﾄﾌﾞﾗｯｸ</t>
  </si>
  <si>
    <t>RSC1C70</t>
  </si>
  <si>
    <t>ﾘｻｲｸﾙｲﾝｸ SC1C70ｼｱﾝ</t>
  </si>
  <si>
    <t>RSC1M70</t>
  </si>
  <si>
    <t>ﾘｻｲｸﾙｲﾝｸ SC1M70 ﾏｾﾞﾝﾀ</t>
  </si>
  <si>
    <t>RSC1MB70</t>
  </si>
  <si>
    <t>ﾘｻｲｸﾙｲﾝｸ SC1MB70 ﾏｯﾄﾌﾞﾗｯｸ</t>
  </si>
  <si>
    <t>RSC1Y70</t>
  </si>
  <si>
    <t>ﾘｻｲｸﾙｲﾝｸ SC1Y70ｲｴﾛｰ</t>
  </si>
  <si>
    <t>RSC24Y</t>
  </si>
  <si>
    <t>ﾘｻｲｸﾙ巻替ﾃﾌﾟﾗ SC24Y 24mm/8m 黄/黒文字 混載10本以上</t>
  </si>
  <si>
    <t>RSC36Y</t>
  </si>
  <si>
    <t>ﾘｻｲｸﾙ巻替ﾃﾌﾟﾗ SC36Y 36mm/8m 黄/黒文字 混載10本以上</t>
  </si>
  <si>
    <t>RSC6Y</t>
  </si>
  <si>
    <t>ﾘｻｲｸﾙ巻替ﾃﾌﾟﾗ SC6Y 6mm/8m 黄/黒文字 混載10本以上</t>
  </si>
  <si>
    <t>RSC9BK70</t>
  </si>
  <si>
    <t>ﾘｻｲｸﾙｲﾝｸ  SC9BK70 ﾌﾞﾗｯｸ</t>
  </si>
  <si>
    <t>RSC9GY70</t>
  </si>
  <si>
    <t>ﾘｻｲｸﾙｲﾝｸ  SC9GY70 ｸﾞﾚｰ</t>
  </si>
  <si>
    <t>RSC9LGY70</t>
  </si>
  <si>
    <t>ﾘｻｲｸﾙｲﾝｸ  SC9LGY70 ﾗｲﾄｸﾞﾚｰ</t>
  </si>
  <si>
    <t>RSC9VLM70</t>
  </si>
  <si>
    <t>ﾘｻｲｸﾙｲﾝｸ  SC9VLM70 ﾋﾞﾋﾞｯﾄﾗｲﾄﾏｾﾞﾝﾀ</t>
  </si>
  <si>
    <t>RSC9Y</t>
  </si>
  <si>
    <t>ﾘｻｲｸﾙ巻替ﾃﾌﾟﾗ SC9Y 9mm/8m 黄/黒文字 混載10本以上</t>
  </si>
  <si>
    <t>RSDM11</t>
  </si>
  <si>
    <t>富士通 ﾘﾎﾞﾝｶｾｯﾄ SDM-11</t>
  </si>
  <si>
    <t>RSP350HBK</t>
  </si>
  <si>
    <t>ﾘｻｲｸﾙ SPﾄﾅｰ C350H BK</t>
  </si>
  <si>
    <t>RSP350HC</t>
  </si>
  <si>
    <t>ﾘｻｲｸﾙ SPﾄﾅｰ C350H C</t>
  </si>
  <si>
    <t>RSP350HM</t>
  </si>
  <si>
    <t>ﾘｻｲｸﾙ SPﾄﾅｰ C350H M</t>
  </si>
  <si>
    <t>RSP350HY</t>
  </si>
  <si>
    <t>ﾘｻｲｸﾙ SPﾄﾅｰ C350H Y</t>
  </si>
  <si>
    <t>RSS36K</t>
  </si>
  <si>
    <t>ﾘｻｲｸﾙ巻替ﾃﾌﾟﾗ SS36K 36mm/8m 白/黒文字 混載10本以上</t>
  </si>
  <si>
    <t>RSS6K</t>
  </si>
  <si>
    <t>ﾘｻｲｸﾙ巻替ﾃﾌﾟﾗ SS6K 6mm/8m 白/黒文字 混載10本以上</t>
  </si>
  <si>
    <t>RSS9K</t>
  </si>
  <si>
    <t>ﾘｻｲｸﾙ巻替ﾃﾌﾟﾗ SS9K 9mm/8m 白/黒文字 混載10本以上</t>
  </si>
  <si>
    <t>RST12K</t>
  </si>
  <si>
    <t>ﾘｻｲｸﾙ巻替ﾃﾌﾟﾗ ST12K 12mm/8m 透明/黒文字 混載10本以上</t>
  </si>
  <si>
    <t>RTCC3BC1</t>
  </si>
  <si>
    <t>ﾘｻｲｸﾙﾄﾅｰ TC-C3BC1</t>
  </si>
  <si>
    <t>RTCC3BC2</t>
  </si>
  <si>
    <t>ﾘｻｲｸﾙﾄﾅｰ TC-C3BC2</t>
  </si>
  <si>
    <t>RTCC3BK1</t>
  </si>
  <si>
    <t>ﾘｻｲｸﾙﾄﾅｰ TC-C3BK1</t>
  </si>
  <si>
    <t>RTCC3BK2</t>
  </si>
  <si>
    <t>ﾘｻｲｸﾙﾄﾅｰ TC-C3BK2</t>
  </si>
  <si>
    <t>RTCC3BM1</t>
  </si>
  <si>
    <t>ﾘｻｲｸﾙﾄﾅｰ TC-C3BM1</t>
  </si>
  <si>
    <t>RTCC3BM2</t>
  </si>
  <si>
    <t>ﾘｻｲｸﾙﾄﾅｰ TC-C3BM2</t>
  </si>
  <si>
    <t>RTCC3BY1</t>
  </si>
  <si>
    <t>ﾘｻｲｸﾙﾄﾅｰ TC-C3BY1</t>
  </si>
  <si>
    <t>RTCC3BY2</t>
  </si>
  <si>
    <t>ﾘｻｲｸﾙﾄﾅｰ TC-C3BY2</t>
  </si>
  <si>
    <t>RTCC4AC1</t>
  </si>
  <si>
    <t>ﾘｻｲｸﾙﾄﾅｰ TC-C4AC1</t>
  </si>
  <si>
    <t>RTCC4AC2</t>
  </si>
  <si>
    <t>ﾘｻｲｸﾙﾄﾅｰ TC-C4AC2</t>
  </si>
  <si>
    <t>RTCC4AK1</t>
  </si>
  <si>
    <t>ﾘｻｲｸﾙﾄﾅｰ TC-C4AK1</t>
  </si>
  <si>
    <t>RTCC4AK2</t>
  </si>
  <si>
    <t>ﾘｻｲｸﾙﾄﾅｰ TC-C4AK2</t>
  </si>
  <si>
    <t>RTCC4AM1</t>
  </si>
  <si>
    <t>ﾘｻｲｸﾙﾄﾅｰ TC-C4AM1</t>
  </si>
  <si>
    <t>RTCC4AM2</t>
  </si>
  <si>
    <t>ﾘｻｲｸﾙﾄﾅｰ TC-C4AM2</t>
  </si>
  <si>
    <t>RTCC4AY1</t>
  </si>
  <si>
    <t>ﾘｻｲｸﾙﾄﾅｰ TC-C4AY1</t>
  </si>
  <si>
    <t>RTCC4AY2</t>
  </si>
  <si>
    <t>ﾘｻｲｸﾙﾄﾅｰ TC-C4AY2</t>
  </si>
  <si>
    <t>RTCC4BC2</t>
  </si>
  <si>
    <t>ﾘｻｲｸﾙﾄﾅｰ TC-C4BC2</t>
  </si>
  <si>
    <t>RTCC4BK2</t>
  </si>
  <si>
    <t>ﾘｻｲｸﾙﾄﾅｰ TC-C4BK2</t>
  </si>
  <si>
    <t>RTCC4BM2</t>
  </si>
  <si>
    <t>ﾘｻｲｸﾙﾄﾅｰ TC-C4BM2</t>
  </si>
  <si>
    <t>RTCC4BY2</t>
  </si>
  <si>
    <t>ﾘｻｲｸﾙﾄﾅｰ TC-C4BY2</t>
  </si>
  <si>
    <t>RTCC4CC2</t>
  </si>
  <si>
    <t>ﾘｻｲｸﾙﾄﾅｰ TC-C4CC2</t>
  </si>
  <si>
    <t>RTCC4CK2</t>
  </si>
  <si>
    <t>ﾘｻｲｸﾙﾄﾅｰ TC-C4CK2</t>
  </si>
  <si>
    <t>RTCC4CM2</t>
  </si>
  <si>
    <t>ﾘｻｲｸﾙﾄﾅｰ TC-C4CM2</t>
  </si>
  <si>
    <t>RTCC4CY2</t>
  </si>
  <si>
    <t>ﾘｻｲｸﾙﾄﾅｰ TC-C4CY2</t>
  </si>
  <si>
    <t>RTCC4DC2</t>
  </si>
  <si>
    <t>ﾘｻｲｸﾙﾄﾅｰ TC-C4DC2</t>
  </si>
  <si>
    <t>RTCC4DK2</t>
  </si>
  <si>
    <t>ﾘｻｲｸﾙﾄﾅｰ TC-C4DK2</t>
  </si>
  <si>
    <t>RTCC4DM2</t>
  </si>
  <si>
    <t>ﾘｻｲｸﾙﾄﾅｰ TC-C4DM2</t>
  </si>
  <si>
    <t>RTCC4DY2</t>
  </si>
  <si>
    <t>ﾘｻｲｸﾙﾄﾅｰ TC-C4DY2</t>
  </si>
  <si>
    <t>RTCM3A1</t>
  </si>
  <si>
    <t>ﾘｻｲｸﾙ TC-M3A1</t>
  </si>
  <si>
    <t>RTCM3A2</t>
  </si>
  <si>
    <t>ﾘｻｲｸﾙ TC-M3A2</t>
  </si>
  <si>
    <t>RTK1141</t>
  </si>
  <si>
    <t>ﾘｻｲｸﾙ TK-1141</t>
  </si>
  <si>
    <t>RTK1161</t>
  </si>
  <si>
    <t>ﾘｻｲｸﾙ TK-1161</t>
  </si>
  <si>
    <t>RTK131</t>
  </si>
  <si>
    <t>ﾘｻｲｸﾙ TK-131</t>
  </si>
  <si>
    <t>RTK3101</t>
  </si>
  <si>
    <t>ﾘｻｲｸﾙﾄﾅｰ TK-3101</t>
  </si>
  <si>
    <t>RTK3131</t>
  </si>
  <si>
    <t>ﾘｻｲｸﾙﾄﾅｰ TK-3131</t>
  </si>
  <si>
    <t>RTK3161</t>
  </si>
  <si>
    <t>ﾘｻｲｸﾙﾄﾅｰ TK-3161</t>
  </si>
  <si>
    <t>RTK3191</t>
  </si>
  <si>
    <t>ﾘｻｲｸﾙ TK-3191</t>
  </si>
  <si>
    <t>RTK331</t>
  </si>
  <si>
    <t>ﾘｻｲｸﾙ TK-331</t>
  </si>
  <si>
    <t>RTK3401</t>
  </si>
  <si>
    <t>ﾘｻｲｸﾙﾄﾅｰTK-3401</t>
  </si>
  <si>
    <t>RTK341</t>
  </si>
  <si>
    <t>ﾘｻｲｸﾙﾄﾅｰ TK-341 (1本入り)</t>
  </si>
  <si>
    <t>RTK3431</t>
  </si>
  <si>
    <t>ﾘｻｲｸﾙﾄﾅｰ TK-3431</t>
  </si>
  <si>
    <t>RTK361</t>
  </si>
  <si>
    <t>ﾘｻｲｸﾙﾄﾅｰ TK-361</t>
  </si>
  <si>
    <t>RTK436</t>
  </si>
  <si>
    <t>ﾘｻｲｸﾙﾄﾅｰ TK-436</t>
  </si>
  <si>
    <t>RTK441</t>
  </si>
  <si>
    <t>ﾘｻｲｸﾙ TK-441</t>
  </si>
  <si>
    <t>RTK451</t>
  </si>
  <si>
    <t>ﾘｻｲｸﾙ TK-451</t>
  </si>
  <si>
    <t>RTK476</t>
  </si>
  <si>
    <t>ﾘｻｲｸﾙﾄﾅｰ TK-476</t>
  </si>
  <si>
    <t>RTK5141C</t>
  </si>
  <si>
    <t>ﾘｻｲｸﾙ TK-5141 C</t>
  </si>
  <si>
    <t>RTK5141K</t>
  </si>
  <si>
    <t>ﾘｻｲｸﾙ TK-5141 K</t>
  </si>
  <si>
    <t>RTK5141M</t>
  </si>
  <si>
    <t>ﾘｻｲｸﾙ TK-5141 M</t>
  </si>
  <si>
    <t>RTK5141Y</t>
  </si>
  <si>
    <t>ﾘｻｲｸﾙ TK-5141 Y</t>
  </si>
  <si>
    <t>RTK5151C</t>
  </si>
  <si>
    <t>ﾘｻｲｸﾙﾄﾅｰ TK-5151 ｼｱﾝ</t>
  </si>
  <si>
    <t>RTK5151K</t>
  </si>
  <si>
    <t>ﾘｻｲｸﾙﾄﾅｰ TK-5151 ﾌﾞﾗｯｸ</t>
  </si>
  <si>
    <t>RTK5151M</t>
  </si>
  <si>
    <t>ﾘｻｲｸﾙﾄﾅｰ TK-5151 ﾏｾﾞﾝﾀ</t>
  </si>
  <si>
    <t>RTK5151Y</t>
  </si>
  <si>
    <t>ﾘｻｲｸﾙﾄﾅｰ TK-5151 ｲｴﾛｰ</t>
  </si>
  <si>
    <t>RTK5241BK</t>
  </si>
  <si>
    <t>ﾘｻｲｸﾙﾄﾅｰ TK-5241K ﾌﾞﾗｯｸ</t>
  </si>
  <si>
    <t>RTK5241C</t>
  </si>
  <si>
    <t>ﾘｻｲｸﾙﾄﾅｰ TK-5241C ｼｱﾝ</t>
  </si>
  <si>
    <t>RTK5241M</t>
  </si>
  <si>
    <t>ﾘｻｲｸﾙﾄﾅｰ TK-5241M ﾏｾﾞﾝﾀ</t>
  </si>
  <si>
    <t>RTK5241Y</t>
  </si>
  <si>
    <t>ﾘｻｲｸﾙﾄﾅｰ TK-5241Y ｲｴﾛｰ</t>
  </si>
  <si>
    <t>RTK5271C</t>
  </si>
  <si>
    <t>ﾘｻｲｸﾙﾄﾅｰ TK-5271C ｼｱﾝ</t>
  </si>
  <si>
    <t>RTK5271K</t>
  </si>
  <si>
    <t>ﾘｻｲｸﾙﾄﾅｰ TK-5271K ﾌﾞﾗｯｸ</t>
  </si>
  <si>
    <t>RTK5271M</t>
  </si>
  <si>
    <t>ﾘｻｲｸﾙﾄﾅｰ TK-5271M ﾏｾﾞﾝﾀ</t>
  </si>
  <si>
    <t>RTK5271Y</t>
  </si>
  <si>
    <t>ﾘｻｲｸﾙﾄﾅｰ TK-5271Y ｲｴﾛｰ</t>
  </si>
  <si>
    <t>RTK591C</t>
  </si>
  <si>
    <t>ﾘｻｲｸﾙ TK-591 C</t>
  </si>
  <si>
    <t>RTK591K</t>
  </si>
  <si>
    <t>ﾘｻｲｸﾙ TK-591 K</t>
  </si>
  <si>
    <t>RTK591M</t>
  </si>
  <si>
    <t>ﾘｻｲｸﾙ TK-591 M</t>
  </si>
  <si>
    <t>RTK591Y</t>
  </si>
  <si>
    <t>ﾘｻｲｸﾙ TK-591 Y</t>
  </si>
  <si>
    <t>RTK66</t>
  </si>
  <si>
    <t>ﾘｻｲｸﾙ TK-66</t>
  </si>
  <si>
    <t>RTK7301</t>
  </si>
  <si>
    <t>ﾘｻｲｸﾙ TK-7301</t>
  </si>
  <si>
    <t>RTK7311</t>
  </si>
  <si>
    <t>ﾘｻｲｸﾙﾄﾅｰ TK-7311</t>
  </si>
  <si>
    <t>RTK8601C</t>
  </si>
  <si>
    <t>ﾘｻｲｸﾙﾄﾅｰ TK-8601C ｼｱﾝ</t>
  </si>
  <si>
    <t>RTK8601K</t>
  </si>
  <si>
    <t>ﾘｻｲｸﾙﾄﾅｰ TK-8601K ﾌﾞﾗｯｸ</t>
  </si>
  <si>
    <t>RTK8601M</t>
  </si>
  <si>
    <t>ﾘｻｲｸﾙﾄﾅｰ TK-8601M ﾏｾﾞﾝﾀ</t>
  </si>
  <si>
    <t>RTK8601Y</t>
  </si>
  <si>
    <t>ﾘｻｲｸﾙﾄﾅｰ TK-8601Y ｲｴﾛｰ</t>
  </si>
  <si>
    <t>RTK8801C</t>
  </si>
  <si>
    <t>ﾘｻｲｸﾙﾄﾅｰ TK-8801 C</t>
  </si>
  <si>
    <t>RTK8801K</t>
  </si>
  <si>
    <t>ﾘｻｲｸﾙﾄﾅｰ TK-8801 K</t>
  </si>
  <si>
    <t>RTK8801M</t>
  </si>
  <si>
    <t>ﾘｻｲｸﾙﾄﾅｰ TK-8801 M</t>
  </si>
  <si>
    <t>RTK8801Y</t>
  </si>
  <si>
    <t>ﾘｻｲｸﾙﾄﾅｰ TK-8801 Y</t>
  </si>
  <si>
    <t>RTK896C</t>
  </si>
  <si>
    <t>ﾘｻｲｸﾙﾄﾅｰ TK-896 C</t>
  </si>
  <si>
    <t>RTK896K</t>
  </si>
  <si>
    <t>ﾘｻｲｸﾙﾄﾅｰ TK-896 BK</t>
  </si>
  <si>
    <t>RTK896M</t>
  </si>
  <si>
    <t>ﾘｻｲｸﾙﾄﾅｰ TK-896 M</t>
  </si>
  <si>
    <t>RTK896Y</t>
  </si>
  <si>
    <t>ﾘｻｲｸﾙﾄﾅｰ TK-896 Y</t>
  </si>
  <si>
    <t>RTKNR12500</t>
  </si>
  <si>
    <t>ﾘｻｲｸﾙ TK-NR12500</t>
  </si>
  <si>
    <t>RTN11J</t>
  </si>
  <si>
    <t>ﾘｻｲｸﾙﾄﾅｰ TN-11J</t>
  </si>
  <si>
    <t>RTN217</t>
  </si>
  <si>
    <t>ﾘｻｲｸﾙﾄﾅｰ TN-217(ｺﾆｶﾐﾉﾙﾀ)</t>
  </si>
  <si>
    <t>RTN25J</t>
  </si>
  <si>
    <t>ﾘｻｲｸﾙﾄﾅｰ TN-25J</t>
  </si>
  <si>
    <t>RTN26J</t>
  </si>
  <si>
    <t>ﾘｻｲｸﾙﾄﾅｰ TN-26J</t>
  </si>
  <si>
    <t>RTN27J</t>
  </si>
  <si>
    <t>ﾘｻｲｸﾙﾄﾅｰ TN-27J</t>
  </si>
  <si>
    <t>RTN28J</t>
  </si>
  <si>
    <t>ﾘｻｲｸﾙﾄﾅｰ TN-28J</t>
  </si>
  <si>
    <t>RTN293BK</t>
  </si>
  <si>
    <t>ﾘｻｲｸﾙﾄﾅｰ TN-293 BK</t>
  </si>
  <si>
    <t>RTN293C</t>
  </si>
  <si>
    <t>ﾘｻｲｸﾙﾄﾅｰ TN-293 C</t>
  </si>
  <si>
    <t>RTN293M</t>
  </si>
  <si>
    <t>ﾘｻｲｸﾙﾄﾅｰ TN-293 M</t>
  </si>
  <si>
    <t>RTN293Y</t>
  </si>
  <si>
    <t>ﾘｻｲｸﾙﾄﾅｰ TN-293 Y</t>
  </si>
  <si>
    <t>RTN299XLBK</t>
  </si>
  <si>
    <t>ﾘｻｲｸﾙﾄﾅｰ TN-299XLBK</t>
  </si>
  <si>
    <t>RTN299XLC</t>
  </si>
  <si>
    <t>ﾘｻｲｸﾙﾄﾅｰ TN-299XLC</t>
  </si>
  <si>
    <t>RTN299XLM</t>
  </si>
  <si>
    <t>ﾘｻｲｸﾙﾄﾅｰ TN-299XLM</t>
  </si>
  <si>
    <t>RTN299XLY</t>
  </si>
  <si>
    <t>ﾘｻｲｸﾙﾄﾅｰ TN-299XLY</t>
  </si>
  <si>
    <t>RTN299XXLBK</t>
  </si>
  <si>
    <t>ﾘｻｲｸﾙﾄﾅｰ TN-299XXLBK</t>
  </si>
  <si>
    <t>RTN299XXLC</t>
  </si>
  <si>
    <t>ﾘｻｲｸﾙﾄﾅｰ TN-299XXLC</t>
  </si>
  <si>
    <t>RTN299XXLM</t>
  </si>
  <si>
    <t>ﾘｻｲｸﾙﾄﾅｰ TN-299XXLM</t>
  </si>
  <si>
    <t>RTN299XXLY</t>
  </si>
  <si>
    <t>ﾘｻｲｸﾙﾄﾅｰ TN-299XXLY</t>
  </si>
  <si>
    <t>RTN29J</t>
  </si>
  <si>
    <t>ﾘｻｲｸﾙﾄﾅｰ TN-29J</t>
  </si>
  <si>
    <t>RTN32JXL</t>
  </si>
  <si>
    <t>ﾘｻｲｸﾙﾄﾅｰ TN32JXL</t>
  </si>
  <si>
    <t>RTN32JXXL</t>
  </si>
  <si>
    <t>ﾘｻｲｸﾙﾄﾅｰ TN32JXXL</t>
  </si>
  <si>
    <t>RTN37J</t>
  </si>
  <si>
    <t>ﾘｻｲｸﾙﾄﾅｰ TN-37J</t>
  </si>
  <si>
    <t>RTN395BK</t>
  </si>
  <si>
    <t>ﾘｻｲｸﾙﾄﾅｰ TN-395BK</t>
  </si>
  <si>
    <t>RTN395C</t>
  </si>
  <si>
    <t>ﾘｻｲｸﾙﾄﾅｰ TN-395C</t>
  </si>
  <si>
    <t>RTN395M</t>
  </si>
  <si>
    <t>ﾘｻｲｸﾙﾄﾅｰ TN-395M</t>
  </si>
  <si>
    <t>RTN395Y</t>
  </si>
  <si>
    <t>ﾘｻｲｸﾙﾄﾅｰ TN-395Y</t>
  </si>
  <si>
    <t>RTN47J</t>
  </si>
  <si>
    <t>ﾘｻｲｸﾙﾄﾅｰ TN-47J</t>
  </si>
  <si>
    <t>RTN48J</t>
  </si>
  <si>
    <t>ﾘｻｲｸﾙﾄﾅｰ TN-48J</t>
  </si>
  <si>
    <t>RTN493BK</t>
  </si>
  <si>
    <t>ﾘｻｲｸﾙﾄﾅｰ TN-493BK</t>
  </si>
  <si>
    <t>RTN493C</t>
  </si>
  <si>
    <t>ﾘｻｲｸﾙﾄﾅｰ TN-493C</t>
  </si>
  <si>
    <t>RTN493M</t>
  </si>
  <si>
    <t>ﾘｻｲｸﾙﾄﾅｰ TN-493M</t>
  </si>
  <si>
    <t>RTN493Y</t>
  </si>
  <si>
    <t>ﾘｻｲｸﾙﾄﾅｰ TN-493Y</t>
  </si>
  <si>
    <t>RTN499BK</t>
  </si>
  <si>
    <t>ﾘｻｲｸﾙﾄﾅｰ TN-499BK</t>
  </si>
  <si>
    <t>RTN499C</t>
  </si>
  <si>
    <t>ﾘｻｲｸﾙﾄﾅｰ TN-499C</t>
  </si>
  <si>
    <t>RTN499M</t>
  </si>
  <si>
    <t>ﾘｻｲｸﾙﾄﾅｰ TN-499M</t>
  </si>
  <si>
    <t>RTN499Y</t>
  </si>
  <si>
    <t>ﾘｻｲｸﾙﾄﾅｰ TN-499Y</t>
  </si>
  <si>
    <t>RTN53J</t>
  </si>
  <si>
    <t>ﾘｻｲｸﾙﾄﾅｰ TN-53J</t>
  </si>
  <si>
    <t>RTN56J</t>
  </si>
  <si>
    <t>ﾘｻｲｸﾙﾄﾅｰ TN-56J</t>
  </si>
  <si>
    <t>RTN61J</t>
  </si>
  <si>
    <t>ﾘｻｲｸﾙﾄﾅｰ TN-61J</t>
  </si>
  <si>
    <t>RTN62J</t>
  </si>
  <si>
    <t>ﾘｻｲｸﾙﾄﾅｰ TN-62J</t>
  </si>
  <si>
    <t>RTN62XL</t>
  </si>
  <si>
    <t>ﾘｻｲｸﾙﾄﾅｰ TN-62JXL</t>
  </si>
  <si>
    <t>RTN70J</t>
  </si>
  <si>
    <t>ﾘｻｲｸﾙﾄﾅｰ TN70J 3K</t>
  </si>
  <si>
    <t>RTN70JXL</t>
  </si>
  <si>
    <t>ﾘｻｲｸﾙﾄﾅｰ TN70JXL 6K</t>
  </si>
  <si>
    <t>RTN70JXXL</t>
  </si>
  <si>
    <t>ﾘｻｲｸﾙﾄﾅｰ TN70JXXL 11K</t>
  </si>
  <si>
    <t>RTNP83</t>
  </si>
  <si>
    <t>ﾘｻｲｸﾙﾄﾅｰ TNP-83 12,000枚仕様</t>
  </si>
  <si>
    <t>RTNP84</t>
  </si>
  <si>
    <t>ﾘｻｲｸﾙﾄﾅｰ TNP-84 3,000枚仕様</t>
  </si>
  <si>
    <t>RTNR-C3PC2</t>
  </si>
  <si>
    <t>-終息-ﾘｻｲｸﾙﾄﾅｰ TNR-C3PC2</t>
  </si>
  <si>
    <t>RTNR-C3PK2</t>
  </si>
  <si>
    <t>-終息-ﾘｻｲｸﾙﾄﾅｰ TNR-C3PK2</t>
  </si>
  <si>
    <t>RTNR-C3PM2</t>
  </si>
  <si>
    <t>-終息-ﾘｻｲｸﾙﾄﾅｰ TNR-C3PM2</t>
  </si>
  <si>
    <t>RTNR-C3PY2</t>
  </si>
  <si>
    <t>-終息-ﾘｻｲｸﾙﾄﾅｰ TNR-C3PY2</t>
  </si>
  <si>
    <t>RTNRC3EC1</t>
  </si>
  <si>
    <t>ﾘｻｲｸﾙ TNR-C3EC1</t>
  </si>
  <si>
    <t>RTNRC3EK1</t>
  </si>
  <si>
    <t>ﾘｻｲｸﾙ TNR-C3EK1</t>
  </si>
  <si>
    <t>RTNRC3EM1</t>
  </si>
  <si>
    <t>ﾘｻｲｸﾙ TNR-C3EM1</t>
  </si>
  <si>
    <t>RTNRC3EY1</t>
  </si>
  <si>
    <t>ﾘｻｲｸﾙ TNR-C3EY1</t>
  </si>
  <si>
    <t>RTNRC3FC1</t>
  </si>
  <si>
    <t>ﾘｻｲｸﾙ TNR-C3FC1</t>
  </si>
  <si>
    <t>RTNRC3FK1</t>
  </si>
  <si>
    <t>ﾘｻｲｸﾙ TNR-C3FK1</t>
  </si>
  <si>
    <t>RTNRC3FM1</t>
  </si>
  <si>
    <t>ﾘｻｲｸﾙ TNR-C3FM1</t>
  </si>
  <si>
    <t>RTNRC3FY1</t>
  </si>
  <si>
    <t>ﾘｻｲｸﾙ TNR-C3FY1</t>
  </si>
  <si>
    <t>RTNRC3KC1</t>
  </si>
  <si>
    <t>ﾘｻｲｸﾙﾄﾅｰ TNR-C3KC1</t>
  </si>
  <si>
    <t>RTNRC3KK1</t>
  </si>
  <si>
    <t>ﾘｻｲｸﾙﾄﾅｰ TNR-C3KK1</t>
  </si>
  <si>
    <t>RTNRC3KM1</t>
  </si>
  <si>
    <t>ﾘｻｲｸﾙﾄﾅｰ TNR-C3KM1</t>
  </si>
  <si>
    <t>RTNRC3KY1</t>
  </si>
  <si>
    <t>ﾘｻｲｸﾙﾄﾅｰ TNR-C3KY1</t>
  </si>
  <si>
    <t>RTNRC3LC2</t>
  </si>
  <si>
    <t>ﾘｻｲｸﾙﾄﾅｰ TNR-C3LC2</t>
  </si>
  <si>
    <t>RTNRC3LK2</t>
  </si>
  <si>
    <t>ﾘｻｲｸﾙﾄﾅｰ TNR-C3LK2</t>
  </si>
  <si>
    <t>RTNRC3LM2</t>
  </si>
  <si>
    <t>ﾘｻｲｸﾙﾄﾅｰ TNR-C3LM2</t>
  </si>
  <si>
    <t>RTNRC3LY2</t>
  </si>
  <si>
    <t>ﾘｻｲｸﾙﾄﾅｰ TNR-C3LY2</t>
  </si>
  <si>
    <t>RTNRC3MC1</t>
  </si>
  <si>
    <t>ﾘｻｲｸﾙﾄﾅｰ TNR-C3MC1</t>
  </si>
  <si>
    <t>RTNRC3MK1</t>
  </si>
  <si>
    <t>ﾘｻｲｸﾙﾄﾅｰ TNR-C3MK1</t>
  </si>
  <si>
    <t>RTNRC3MM1</t>
  </si>
  <si>
    <t>ﾘｻｲｸﾙﾄﾅｰ TNR-C3MM1</t>
  </si>
  <si>
    <t>RTNRC3MY1</t>
  </si>
  <si>
    <t>ﾘｻｲｸﾙﾄﾅｰ TNR-C3MY1</t>
  </si>
  <si>
    <t>RTNRC4BC1</t>
  </si>
  <si>
    <t>ﾘｻｲｸﾙ TNR-C4BC1</t>
  </si>
  <si>
    <t>RTNRC4BK1</t>
  </si>
  <si>
    <t>ﾘｻｲｸﾙ TNR-C4BK1</t>
  </si>
  <si>
    <t>RTNRC4BM1</t>
  </si>
  <si>
    <t>ﾘｻｲｸﾙ TNR-C4BM1</t>
  </si>
  <si>
    <t>RTNRC4BY1</t>
  </si>
  <si>
    <t>ﾘｻｲｸﾙ TNR-C4BY1</t>
  </si>
  <si>
    <t>RTNRC4CC1</t>
  </si>
  <si>
    <t>ﾘｻｲｸﾙ TNR-C4CC1</t>
  </si>
  <si>
    <t>RTNRC4CM1</t>
  </si>
  <si>
    <t>ﾘｻｲｸﾙ TNR-C4CM1</t>
  </si>
  <si>
    <t>RTNRC4CY1</t>
  </si>
  <si>
    <t>ﾘｻｲｸﾙ TNR-C4CY1</t>
  </si>
  <si>
    <t>RTNRC4FC2</t>
  </si>
  <si>
    <t>-終息-ﾘｻｲｸﾙ TNR-C4FC2</t>
  </si>
  <si>
    <t>RTNRC4FK2</t>
  </si>
  <si>
    <t>-終息-ﾘｻｲｸﾙ TNR-C4FK2</t>
  </si>
  <si>
    <t>RTNRC4FM2</t>
  </si>
  <si>
    <t>-終息-ﾘｻｲｸﾙ TNR-C4FM2</t>
  </si>
  <si>
    <t>RTNRC4FY2</t>
  </si>
  <si>
    <t>-終息-ﾘｻｲｸﾙ TNR-C4FY2</t>
  </si>
  <si>
    <t>RTNRC4GC2</t>
  </si>
  <si>
    <t>ﾘｻｲｸﾙ TNR-C4GC2</t>
  </si>
  <si>
    <t>RTNRC4GK2</t>
  </si>
  <si>
    <t>ﾘｻｲｸﾙ TNR-C4GK2</t>
  </si>
  <si>
    <t>RTNRC4GM2</t>
  </si>
  <si>
    <t>ﾘｻｲｸﾙ TNR-C4GM2</t>
  </si>
  <si>
    <t>RTNRC4GY2</t>
  </si>
  <si>
    <t>ﾘｻｲｸﾙ TNR-C4GY2</t>
  </si>
  <si>
    <t>RTNRC4HC1</t>
  </si>
  <si>
    <t>ﾘｻｲｸﾙﾄﾅｰ TNR-C4HC1</t>
  </si>
  <si>
    <t>RTNRC4HC2</t>
  </si>
  <si>
    <t>ﾘｻｲｸﾙﾄﾅｰ TNR-C4HC2</t>
  </si>
  <si>
    <t>RTNRC4HK1</t>
  </si>
  <si>
    <t>ﾘｻｲｸﾙﾄﾅｰ TNR-C4HK1</t>
  </si>
  <si>
    <t>RTNRC4HK2</t>
  </si>
  <si>
    <t>ﾘｻｲｸﾙﾄﾅｰ TNR-C4HK2</t>
  </si>
  <si>
    <t>RTNRC4HM1</t>
  </si>
  <si>
    <t>ﾘｻｲｸﾙﾄﾅｰ TNR-C4HM1</t>
  </si>
  <si>
    <t>RTNRC4HM2</t>
  </si>
  <si>
    <t>ﾘｻｲｸﾙﾄﾅｰ TNR-C4HM2</t>
  </si>
  <si>
    <t>RTNRC4HY1</t>
  </si>
  <si>
    <t>ﾘｻｲｸﾙﾄﾅｰ TNR-C4HY1</t>
  </si>
  <si>
    <t>RTNRC4HY2</t>
  </si>
  <si>
    <t>ﾘｻｲｸﾙﾄﾅｰ TNR-C4HY2</t>
  </si>
  <si>
    <t>RTNRC4JC1</t>
  </si>
  <si>
    <t>ﾘｻｲｸﾙﾄﾅｰ TNR-C4JC1</t>
  </si>
  <si>
    <t>RTNRC4JK1</t>
  </si>
  <si>
    <t>ﾘｻｲｸﾙﾄﾅｰ TNR-C4JK1</t>
  </si>
  <si>
    <t>RTNRC4JM1</t>
  </si>
  <si>
    <t>ﾘｻｲｸﾙﾄﾅｰ TNR-C4JM1</t>
  </si>
  <si>
    <t>RTNRC4JY1</t>
  </si>
  <si>
    <t>ﾘｻｲｸﾙﾄﾅｰ TNR-C4JY1</t>
  </si>
  <si>
    <t>RTNRC4KC1</t>
  </si>
  <si>
    <t>ﾘｻｲｸﾙ TNR-C4KC1</t>
  </si>
  <si>
    <t>RTNRC4KC2</t>
  </si>
  <si>
    <t>ﾘｻｲｸﾙﾄﾅｰ TNR-C4KC2</t>
  </si>
  <si>
    <t>RTNRC4KK1</t>
  </si>
  <si>
    <t>ﾘｻｲｸﾙ TNR-C4KK1</t>
  </si>
  <si>
    <t>RTNRC4KK2</t>
  </si>
  <si>
    <t>ﾘｻｲｸﾙﾄﾅｰ TNR-C4KK2</t>
  </si>
  <si>
    <t>RTNRC4KM1</t>
  </si>
  <si>
    <t>ﾘｻｲｸﾙ TNR-C4KM1</t>
  </si>
  <si>
    <t>RTNRC4KM2</t>
  </si>
  <si>
    <t>ﾘｻｲｸﾙﾄﾅｰ TNR-C4KM2</t>
  </si>
  <si>
    <t>RTNRC4KY1</t>
  </si>
  <si>
    <t>ﾘｻｲｸﾙ TNR-C4KY1</t>
  </si>
  <si>
    <t>RTNRC4KY2</t>
  </si>
  <si>
    <t>ﾘｻｲｸﾙﾄﾅｰ TNR-C4KY2</t>
  </si>
  <si>
    <t>RTNRM4A</t>
  </si>
  <si>
    <t>ﾘｻｲｸﾙ TNR-M4A</t>
  </si>
  <si>
    <t>RTNRM4B</t>
  </si>
  <si>
    <t>ﾘｻｲｸﾙ TNR-M4B</t>
  </si>
  <si>
    <t>RTNRM4D2</t>
  </si>
  <si>
    <t>ﾘｻｲｸﾙ TNR-M4D2</t>
  </si>
  <si>
    <t>RTNRM4E1</t>
  </si>
  <si>
    <t>ﾘｻｲｸﾙﾄﾅｰ  TNR-M4E1</t>
  </si>
  <si>
    <t>RTNRM4G1</t>
  </si>
  <si>
    <t>ﾘｻｲｸﾙﾄﾅｰ TNR-M4G1</t>
  </si>
  <si>
    <t>RTNRM4G2</t>
  </si>
  <si>
    <t>ﾘｻｲｸﾙﾄﾅｰ TNR-M4G2</t>
  </si>
  <si>
    <t>RTS0780A</t>
  </si>
  <si>
    <t>ﾘｻｲｸﾙﾄﾅｰ ﾑﾗﾃｯｸ TS-0780A (3.0K)</t>
  </si>
  <si>
    <t>RTS0780A_6.0</t>
  </si>
  <si>
    <t>ﾘｻｲｸﾙﾄﾅｰ ﾑﾗﾃｯｸ TS-0780A (6.0K)</t>
  </si>
  <si>
    <t>RTS1820CJP</t>
  </si>
  <si>
    <t>ﾘｻｲｸﾙﾄﾅｰ TS1820CJP</t>
  </si>
  <si>
    <t>RTS20B</t>
  </si>
  <si>
    <t>ﾘｻｲｸﾙﾄﾅｰ TS20B</t>
  </si>
  <si>
    <t>RTS24C</t>
  </si>
  <si>
    <t>ﾘｻｲｸﾙﾄﾅｰ V-1800 TS24C</t>
  </si>
  <si>
    <t>RTS30B</t>
  </si>
  <si>
    <t>ﾘｻｲｸﾙﾄﾅｰ TS30B</t>
  </si>
  <si>
    <t>RTS3680</t>
  </si>
  <si>
    <t>ﾘｻｲｸﾙﾄﾅｰ ﾑﾗﾃｯｸ TS-3680 K</t>
  </si>
  <si>
    <t>RTS3680C</t>
  </si>
  <si>
    <t>ﾘｻｲｸﾙﾄﾅｰ ﾑﾗﾃｯｸ TS-3680 C</t>
  </si>
  <si>
    <t>RTS3680M</t>
  </si>
  <si>
    <t>ﾘｻｲｸﾙﾄﾅｰ ﾑﾗﾃｯｸ TS-3680 M</t>
  </si>
  <si>
    <t>RTS3680Y</t>
  </si>
  <si>
    <t>ﾘｻｲｸﾙﾄﾅｰ ﾑﾗﾃｯｸ TS-3680 Y</t>
  </si>
  <si>
    <t>RTS5180AJP</t>
  </si>
  <si>
    <t>ﾘｻｲｸﾙﾄﾅｰ TS5180AJP</t>
  </si>
  <si>
    <t>RTS5180BJP</t>
  </si>
  <si>
    <t>ﾘｻｲｸﾙﾄﾅｰ TS5180BJP</t>
  </si>
  <si>
    <t>RU</t>
  </si>
  <si>
    <t>ﾘｻｲｸﾙﾄﾅｰ U　</t>
  </si>
  <si>
    <t>RV-660</t>
  </si>
  <si>
    <t>ﾘｻｲｸﾙﾄﾅｰ ﾑﾗﾃｯｸ V-660</t>
  </si>
  <si>
    <t>RV20TDSCN</t>
  </si>
  <si>
    <t>ﾘｻｲｸﾙﾄﾅｰ/ﾄﾞﾗﾑ V20-TDSC-N ｼｱﾝ</t>
  </si>
  <si>
    <t>RV20TDSKN</t>
  </si>
  <si>
    <t>ﾘｻｲｸﾙﾄﾅｰ/ﾄﾞﾗﾑ V20-TDSK-N ﾌﾞﾗｯｸ</t>
  </si>
  <si>
    <t>RV20TDSMN</t>
  </si>
  <si>
    <t>ﾘｻｲｸﾙﾄﾅｰ/ﾄﾞﾗﾑ V20-TDSM-N ﾏｾﾞﾝﾀ</t>
  </si>
  <si>
    <t>RV20TDSYN</t>
  </si>
  <si>
    <t>ﾘｻｲｸﾙﾄﾅｰ/ﾄﾞﾗﾑ V20-TDSY-N ｲｴﾛｰ</t>
  </si>
  <si>
    <t>RVSP4720</t>
  </si>
  <si>
    <t>ﾘｻｲｸﾙ VSP4720用ﾄﾅｰ</t>
  </si>
  <si>
    <t>RVSP4730</t>
  </si>
  <si>
    <t>ﾘｻｲｸﾙ VSP4730用ﾄﾅｰ</t>
  </si>
  <si>
    <t>RW</t>
  </si>
  <si>
    <t>ﾘｻｲｸﾙﾄﾅｰ ｶｰﾄﾘｯｼﾞW</t>
  </si>
  <si>
    <t>RWT722</t>
  </si>
  <si>
    <t>ﾘｻｲｸﾙ 回収ﾄﾅｰﾎﾞｯｸｽ WT-722</t>
  </si>
  <si>
    <t>RWT98B</t>
  </si>
  <si>
    <t>ﾘｻｲｸﾙ 回収ﾄﾅｰﾎﾞｯｸｽ WT-98B</t>
  </si>
  <si>
    <t>RWTC1</t>
  </si>
  <si>
    <t>ﾘｻｲｸﾙ　回収ﾄﾅｰﾎﾞｯｸｽ WT-C1</t>
  </si>
  <si>
    <t>SG5200</t>
  </si>
  <si>
    <t>RICOH ｲﾝｸｼﾞｪｯﾄﾌﾟﾘﾝﾀｰ SG 5200 ﾌﾛﾝﾄ手差しﾓﾃﾞﾙ　【515921】</t>
  </si>
  <si>
    <t>SG5200-2</t>
  </si>
  <si>
    <t>RICOH ｲﾝｸｼﾞｪｯﾄﾌﾟﾘﾝﾀｰ SG 5200 【515920】</t>
  </si>
  <si>
    <t>SP6410</t>
  </si>
  <si>
    <t>RICOH SP 6410</t>
  </si>
  <si>
    <t>SP8400</t>
  </si>
  <si>
    <t>RICOH ﾚｰｻﾞｰﾌﾟﾘﾝﾀｰ SP 8400</t>
  </si>
  <si>
    <t>SP8400a1</t>
  </si>
  <si>
    <t>RICOH ﾚｰｻﾞｰﾌﾟﾘﾝﾀｰ SP 8400a1</t>
  </si>
  <si>
    <t>SPC260L</t>
  </si>
  <si>
    <t>RICOH ﾚｰｻﾞｰﾌﾟﾘﾝﾀｰ SP C260L</t>
  </si>
  <si>
    <t>SPC341</t>
  </si>
  <si>
    <t>RICOH ﾚｰｻﾞｰﾌﾟﾘﾝﾀｰ SP C341　【512992】</t>
  </si>
  <si>
    <t>SPC342</t>
  </si>
  <si>
    <t>SPC352</t>
  </si>
  <si>
    <t>RICOH ﾚｰｻﾞｰﾌﾟﾘﾝﾀｰ SP C352</t>
  </si>
  <si>
    <t>SPC840</t>
  </si>
  <si>
    <t>SPC840a1</t>
  </si>
  <si>
    <t>RICOH ﾚｰｻﾞｰﾌﾟﾘﾝﾀｰ SP C840a1</t>
  </si>
  <si>
    <t>SPC841</t>
  </si>
  <si>
    <t>RICOH ﾚｰｻﾞｰﾌﾟﾘﾝﾀｰ SP C841</t>
  </si>
  <si>
    <t>SPC841a1</t>
  </si>
  <si>
    <t>RICOH ﾚｰｻﾞｰﾌﾟﾘﾝﾀｰ SP C841a1</t>
  </si>
  <si>
    <t>SRCT201688</t>
  </si>
  <si>
    <t>高品質ﾊﾟｳﾀﾞｰ再生品　CT201688</t>
  </si>
  <si>
    <t>SRCT201689</t>
  </si>
  <si>
    <t>高品質ﾊﾟｳﾀﾞｰ再生品　CT201689</t>
  </si>
  <si>
    <t>SRCT201690</t>
  </si>
  <si>
    <t>高品質ﾊﾟｳﾀﾞｰ再生品　CT201690</t>
  </si>
  <si>
    <t>SRCT201691</t>
  </si>
  <si>
    <t>高品質ﾊﾟｳﾀﾞｰ再生品　CT201691</t>
  </si>
  <si>
    <t>SRCT202054</t>
  </si>
  <si>
    <t>高品質ﾊﾟｳﾀﾞｰ再生品　CT202054</t>
  </si>
  <si>
    <t>SRCT202055</t>
  </si>
  <si>
    <t>高品質ﾊﾟｳﾀﾞｰ再生品　CT202055</t>
  </si>
  <si>
    <t>SRCT202056</t>
  </si>
  <si>
    <t>高品質ﾊﾟｳﾀﾞｰ再生品　CT202056</t>
  </si>
  <si>
    <t>SRCT202057</t>
  </si>
  <si>
    <t>高品質ﾊﾟｳﾀﾞｰ再生品　CT202057</t>
  </si>
  <si>
    <t>SRCT202681</t>
  </si>
  <si>
    <t>高品質ﾊﾟｳﾀﾞｰ再生品　CT202681</t>
  </si>
  <si>
    <t>SRCT202682</t>
  </si>
  <si>
    <t>高品質ﾊﾟｳﾀﾞｰ再生品　CT202682</t>
  </si>
  <si>
    <t>SRCT202683</t>
  </si>
  <si>
    <t>高品質ﾊﾟｳﾀﾞｰ再生品　CT202683</t>
  </si>
  <si>
    <t>SRCT202684</t>
  </si>
  <si>
    <t>高品質ﾊﾟｳﾀﾞｰ再生品　CT202684</t>
  </si>
  <si>
    <t>SRCT202728</t>
  </si>
  <si>
    <t>高品質ﾊﾟｳﾀﾞｰ再生品　CT202728</t>
  </si>
  <si>
    <t>SRCT202730</t>
  </si>
  <si>
    <t>高品質ﾊﾟｳﾀﾞｰ再生品　CT202730</t>
  </si>
  <si>
    <t>SRCT202731</t>
  </si>
  <si>
    <t>高品質ﾊﾟｳﾀﾞｰ再生品　CT202731</t>
  </si>
  <si>
    <t>SRCT203057</t>
  </si>
  <si>
    <t>高品質ﾊﾟｳﾀﾞｰ再生品　CT203057</t>
  </si>
  <si>
    <t>SRCT203058</t>
  </si>
  <si>
    <t>高品質ﾊﾟｳﾀﾞｰ再生品　CT203058</t>
  </si>
  <si>
    <t>SRCT203059</t>
  </si>
  <si>
    <t>高品質ﾊﾟｳﾀﾞｰ再生品　CT203059</t>
  </si>
  <si>
    <t>SRCT203060</t>
  </si>
  <si>
    <t>高品質ﾊﾟｳﾀﾞｰ再生品　CT203060</t>
  </si>
  <si>
    <t>SRCT203169</t>
  </si>
  <si>
    <t>高品質ﾊﾟｳﾀﾞｰ再生品　CT203169</t>
  </si>
  <si>
    <t>SRCT203170</t>
  </si>
  <si>
    <t>高品質ﾊﾟｳﾀﾞｰ再生品　CT203170</t>
  </si>
  <si>
    <t>SRCT203171</t>
  </si>
  <si>
    <t>高品質ﾊﾟｳﾀﾞｰ再生品　CT203171</t>
  </si>
  <si>
    <t>SRCT203172</t>
  </si>
  <si>
    <t>高品質ﾊﾟｳﾀﾞｰ再生品　CT203172</t>
  </si>
  <si>
    <t>SRCT203177</t>
  </si>
  <si>
    <t>高品質ﾊﾟｳﾀﾞｰ再生品　CT203177</t>
  </si>
  <si>
    <t>SRCT203178</t>
  </si>
  <si>
    <t>高品質ﾊﾟｳﾀﾞｰ再生品　CT203178</t>
  </si>
  <si>
    <t>SRCT203180</t>
  </si>
  <si>
    <t>高品質ﾊﾟｳﾀﾞｰ再生品　CT203180</t>
  </si>
  <si>
    <t>SRCT203207</t>
  </si>
  <si>
    <t>高品質ﾊﾟｳﾀﾞｰ再生品　CT203207</t>
  </si>
  <si>
    <t>SRCT203208</t>
  </si>
  <si>
    <t>高品質ﾊﾟｳﾀﾞｰ再生品　CT203208</t>
  </si>
  <si>
    <t>SRCT203209</t>
  </si>
  <si>
    <t>高品質ﾊﾟｳﾀﾞｰ再生品　CT203209</t>
  </si>
  <si>
    <t>SRCT203210</t>
  </si>
  <si>
    <t>高品質ﾊﾟｳﾀﾞｰ再生品　CT203210</t>
  </si>
  <si>
    <t>SRCT203215</t>
  </si>
  <si>
    <t>高品質ﾊﾟｳﾀﾞｰ再生品　CT203215</t>
  </si>
  <si>
    <t>SRCT203216</t>
  </si>
  <si>
    <t>高品質ﾊﾟｳﾀﾞｰ再生品　CT203216</t>
  </si>
  <si>
    <t>SRCT203217</t>
  </si>
  <si>
    <t>高品質ﾊﾟｳﾀﾞｰ再生品　CT203217</t>
  </si>
  <si>
    <t>SRCT203218</t>
  </si>
  <si>
    <t>高品質ﾊﾟｳﾀﾞｰ再生品　CT203218</t>
  </si>
  <si>
    <t>SRCT203338</t>
  </si>
  <si>
    <t>高品質ﾊﾟｳﾀﾞｰ再生品　CT203338</t>
  </si>
  <si>
    <t>SRCT203339</t>
  </si>
  <si>
    <t>高品質ﾊﾟｳﾀﾞｰ再生品　CT203339</t>
  </si>
  <si>
    <t>SRCT203340</t>
  </si>
  <si>
    <t>SRCT203341</t>
  </si>
  <si>
    <t>高品質ﾊﾟｳﾀﾞｰ再生品　CT203341</t>
  </si>
  <si>
    <t>SRCT203418</t>
  </si>
  <si>
    <t>高品質ﾊﾟｳﾀﾞｰ再生品　CT203418</t>
  </si>
  <si>
    <t>SRCT203419</t>
  </si>
  <si>
    <t>高品質ﾊﾟｳﾀﾞｰ再生品　CT203419</t>
  </si>
  <si>
    <t>SRCT203420</t>
  </si>
  <si>
    <t>高品質ﾊﾟｳﾀﾞｰ再生品　CT203420</t>
  </si>
  <si>
    <t>SRCT203421</t>
  </si>
  <si>
    <t>高品質ﾊﾟｳﾀﾞｰ再生品　CT203421</t>
  </si>
  <si>
    <t>SRCT203532</t>
  </si>
  <si>
    <t>高品質ﾊﾟｳﾀﾞｰ再生品　CT203532</t>
  </si>
  <si>
    <t>SRCT203533</t>
  </si>
  <si>
    <t>高品質ﾊﾟｳﾀﾞｰ再生品　CT203533</t>
  </si>
  <si>
    <t>SRCT203534</t>
  </si>
  <si>
    <t>高品質ﾊﾟｳﾀﾞｰ再生品　CT203534</t>
  </si>
  <si>
    <t>SRCT203535</t>
  </si>
  <si>
    <t>高品質ﾊﾟｳﾀﾞｰ再生品　CT203535</t>
  </si>
  <si>
    <t>SRCT203656</t>
  </si>
  <si>
    <t>高品質ﾊﾟｳﾀﾞｰ再生品　CT203656</t>
  </si>
  <si>
    <t>SRCT203657</t>
  </si>
  <si>
    <t>高品質ﾊﾟｳﾀﾞｰ再生品　CT203657</t>
  </si>
  <si>
    <t>SRCT203658</t>
  </si>
  <si>
    <t>高品質ﾊﾟｳﾀﾞｰ再生品　CT203658</t>
  </si>
  <si>
    <t>SRCT203659</t>
  </si>
  <si>
    <t>高品質ﾊﾟｳﾀﾞｰ再生品　CT203659</t>
  </si>
  <si>
    <t>SRCT203887</t>
  </si>
  <si>
    <t>高品質ﾊﾟｳﾀﾞｰ再生品　CT203887</t>
  </si>
  <si>
    <t>SRCT203888</t>
  </si>
  <si>
    <t>高品質ﾊﾟｳﾀﾞｰ再生品　CT203888</t>
  </si>
  <si>
    <t>SRCT203889</t>
  </si>
  <si>
    <t>高品質ﾊﾟｳﾀﾞｰ再生品　CT203889</t>
  </si>
  <si>
    <t>SRCT203890</t>
  </si>
  <si>
    <t>高品質ﾊﾟｳﾀﾞｰ再生品　CT203890</t>
  </si>
  <si>
    <t>SRCT203970</t>
  </si>
  <si>
    <t>高品質ﾊﾟｳﾀﾞｰ再生品　CT203970</t>
  </si>
  <si>
    <t>SRCT203971</t>
  </si>
  <si>
    <t>高品質ﾊﾟｳﾀﾞｰ再生品　CT203971</t>
  </si>
  <si>
    <t>SRCT203972</t>
  </si>
  <si>
    <t>高品質ﾊﾟｳﾀﾞｰ再生品　CT203972</t>
  </si>
  <si>
    <t>SRCT203973</t>
  </si>
  <si>
    <t>高品質ﾊﾟｳﾀﾞｰ再生品　CT203973</t>
  </si>
  <si>
    <t>SRLPB4T21</t>
  </si>
  <si>
    <t>高品質ﾊﾟｳﾀﾞｰ再生品　LPB4T21</t>
  </si>
  <si>
    <t>SRLPC3T16C</t>
  </si>
  <si>
    <t>高品質ﾊﾟｳﾀﾞｰ再生品　LPC3T16C</t>
  </si>
  <si>
    <t>SRLPC3T16K</t>
  </si>
  <si>
    <t>高品質ﾊﾟｳﾀﾞｰ再生品　LPC3T16K</t>
  </si>
  <si>
    <t>SRLPC3T16M</t>
  </si>
  <si>
    <t>高品質ﾊﾟｳﾀﾞｰ再生品　LPC3T16M</t>
  </si>
  <si>
    <t>SRLPC3T16Y</t>
  </si>
  <si>
    <t>高品質ﾊﾟｳﾀﾞｰ再生品　LPC3T16Y</t>
  </si>
  <si>
    <t>SRLPC3T18C</t>
  </si>
  <si>
    <t>高品質ﾊﾟｳﾀﾞｰ再生品　LPC3T18C</t>
  </si>
  <si>
    <t>SRLPC3T18K</t>
  </si>
  <si>
    <t>高品質ﾊﾟｳﾀﾞｰ再生品　LPC3T18K</t>
  </si>
  <si>
    <t>SRLPC3T18M</t>
  </si>
  <si>
    <t>高品質ﾊﾟｳﾀﾞｰ再生品　LPC3T18M</t>
  </si>
  <si>
    <t>SRLPC3T18Y</t>
  </si>
  <si>
    <t>高品質ﾊﾟｳﾀﾞｰ再生品　LPC3T18Y</t>
  </si>
  <si>
    <t>SRLPC3T31C</t>
  </si>
  <si>
    <t>高品質ﾊﾟｳﾀﾞｰ再生品　LPC3T31C</t>
  </si>
  <si>
    <t>SRLPC3T31K</t>
  </si>
  <si>
    <t>高品質ﾊﾟｳﾀﾞｰ再生品　LPC3T31K</t>
  </si>
  <si>
    <t>SRLPC3T31M</t>
  </si>
  <si>
    <t>高品質ﾊﾟｳﾀﾞｰ再生品　LPC3T31M</t>
  </si>
  <si>
    <t>SRLPC3T31Y</t>
  </si>
  <si>
    <t>高品質ﾊﾟｳﾀﾞｰ再生品　LPC3T31Y</t>
  </si>
  <si>
    <t>SRLPC3T33C</t>
  </si>
  <si>
    <t>高品質ﾊﾟｳﾀﾞｰ再生品　LPC3T33C</t>
  </si>
  <si>
    <t>SRLPC3T33K</t>
  </si>
  <si>
    <t>高品質ﾊﾟｳﾀﾞｰ再生品　LPC3T33K</t>
  </si>
  <si>
    <t>SRLPC3T33M</t>
  </si>
  <si>
    <t>高品質ﾊﾟｳﾀﾞｰ再生品　LPC3T33M</t>
  </si>
  <si>
    <t>SRLPC3T33Y</t>
  </si>
  <si>
    <t>高品質ﾊﾟｳﾀﾞｰ再生品　LPC3T33Y</t>
  </si>
  <si>
    <t>SRLPC3T35C</t>
  </si>
  <si>
    <t>高品質ﾊﾟｳﾀﾞｰ再生品　LPC3T35C</t>
  </si>
  <si>
    <t>SRLPC3T35K</t>
  </si>
  <si>
    <t>高品質ﾊﾟｳﾀﾞｰ再生品　LPC3T35K</t>
  </si>
  <si>
    <t>SRLPC3T35M</t>
  </si>
  <si>
    <t>高品質ﾊﾟｳﾀﾞｰ再生品　LPC3T35M</t>
  </si>
  <si>
    <t>SRLPC3T35Y</t>
  </si>
  <si>
    <t>高品質ﾊﾟｳﾀﾞｰ再生品　LPC3T35Y</t>
  </si>
  <si>
    <t>SRLPC3T36C</t>
  </si>
  <si>
    <t>高品質ﾊﾟｳﾀﾞｰ再生品　LPC3T36C</t>
  </si>
  <si>
    <t>SRLPC3T36K</t>
  </si>
  <si>
    <t>高品質ﾊﾟｳﾀﾞｰ再生品　LPC3T36K</t>
  </si>
  <si>
    <t>SRLPC3T36M</t>
  </si>
  <si>
    <t>高品質ﾊﾟｳﾀﾞｰ再生品　LPC3T36M</t>
  </si>
  <si>
    <t>SRLPC3T36Y</t>
  </si>
  <si>
    <t>高品質ﾊﾟｳﾀﾞｰ再生品　LPC3T36Y</t>
  </si>
  <si>
    <t>SRLPC3T38C</t>
  </si>
  <si>
    <t>高品質ﾊﾟｳﾀﾞｰ再生品　LPC3T38C</t>
  </si>
  <si>
    <t>SRLPC3T38K</t>
  </si>
  <si>
    <t>高品質ﾊﾟｳﾀﾞｰ再生品　LPC3T38K</t>
  </si>
  <si>
    <t>SRLPC3T38M</t>
  </si>
  <si>
    <t>高品質ﾊﾟｳﾀﾞｰ再生品　LPC3T38M</t>
  </si>
  <si>
    <t>SRLPC3T38Y</t>
  </si>
  <si>
    <t>高品質ﾊﾟｳﾀﾞｰ再生品　LPC3T38Y</t>
  </si>
  <si>
    <t>SRLPC3T39C</t>
  </si>
  <si>
    <t>高品質ﾊﾟｳﾀﾞｰ再生品　LPC3T39C</t>
  </si>
  <si>
    <t>SRLPC3T39K</t>
  </si>
  <si>
    <t>高品質ﾊﾟｳﾀﾞｰ再生品　LPC3T39K</t>
  </si>
  <si>
    <t>SRLPC3T39M</t>
  </si>
  <si>
    <t>高品質ﾊﾟｳﾀﾞｰ再生品　LPC3T39M</t>
  </si>
  <si>
    <t>SRLPC3T39Y</t>
  </si>
  <si>
    <t>高品質ﾊﾟｳﾀﾞｰ再生品　LPC3T39Y</t>
  </si>
  <si>
    <t>SRPRL4C15016</t>
  </si>
  <si>
    <t>高品質ﾊﾟｳﾀﾞｰ再生品 PR-L4C150-16</t>
  </si>
  <si>
    <t>SRPRL4C15017</t>
  </si>
  <si>
    <t>高品質ﾊﾟｳﾀﾞｰ再生品 PR-L4C150-17</t>
  </si>
  <si>
    <t>SRPRL4C15018</t>
  </si>
  <si>
    <t>高品質ﾊﾟｳﾀﾞｰ再生品 PR-L4C150-18</t>
  </si>
  <si>
    <t>SRPRL4C15019</t>
  </si>
  <si>
    <t>高品質ﾊﾟｳﾀﾞｰ再生品 PR-L4C150-19</t>
  </si>
  <si>
    <t>SRPRL4M55011</t>
  </si>
  <si>
    <t>高品質ﾊﾟｳﾀﾞｰ再生品　PR-L4M550-11</t>
  </si>
  <si>
    <t>SRPRL4M55012</t>
  </si>
  <si>
    <t>高品質ﾊﾟｳﾀﾞｰ再生品　PR-L4M550-12</t>
  </si>
  <si>
    <t>SRPRL550012</t>
  </si>
  <si>
    <t>高品質ﾊﾟｳﾀﾞｰ再生品　PR-L5500-12</t>
  </si>
  <si>
    <t>SRPRL5800C11</t>
  </si>
  <si>
    <t>高品質ﾊﾟｳﾀﾞｰ再生品　PR-L5800C-11 Y</t>
  </si>
  <si>
    <t>SRPRL5800C12</t>
  </si>
  <si>
    <t>高品質ﾊﾟｳﾀﾞｰ再生品　PR-L5800C-12 M</t>
  </si>
  <si>
    <t>SRPRL5800C13</t>
  </si>
  <si>
    <t>高品質ﾊﾟｳﾀﾞｰ再生品　PR-L5800C-13 C</t>
  </si>
  <si>
    <t>SRPRL5800C14</t>
  </si>
  <si>
    <t>高品質ﾊﾟｳﾀﾞｰ再生品　PR-L5800C-14 BK</t>
  </si>
  <si>
    <t>SRPRL5850C16</t>
  </si>
  <si>
    <t>高品質ﾊﾟｳﾀﾞｰ再生品　PR-L5850C-16 Y</t>
  </si>
  <si>
    <t>SRPRL5850C17</t>
  </si>
  <si>
    <t>高品質ﾊﾟｳﾀﾞｰ再生品　PR-L5850C-17 M</t>
  </si>
  <si>
    <t>SRPRL5850C18</t>
  </si>
  <si>
    <t>高品質ﾊﾟｳﾀﾞｰ再生品　PR-L5850C-18 C</t>
  </si>
  <si>
    <t>SRPRL5850C19</t>
  </si>
  <si>
    <t>高品質ﾊﾟｳﾀﾞｰ再生品　PR-L5850C-19 BK</t>
  </si>
  <si>
    <t>SRPRL720012</t>
  </si>
  <si>
    <t>高品質ﾊﾟｳﾀﾞｰ再生品　PR-L7200-12</t>
  </si>
  <si>
    <t>SRPRL9010C11</t>
  </si>
  <si>
    <t>高品質ﾊﾟｳﾀﾞｰ再生品　PR-L9010C-11 Y</t>
  </si>
  <si>
    <t>SRPRL9010C12</t>
  </si>
  <si>
    <t>高品質ﾊﾟｳﾀﾞｰ再生品　PR-L9010C-12 M</t>
  </si>
  <si>
    <t>SRPRL9010C13</t>
  </si>
  <si>
    <t>高品質ﾊﾟｳﾀﾞｰ再生品　PR-L9010C-13 C</t>
  </si>
  <si>
    <t>SRPRL9010C14</t>
  </si>
  <si>
    <t>高品質ﾊﾟｳﾀﾞｰ再生品　PR-L9010C-14 BK</t>
  </si>
  <si>
    <t>SRPRL9100C11</t>
  </si>
  <si>
    <t>高品質ﾊﾟｳﾀﾞｰ再生品　PR-L9100C-11 Y</t>
  </si>
  <si>
    <t>SRPRL9100C12</t>
  </si>
  <si>
    <t>高品質ﾊﾟｳﾀﾞｰ再生品　PR-L9100C-12 M</t>
  </si>
  <si>
    <t>SRPRL9100C13</t>
  </si>
  <si>
    <t>高品質ﾊﾟｳﾀﾞｰ再生品　PR-L9100C-13 C</t>
  </si>
  <si>
    <t>SRPRL9100C14</t>
  </si>
  <si>
    <t>高品質ﾊﾟｳﾀﾞｰ再生品　PR-L9100C-14 BK</t>
  </si>
  <si>
    <t>SRPRL9110C11</t>
  </si>
  <si>
    <t>高品質ﾊﾟｳﾀﾞｰ再生品　PR-L9110C-11 Y</t>
  </si>
  <si>
    <t>SRPRL9110C12</t>
  </si>
  <si>
    <t>高品質ﾊﾟｳﾀﾞｰ再生品　PR-L9110C-12 M</t>
  </si>
  <si>
    <t>SRPRL9110C13</t>
  </si>
  <si>
    <t>高品質ﾊﾟｳﾀﾞｰ再生品　PR-L9110C-13 C</t>
  </si>
  <si>
    <t>SRPRL9110C14</t>
  </si>
  <si>
    <t>高品質ﾊﾟｳﾀﾞｰ再生品　PR-L9110C-14 BK</t>
  </si>
  <si>
    <t>SRPRL9160C16</t>
  </si>
  <si>
    <t>高品質ﾊﾟｳﾀﾞｰ再生品　PR-L9160C-16 Y</t>
  </si>
  <si>
    <t>SRPRL9160C17</t>
  </si>
  <si>
    <t>高品質ﾊﾟｳﾀﾞｰ再生品　PR-L9160C-17 M</t>
  </si>
  <si>
    <t>SRPRL9160C18</t>
  </si>
  <si>
    <t>高品質ﾊﾟｳﾀﾞｰ再生品　PR-L9160C-18 C</t>
  </si>
  <si>
    <t>SRPRL9160C19</t>
  </si>
  <si>
    <t>高品質ﾊﾟｳﾀﾞｰ再生品　PR-L9160C-19 BK</t>
  </si>
  <si>
    <t>SRPRL9300C16</t>
  </si>
  <si>
    <t>高品質ﾊﾟｳﾀﾞｰ再生品　PR-L9300C-16 Y</t>
  </si>
  <si>
    <t>SRPRL9300C17</t>
  </si>
  <si>
    <t>高品質ﾊﾟｳﾀﾞｰ再生品　PR-L9300C-17 M</t>
  </si>
  <si>
    <t>SRPRL9300C18</t>
  </si>
  <si>
    <t>高品質ﾊﾟｳﾀﾞｰ再生品　PR-L9300C-18 C</t>
  </si>
  <si>
    <t>SRPRL9300C19</t>
  </si>
  <si>
    <t>高品質ﾊﾟｳﾀﾞｰ再生品　PR-L9300C-19 BK</t>
  </si>
  <si>
    <t>SYOUHIZEI</t>
  </si>
  <si>
    <t>消費税調整</t>
  </si>
  <si>
    <t>T0B29A</t>
  </si>
  <si>
    <t>HP 982X ｲﾝｸｶｰﾄﾘｯｼﾞ T0B29A ｲｴﾛｰ</t>
  </si>
  <si>
    <t>TESUURYOU</t>
  </si>
  <si>
    <t>手数料</t>
  </si>
  <si>
    <t>TK-716</t>
  </si>
  <si>
    <t>TK422</t>
  </si>
  <si>
    <t>京セラ TK-422</t>
  </si>
  <si>
    <t>TK6326</t>
  </si>
  <si>
    <t>京セラ  TK-6326</t>
  </si>
  <si>
    <t>TK8116C</t>
  </si>
  <si>
    <t>京セラ　TK-8116 C</t>
  </si>
  <si>
    <t>TK8116K</t>
  </si>
  <si>
    <t>京セラ　TK-8116 K</t>
  </si>
  <si>
    <t>TK8116M</t>
  </si>
  <si>
    <t>京セラ　TK-8116 M</t>
  </si>
  <si>
    <t>TK8116SET</t>
  </si>
  <si>
    <t>京セラ　TK-8116 4色ｾｯﾄ</t>
  </si>
  <si>
    <t>TK8116Y</t>
  </si>
  <si>
    <t>京セラ　TK-8116 Y</t>
  </si>
  <si>
    <t>TK8316BK</t>
  </si>
  <si>
    <t>京セラ　TK-8316 BK</t>
  </si>
  <si>
    <t>TK8316C</t>
  </si>
  <si>
    <t>京セラ　TK-8316 C</t>
  </si>
  <si>
    <t>TK8316M</t>
  </si>
  <si>
    <t>京セラ　TK-8316 M</t>
  </si>
  <si>
    <t>TK8316Y</t>
  </si>
  <si>
    <t>京セラ　TK-8316 Y</t>
  </si>
  <si>
    <t>TK8326BK</t>
  </si>
  <si>
    <t>京セラ　TK-8326 BK</t>
  </si>
  <si>
    <t>TK8326BKS</t>
  </si>
  <si>
    <t>京セラ　TK-8326 BK (S)</t>
  </si>
  <si>
    <t>TK8326C</t>
  </si>
  <si>
    <t>京セラ　TK-8326 C</t>
  </si>
  <si>
    <t>TK8326CS</t>
  </si>
  <si>
    <t>京セラ　TK-8326 C (S)</t>
  </si>
  <si>
    <t>TK8326M</t>
  </si>
  <si>
    <t>京セラ　TK-8326 M</t>
  </si>
  <si>
    <t>TK8326MS</t>
  </si>
  <si>
    <t>京セラ　TK-8326 M (S)</t>
  </si>
  <si>
    <t>TK8326Y</t>
  </si>
  <si>
    <t>京セラ　TK-8326 Y</t>
  </si>
  <si>
    <t>TK8326YS</t>
  </si>
  <si>
    <t>京セラ　TK-8326 Y (S)</t>
  </si>
  <si>
    <t>TK8336BK</t>
  </si>
  <si>
    <t>京セラ　TK-8336 BK</t>
  </si>
  <si>
    <t>TK8336BKS</t>
  </si>
  <si>
    <t>京セラ　TK-8336 BK(S)</t>
  </si>
  <si>
    <t>TK8336C</t>
  </si>
  <si>
    <t>京セラ　TK-8336 C</t>
  </si>
  <si>
    <t>TK8336CS</t>
  </si>
  <si>
    <t>京セラ　TK-8336 C(S)</t>
  </si>
  <si>
    <t>TK8336M</t>
  </si>
  <si>
    <t>京セラ　TK-8336 M</t>
  </si>
  <si>
    <t>TK8336MS</t>
  </si>
  <si>
    <t>京セラ　TK-8336 M(S)</t>
  </si>
  <si>
    <t>TK8336Y</t>
  </si>
  <si>
    <t>京セラ　TK-8336 Y</t>
  </si>
  <si>
    <t>TK8336YS</t>
  </si>
  <si>
    <t>京セラ　TK-8336 Y(S)</t>
  </si>
  <si>
    <t>TK8356BK</t>
  </si>
  <si>
    <t>京セラ　TK-8356 BK</t>
  </si>
  <si>
    <t>TK8356C</t>
  </si>
  <si>
    <t>京セラ　TK-8356 C</t>
  </si>
  <si>
    <t>TK8356M</t>
  </si>
  <si>
    <t>京セラ　TK-8356 M</t>
  </si>
  <si>
    <t>TK8356Y</t>
  </si>
  <si>
    <t>京セラ　TK-8356 Y</t>
  </si>
  <si>
    <t>TK8376BK</t>
  </si>
  <si>
    <t>京セラ　TK-8376 BK</t>
  </si>
  <si>
    <t>TK8376C</t>
  </si>
  <si>
    <t>京セラ　TK-8376 C</t>
  </si>
  <si>
    <t>TK8376M</t>
  </si>
  <si>
    <t>京セラ　TK-8376 Ｍ</t>
  </si>
  <si>
    <t>TK8376Y</t>
  </si>
  <si>
    <t>京セラ　TK-8376 Y</t>
  </si>
  <si>
    <t>TK8446C</t>
  </si>
  <si>
    <t>京セラ　TK-8446C</t>
  </si>
  <si>
    <t>TK8446K</t>
  </si>
  <si>
    <t>京セラ　TK-8446K</t>
  </si>
  <si>
    <t>TK8446M</t>
  </si>
  <si>
    <t>京セラ　TK-8446M</t>
  </si>
  <si>
    <t>TK8446Y</t>
  </si>
  <si>
    <t>京セラ　TK-8446Y</t>
  </si>
  <si>
    <t>TK8466C</t>
  </si>
  <si>
    <t>京セラ　TK-8466C</t>
  </si>
  <si>
    <t>TK8466K</t>
  </si>
  <si>
    <t>京セラ　TK-8466K</t>
  </si>
  <si>
    <t>TK8466M</t>
  </si>
  <si>
    <t>京セラ　TK-8466M</t>
  </si>
  <si>
    <t>TK8466Y</t>
  </si>
  <si>
    <t>京セラ　TK-8466Y</t>
  </si>
  <si>
    <t>TK8506BK</t>
  </si>
  <si>
    <t>京セラ　TK-8506 BK</t>
  </si>
  <si>
    <t>TK8506C</t>
  </si>
  <si>
    <t>京セラ　TK-8506 C</t>
  </si>
  <si>
    <t>TK8506M</t>
  </si>
  <si>
    <t>京セラ　TK-8506 M</t>
  </si>
  <si>
    <t>TK8506Y</t>
  </si>
  <si>
    <t>京セラ　TK-8506 Y</t>
  </si>
  <si>
    <t>TK8516C</t>
  </si>
  <si>
    <t>京セラ　TK-8516 C</t>
  </si>
  <si>
    <t>TK8516K</t>
  </si>
  <si>
    <t>京セラ　TK-8516 K</t>
  </si>
  <si>
    <t>TK8516M</t>
  </si>
  <si>
    <t>京セラ　TK-8516 M</t>
  </si>
  <si>
    <t>TK8516Y</t>
  </si>
  <si>
    <t>京セラ　TK-8516 Y</t>
  </si>
  <si>
    <t>TK8556BK</t>
  </si>
  <si>
    <t>京セラ　TK-8556 BK</t>
  </si>
  <si>
    <t>TK8556C</t>
  </si>
  <si>
    <t>京セラ　TK-8556 C</t>
  </si>
  <si>
    <t>TK8556M</t>
  </si>
  <si>
    <t>京セラ　TK-8556 M</t>
  </si>
  <si>
    <t>TK8556Y</t>
  </si>
  <si>
    <t>京セラ　TK-8556 Y</t>
  </si>
  <si>
    <t>TK8596C</t>
  </si>
  <si>
    <t>京セラ　TK-8596C</t>
  </si>
  <si>
    <t>TK8596K</t>
  </si>
  <si>
    <t>京セラ　TK-8596K</t>
  </si>
  <si>
    <t>TK8596M</t>
  </si>
  <si>
    <t>京セラ　TK-8596M</t>
  </si>
  <si>
    <t>TK8596Y</t>
  </si>
  <si>
    <t>京セラ　TK-8596Y</t>
  </si>
  <si>
    <t>TK8736BK</t>
  </si>
  <si>
    <t>京セラ　TK-8736 BK</t>
  </si>
  <si>
    <t>TK8736C</t>
  </si>
  <si>
    <t>京セラ　TK-8736 C</t>
  </si>
  <si>
    <t>TK8736M</t>
  </si>
  <si>
    <t>京セラ　TK-8736 M</t>
  </si>
  <si>
    <t>TK8736Y</t>
  </si>
  <si>
    <t>京セラ　TK-8736 Y</t>
  </si>
  <si>
    <t>TR153</t>
  </si>
  <si>
    <t>CANON ｲﾝｸｼﾞｪｯﾄﾌﾟﾘﾝﾀｰ TR153</t>
  </si>
  <si>
    <t>TR703a</t>
  </si>
  <si>
    <t>CANON ｲﾝｸｼﾞｪｯﾄﾌﾟﾘﾝﾀｰ TR703a</t>
  </si>
  <si>
    <t>TR8630a</t>
  </si>
  <si>
    <t>CANON ｲﾝｸｼﾞｪｯﾄ 複合機 TR8630a</t>
  </si>
  <si>
    <t>TR9530</t>
  </si>
  <si>
    <t>CANON ｲﾝｸｼﾞｪｯﾄ 複合機 TR9530</t>
  </si>
  <si>
    <t>UM723I</t>
  </si>
  <si>
    <t>CANON ﾕｰｻﾞﾒﾝﾃﾅﾝｽｷｯﾄ ITBﾕﾆｯﾄ UM-723I(2022.3終息)</t>
  </si>
  <si>
    <t>W1470X</t>
  </si>
  <si>
    <t>HP147X ﾄﾅｰｶｰﾄﾘｯｼﾞ 黒 W1470X</t>
  </si>
  <si>
    <t>W1510A</t>
  </si>
  <si>
    <t>HP 151A ﾄﾅｰｶｰﾄﾘｯｼﾞ 黒 W1510A</t>
  </si>
  <si>
    <t>W1510X</t>
  </si>
  <si>
    <t>HP 151X ﾄﾅｰｶｰﾄﾘｯｼﾞ 黒 大容量 W1510X</t>
  </si>
  <si>
    <t>W1B43A</t>
  </si>
  <si>
    <t>HP PageWide ﾜｲﾊﾟｰｷｯﾄ W1B43A</t>
  </si>
  <si>
    <t>W1B44A</t>
  </si>
  <si>
    <t>HP PageWide ｻｰﾋﾞｽｲﾝｸｺﾝﾃﾅｰ W1B44A</t>
  </si>
  <si>
    <t>W1B45A</t>
  </si>
  <si>
    <t>HP PageWide ﾛｰﾗｰｷｯﾄ W1B45A</t>
  </si>
  <si>
    <t>W1B47A</t>
  </si>
  <si>
    <t>ADFﾛｰﾗｰ交換ｷｯﾄ PgWd Pro 777ｼﾘｰｽﾞ用 W1B47A</t>
  </si>
  <si>
    <t>W2001X</t>
  </si>
  <si>
    <t>HP 658X ﾄﾅｰｶｰﾄﾘｯｼﾞ ｼｱﾝ　W2001X</t>
  </si>
  <si>
    <t>W2002X</t>
  </si>
  <si>
    <t>HP 658X ﾄﾅｰｶｰﾄﾘｯｼﾞ ｲｴﾛｰ　W2002X</t>
  </si>
  <si>
    <t>W2003X</t>
  </si>
  <si>
    <t>HP 658X ﾄﾅｰｶｰﾄﾘｯｼﾞ ﾏｾﾞﾝﾀ　W2003X</t>
  </si>
  <si>
    <t>W2130Y</t>
  </si>
  <si>
    <t>HP 213Y大容量ﾄﾅｰｶｰﾄﾘｯｼﾞ 黒 W2130Y</t>
  </si>
  <si>
    <t>W2131Y</t>
  </si>
  <si>
    <t>HP 213Y大容量ﾄﾅｰｶｰﾄﾘｯｼﾞ ｼｱﾝ W2131Y</t>
  </si>
  <si>
    <t>W2132Y</t>
  </si>
  <si>
    <t>HP 213Y大容量ﾄﾅｰｶｰﾄﾘｯｼﾞ ｲｴﾛｰ W2132Y</t>
  </si>
  <si>
    <t>W2133Y</t>
  </si>
  <si>
    <t>HP 213Y大容量ﾄﾅｰｶｰﾄﾘｯｼﾞ ﾏｾﾞﾝﾀ W2133Y</t>
  </si>
  <si>
    <t>W2140Z</t>
  </si>
  <si>
    <t>HP 214Z 大容量ﾄﾅｰｶｰﾄﾘｯｼﾞ 黒 W2140Z</t>
  </si>
  <si>
    <t>W2141Z</t>
  </si>
  <si>
    <t>HP 214Z 大容量ﾄﾅｰｶｰﾄﾘｯｼﾞ ｼｱﾝ W2141Z</t>
  </si>
  <si>
    <t>W2142Z</t>
  </si>
  <si>
    <t>HP 214Z 大容量ﾄﾅｰｶｰﾄﾘｯｼﾞ ｲｴﾛｰ W2142Z</t>
  </si>
  <si>
    <t>W2143Z</t>
  </si>
  <si>
    <t>HP 214Z 大容量ﾄﾅｰｶｰﾄﾘｯｼﾞ ﾏｾﾞﾝﾀ W2143Z</t>
  </si>
  <si>
    <t>W2170Z</t>
  </si>
  <si>
    <t>HP 217Z 大容量ﾄﾅｰｶｰﾄﾘｯｼﾞ 黒 W2170Z</t>
  </si>
  <si>
    <t>W2171Z</t>
  </si>
  <si>
    <t>HP 217Z 大容量ﾄﾅｰｶｰﾄﾘｯｼﾞ ｼｱﾝ W2171Z</t>
  </si>
  <si>
    <t>W2172Z</t>
  </si>
  <si>
    <t>HP 217Z 大容量ﾄﾅｰｶｰﾄﾘｯｼﾞ ｲｴﾛｰ W2172Z</t>
  </si>
  <si>
    <t>W2173Z</t>
  </si>
  <si>
    <t>HP 217Z 大容量ﾄﾅｰｶｰﾄﾘｯｼﾞ ﾏｾﾞﾝﾀ W2173Z</t>
  </si>
  <si>
    <t>W5U23A</t>
  </si>
  <si>
    <t>ADFﾛｰﾗｰ交換ｷｯﾄ200 W5U23A</t>
  </si>
  <si>
    <t>websetsu</t>
  </si>
  <si>
    <t>WEB会社説明会　参加費</t>
  </si>
  <si>
    <t>XL4405</t>
  </si>
  <si>
    <t>FUJITSU ﾚｰｻﾞｰﾓﾉｸﾛﾌﾟﾘﾝﾀｰ XL-4405</t>
  </si>
  <si>
    <t>XL9460</t>
  </si>
  <si>
    <t>FUJITSU ﾚｰｻﾞｰﾓﾉｸﾛﾌﾟﾘﾝﾀｰ XL-9460</t>
  </si>
  <si>
    <t>XLC8365</t>
  </si>
  <si>
    <t>FUJITSU ﾚｰｻﾞｰｶﾗｰﾌﾟﾘﾝﾀｰ XL-C8365</t>
  </si>
  <si>
    <t>Y056H</t>
  </si>
  <si>
    <t>CANON ﾄﾅｰｶｰﾄﾘｯｼﾞ 056H 海外純正　21K</t>
  </si>
  <si>
    <t>Y3400H</t>
  </si>
  <si>
    <t>-終息-RICOH ﾄﾅｰｶｰﾄﾘｯｼﾞ 3400H 海外純正</t>
  </si>
  <si>
    <t>Y5152</t>
  </si>
  <si>
    <t>[終息]CANON ﾄﾅｰｶｰﾄﾘｯｼﾞ 515Ⅱ(315Ⅱ) 海外純正</t>
  </si>
  <si>
    <t>Y5192</t>
  </si>
  <si>
    <t>CANON ﾄﾅｰｶｰﾄﾘｯｼﾞ 519Ⅱ(319Ⅱ・719H) 海外純正</t>
  </si>
  <si>
    <t>Y5242</t>
  </si>
  <si>
    <t>ﾄﾅｰｶｰﾄﾘｯｼﾞ 524Ⅱ 海外純正</t>
  </si>
  <si>
    <t>Y533</t>
  </si>
  <si>
    <t>CANON ﾄﾅｰｶｰﾄﾘｯｼﾞ533 (海外型番：333)</t>
  </si>
  <si>
    <t>Y533H</t>
  </si>
  <si>
    <t>CANON ﾄﾅｰｶｰﾄﾘｯｼﾞ533H (海外型番：333H)</t>
  </si>
  <si>
    <t>Y8200</t>
  </si>
  <si>
    <t>RICOH 海外純正 ﾄﾅｰ 8200</t>
  </si>
  <si>
    <t>YJ057H</t>
  </si>
  <si>
    <t>CANON ﾄﾅｰｶｰﾄﾘｯｼﾞ 057H 海外純正品</t>
  </si>
  <si>
    <t>YJ3700H</t>
  </si>
  <si>
    <t>RICOH SPﾄﾅｰ 3700H 海外純正</t>
  </si>
  <si>
    <t>YJ4200H</t>
  </si>
  <si>
    <t>RICOH IPSiO SPﾄﾅｰｶｰﾄﾘｯｼﾞ4200H 海外純正品</t>
  </si>
  <si>
    <t>海外純正品</t>
  </si>
  <si>
    <t>YJ4500H</t>
  </si>
  <si>
    <t>RICOH 海外純正 ﾄﾅｰｶｰﾄﾘｯｼﾞ4500H</t>
  </si>
  <si>
    <t>YJ509</t>
  </si>
  <si>
    <t>CANON ﾄﾅｰｶｰﾄﾘｯｼﾞ 509(309) 海外純正</t>
  </si>
  <si>
    <t>YJAR202NT</t>
  </si>
  <si>
    <t>SHARP AR-202NT  海外純正品</t>
  </si>
  <si>
    <t>YJP500H</t>
  </si>
  <si>
    <t>RICOH ﾄﾅｰP500Ｈ 海外純正(海外型番：P501H)</t>
  </si>
  <si>
    <t>YJT1640</t>
  </si>
  <si>
    <t>東芝  T1640 海外純正 5000枚仕様</t>
  </si>
  <si>
    <t>YJT1810</t>
  </si>
  <si>
    <t>東芝  T1810 海外純正 5000枚仕様</t>
  </si>
  <si>
    <t>YJT4530</t>
  </si>
  <si>
    <t>東芝  T-4530 　海外純正</t>
  </si>
  <si>
    <t>YJT4590</t>
  </si>
  <si>
    <t>東芝 T-4590　大容量　海外純正品</t>
  </si>
  <si>
    <t>YJTN114</t>
  </si>
  <si>
    <t>コニカミノルタ TN-114 海外純正</t>
  </si>
  <si>
    <t>YMX601HB</t>
  </si>
  <si>
    <t>SHARP 海外純正 MX-601HB 廃ﾄﾅｰBOX</t>
  </si>
  <si>
    <t>YNPG52DC</t>
  </si>
  <si>
    <t>CANON ﾄﾞﾗﾑｶｰﾄﾘｯｼﾞ NPG-52 ｼｱﾝ 海外純正</t>
  </si>
  <si>
    <t>YNPG52DK</t>
  </si>
  <si>
    <t>CANON ﾄﾞﾗﾑｶｰﾄﾘｯｼﾞ NPG-52 ﾌﾞﾗｯｸ 海外純正</t>
  </si>
  <si>
    <t>YNPG52DM</t>
  </si>
  <si>
    <t>CANON ﾄﾞﾗﾑｶｰﾄﾘｯｼﾞ NPG-52 ﾏｾﾞﾝﾀ 海外純正</t>
  </si>
  <si>
    <t>YNPG52DY</t>
  </si>
  <si>
    <t>CANON ﾄﾞﾗﾑｶｰﾄﾘｯｼﾞ NPG-52 ｲｴﾛｰ 海外純正</t>
  </si>
  <si>
    <t>YTK676</t>
  </si>
  <si>
    <t>京セラ　海外純正TK-677(TK-676)</t>
  </si>
  <si>
    <t>YTK7126</t>
  </si>
  <si>
    <t>京セラ  TK-7129(TK-7126海外純正)</t>
  </si>
  <si>
    <t>YTN214C</t>
  </si>
  <si>
    <t>-終息-コニカミノルタ TN-214 C 海外純正</t>
  </si>
  <si>
    <t>YTN214K</t>
  </si>
  <si>
    <t>-終息-コニカミノルタ TN-214 K 海外純正</t>
  </si>
  <si>
    <t>YTN214M</t>
  </si>
  <si>
    <t>-終息-コニカミノルタ TN-214 M 海外純正</t>
  </si>
  <si>
    <t>YTN214Y</t>
  </si>
  <si>
    <t>-終息-コニカミノルタ TN-214 Y 海外純正</t>
  </si>
  <si>
    <t>YTN322</t>
  </si>
  <si>
    <t>ｺﾆｶﾐﾉﾙﾀ　海外純正　TN-322</t>
  </si>
  <si>
    <t>YTN323</t>
  </si>
  <si>
    <t>ｺﾆｶﾐﾉﾙﾀ　海外純正　TN-323</t>
  </si>
  <si>
    <t>Z450</t>
  </si>
  <si>
    <t>富士ﾌｲﾙﾑ  Z450  P(厚口)上質ｺﾋﾟｰ用紙 78g/㎡ A4 500枚×5冊/箱</t>
  </si>
  <si>
    <t>Z625</t>
  </si>
  <si>
    <t>富士ﾌｲﾙﾑ ｶﾗｰ/ﾓﾉｸﾛ兼用紙 C2 A4 Z625 500枚×5冊/箱</t>
  </si>
  <si>
    <t>※第0313137-1号</t>
  </si>
  <si>
    <t>Z628</t>
  </si>
  <si>
    <t>富士ﾌｲﾙﾑ Z628 ｶﾗｰ/ﾓﾉｸﾛ兼用紙 C2  70g/㎡ A3 500枚×3冊/箱</t>
  </si>
  <si>
    <t>※第0325900-1号</t>
  </si>
  <si>
    <t>Z758</t>
  </si>
  <si>
    <t>富士ﾌｲﾙﾑ  Z758  上質ﾛｰﾙ紙E A1(594mm)×200m 2本/箱</t>
  </si>
  <si>
    <t>Z851</t>
  </si>
  <si>
    <t>富士ﾌｲﾙﾑ  Z851  上質ﾛｰﾙ紙E A2 420mm×200m 2本/箱</t>
  </si>
  <si>
    <t>0000</t>
    <phoneticPr fontId="18"/>
  </si>
  <si>
    <t>00000014</t>
    <phoneticPr fontId="18"/>
  </si>
  <si>
    <t>00000015</t>
    <phoneticPr fontId="18"/>
  </si>
  <si>
    <t>00000016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</si>
</sst>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0A60-101A-4265-BAE2-57CE2180417C}">
  <dimension ref="A1:D7240"/>
  <sheetViews>
    <sheetView tabSelected="1" topLeftCell="A370" workbookViewId="0">
      <selection activeCell="B309" sqref="B309"/>
    </sheetView>
  </sheetViews>
  <sheetFormatPr defaultRowHeight="18.75" x14ac:dyDescent="0.4"/>
  <cols>
    <col min="1" max="1" width="12.5" style="1" customWidth="1"/>
    <col min="2" max="2" width="22.875" customWidth="1"/>
    <col min="3" max="3" width="7.375" customWidth="1"/>
    <col min="4" max="4" width="8.625" customWidth="1"/>
  </cols>
  <sheetData>
    <row r="1" spans="1:4" x14ac:dyDescent="0.4">
      <c r="A1" s="1" t="s">
        <v>1</v>
      </c>
      <c r="B1" t="s">
        <v>0</v>
      </c>
      <c r="C1" t="s">
        <v>2</v>
      </c>
      <c r="D1" t="s">
        <v>3</v>
      </c>
    </row>
    <row r="2" spans="1:4" x14ac:dyDescent="0.4">
      <c r="A2" s="1" t="s">
        <v>14127</v>
      </c>
      <c r="B2" t="s">
        <v>4</v>
      </c>
      <c r="C2" t="s">
        <v>5</v>
      </c>
    </row>
    <row r="3" spans="1:4" x14ac:dyDescent="0.4">
      <c r="A3" s="1" t="s">
        <v>14128</v>
      </c>
      <c r="B3" t="s">
        <v>6</v>
      </c>
    </row>
    <row r="4" spans="1:4" x14ac:dyDescent="0.4">
      <c r="A4" s="1" t="s">
        <v>14129</v>
      </c>
      <c r="B4" t="s">
        <v>7</v>
      </c>
    </row>
    <row r="5" spans="1:4" x14ac:dyDescent="0.4">
      <c r="A5" s="1" t="s">
        <v>14130</v>
      </c>
      <c r="B5" t="s">
        <v>8</v>
      </c>
    </row>
    <row r="6" spans="1:4" x14ac:dyDescent="0.4">
      <c r="A6" s="1">
        <v>315253</v>
      </c>
      <c r="B6" t="s">
        <v>9</v>
      </c>
      <c r="C6" t="s">
        <v>5</v>
      </c>
      <c r="D6">
        <v>3200</v>
      </c>
    </row>
    <row r="7" spans="1:4" x14ac:dyDescent="0.4">
      <c r="A7" s="1">
        <v>319167</v>
      </c>
      <c r="B7" t="s">
        <v>10</v>
      </c>
      <c r="C7" t="s">
        <v>5</v>
      </c>
      <c r="D7">
        <v>2400</v>
      </c>
    </row>
    <row r="8" spans="1:4" x14ac:dyDescent="0.4">
      <c r="A8" s="1" t="s">
        <v>11</v>
      </c>
      <c r="B8" t="s">
        <v>12</v>
      </c>
      <c r="C8" t="s">
        <v>5</v>
      </c>
    </row>
    <row r="9" spans="1:4" x14ac:dyDescent="0.4">
      <c r="A9" s="1" t="s">
        <v>13</v>
      </c>
      <c r="B9" t="s">
        <v>14</v>
      </c>
      <c r="C9" t="s">
        <v>5</v>
      </c>
      <c r="D9">
        <v>4100</v>
      </c>
    </row>
    <row r="10" spans="1:4" x14ac:dyDescent="0.4">
      <c r="A10" s="1" t="s">
        <v>15</v>
      </c>
      <c r="B10" t="s">
        <v>16</v>
      </c>
      <c r="C10" t="s">
        <v>5</v>
      </c>
      <c r="D10">
        <v>3400</v>
      </c>
    </row>
    <row r="11" spans="1:4" x14ac:dyDescent="0.4">
      <c r="A11" s="1" t="s">
        <v>17</v>
      </c>
      <c r="B11" t="s">
        <v>18</v>
      </c>
      <c r="C11" t="s">
        <v>5</v>
      </c>
      <c r="D11">
        <v>3400</v>
      </c>
    </row>
    <row r="12" spans="1:4" x14ac:dyDescent="0.4">
      <c r="A12" s="1" t="s">
        <v>19</v>
      </c>
      <c r="B12" t="s">
        <v>20</v>
      </c>
      <c r="C12" t="s">
        <v>5</v>
      </c>
      <c r="D12">
        <v>3400</v>
      </c>
    </row>
    <row r="13" spans="1:4" x14ac:dyDescent="0.4">
      <c r="A13" s="1" t="s">
        <v>21</v>
      </c>
      <c r="B13" t="s">
        <v>22</v>
      </c>
      <c r="C13" t="s">
        <v>5</v>
      </c>
    </row>
    <row r="14" spans="1:4" x14ac:dyDescent="0.4">
      <c r="A14" s="1" t="s">
        <v>23</v>
      </c>
      <c r="B14" t="s">
        <v>24</v>
      </c>
      <c r="C14" t="s">
        <v>5</v>
      </c>
    </row>
    <row r="15" spans="1:4" x14ac:dyDescent="0.4">
      <c r="A15" s="1" t="s">
        <v>25</v>
      </c>
      <c r="B15" t="s">
        <v>26</v>
      </c>
      <c r="C15" t="s">
        <v>5</v>
      </c>
      <c r="D15">
        <v>9145</v>
      </c>
    </row>
    <row r="16" spans="1:4" x14ac:dyDescent="0.4">
      <c r="A16" s="1" t="s">
        <v>27</v>
      </c>
      <c r="B16" t="s">
        <v>28</v>
      </c>
      <c r="C16" t="s">
        <v>5</v>
      </c>
      <c r="D16">
        <v>62682</v>
      </c>
    </row>
    <row r="17" spans="1:4" x14ac:dyDescent="0.4">
      <c r="A17" s="1" t="s">
        <v>29</v>
      </c>
      <c r="B17" t="s">
        <v>30</v>
      </c>
      <c r="C17" t="s">
        <v>5</v>
      </c>
      <c r="D17">
        <v>102609</v>
      </c>
    </row>
    <row r="18" spans="1:4" x14ac:dyDescent="0.4">
      <c r="A18" s="1" t="s">
        <v>31</v>
      </c>
      <c r="B18" t="s">
        <v>32</v>
      </c>
      <c r="C18" t="s">
        <v>5</v>
      </c>
      <c r="D18">
        <v>70191</v>
      </c>
    </row>
    <row r="19" spans="1:4" x14ac:dyDescent="0.4">
      <c r="A19" s="1" t="s">
        <v>33</v>
      </c>
      <c r="B19" t="s">
        <v>34</v>
      </c>
      <c r="C19" t="s">
        <v>5</v>
      </c>
      <c r="D19">
        <v>87682</v>
      </c>
    </row>
    <row r="20" spans="1:4" x14ac:dyDescent="0.4">
      <c r="A20" s="1" t="s">
        <v>35</v>
      </c>
      <c r="B20" t="s">
        <v>36</v>
      </c>
      <c r="C20" t="s">
        <v>5</v>
      </c>
      <c r="D20">
        <v>9273</v>
      </c>
    </row>
    <row r="21" spans="1:4" x14ac:dyDescent="0.4">
      <c r="A21" s="1" t="s">
        <v>37</v>
      </c>
      <c r="B21" t="s">
        <v>38</v>
      </c>
      <c r="C21" t="s">
        <v>5</v>
      </c>
      <c r="D21">
        <v>9345</v>
      </c>
    </row>
    <row r="22" spans="1:4" x14ac:dyDescent="0.4">
      <c r="A22" s="1" t="s">
        <v>39</v>
      </c>
      <c r="B22" t="s">
        <v>40</v>
      </c>
      <c r="C22" t="s">
        <v>5</v>
      </c>
      <c r="D22">
        <v>13064</v>
      </c>
    </row>
    <row r="23" spans="1:4" x14ac:dyDescent="0.4">
      <c r="A23" s="1" t="s">
        <v>41</v>
      </c>
      <c r="B23" t="s">
        <v>42</v>
      </c>
    </row>
    <row r="24" spans="1:4" x14ac:dyDescent="0.4">
      <c r="A24" s="1" t="s">
        <v>43</v>
      </c>
      <c r="B24" t="s">
        <v>44</v>
      </c>
      <c r="C24" t="s">
        <v>5</v>
      </c>
      <c r="D24">
        <v>41900</v>
      </c>
    </row>
    <row r="25" spans="1:4" x14ac:dyDescent="0.4">
      <c r="A25" s="1" t="s">
        <v>45</v>
      </c>
      <c r="B25" t="s">
        <v>46</v>
      </c>
      <c r="C25" t="s">
        <v>5</v>
      </c>
      <c r="D25">
        <v>41900</v>
      </c>
    </row>
    <row r="26" spans="1:4" x14ac:dyDescent="0.4">
      <c r="A26" s="1" t="s">
        <v>47</v>
      </c>
      <c r="B26" t="s">
        <v>48</v>
      </c>
      <c r="C26" t="s">
        <v>5</v>
      </c>
      <c r="D26">
        <v>41900</v>
      </c>
    </row>
    <row r="27" spans="1:4" x14ac:dyDescent="0.4">
      <c r="A27" s="1" t="s">
        <v>49</v>
      </c>
      <c r="B27" t="s">
        <v>50</v>
      </c>
      <c r="D27">
        <v>128000</v>
      </c>
    </row>
    <row r="28" spans="1:4" x14ac:dyDescent="0.4">
      <c r="A28" s="1" t="s">
        <v>51</v>
      </c>
      <c r="B28" t="s">
        <v>52</v>
      </c>
      <c r="D28">
        <v>168000</v>
      </c>
    </row>
    <row r="29" spans="1:4" x14ac:dyDescent="0.4">
      <c r="A29" s="1" t="s">
        <v>53</v>
      </c>
      <c r="B29" t="s">
        <v>54</v>
      </c>
      <c r="D29">
        <v>198000</v>
      </c>
    </row>
    <row r="30" spans="1:4" x14ac:dyDescent="0.4">
      <c r="A30" s="1" t="s">
        <v>55</v>
      </c>
      <c r="B30" t="s">
        <v>56</v>
      </c>
      <c r="C30" t="s">
        <v>5</v>
      </c>
    </row>
    <row r="31" spans="1:4" x14ac:dyDescent="0.4">
      <c r="A31" s="1" t="s">
        <v>57</v>
      </c>
      <c r="B31" t="s">
        <v>58</v>
      </c>
      <c r="C31" t="s">
        <v>5</v>
      </c>
      <c r="D31">
        <v>14882</v>
      </c>
    </row>
    <row r="32" spans="1:4" x14ac:dyDescent="0.4">
      <c r="A32" s="1" t="s">
        <v>59</v>
      </c>
      <c r="B32" t="s">
        <v>60</v>
      </c>
      <c r="C32" t="s">
        <v>5</v>
      </c>
    </row>
    <row r="33" spans="1:4" x14ac:dyDescent="0.4">
      <c r="A33" s="1" t="s">
        <v>61</v>
      </c>
      <c r="B33" t="s">
        <v>62</v>
      </c>
      <c r="C33" t="s">
        <v>5</v>
      </c>
      <c r="D33">
        <v>442000</v>
      </c>
    </row>
    <row r="34" spans="1:4" x14ac:dyDescent="0.4">
      <c r="A34" s="1" t="s">
        <v>63</v>
      </c>
      <c r="B34" t="s">
        <v>64</v>
      </c>
      <c r="D34">
        <v>178000</v>
      </c>
    </row>
    <row r="35" spans="1:4" x14ac:dyDescent="0.4">
      <c r="A35" s="1" t="s">
        <v>65</v>
      </c>
      <c r="B35" t="s">
        <v>66</v>
      </c>
      <c r="C35" t="s">
        <v>5</v>
      </c>
    </row>
    <row r="36" spans="1:4" x14ac:dyDescent="0.4">
      <c r="A36" s="1" t="s">
        <v>67</v>
      </c>
      <c r="B36" t="s">
        <v>68</v>
      </c>
      <c r="C36" t="s">
        <v>5</v>
      </c>
      <c r="D36">
        <v>32000</v>
      </c>
    </row>
    <row r="37" spans="1:4" x14ac:dyDescent="0.4">
      <c r="A37" s="1" t="s">
        <v>69</v>
      </c>
      <c r="B37" t="s">
        <v>70</v>
      </c>
      <c r="C37" t="s">
        <v>5</v>
      </c>
    </row>
    <row r="38" spans="1:4" x14ac:dyDescent="0.4">
      <c r="A38" s="1" t="s">
        <v>71</v>
      </c>
      <c r="B38" t="s">
        <v>72</v>
      </c>
    </row>
    <row r="39" spans="1:4" x14ac:dyDescent="0.4">
      <c r="A39" s="1" t="s">
        <v>73</v>
      </c>
      <c r="B39" t="s">
        <v>74</v>
      </c>
      <c r="D39">
        <v>178000</v>
      </c>
    </row>
    <row r="40" spans="1:4" x14ac:dyDescent="0.4">
      <c r="A40" s="1" t="s">
        <v>75</v>
      </c>
      <c r="B40" t="s">
        <v>76</v>
      </c>
      <c r="D40">
        <v>248000</v>
      </c>
    </row>
    <row r="41" spans="1:4" x14ac:dyDescent="0.4">
      <c r="A41" s="1" t="s">
        <v>77</v>
      </c>
      <c r="B41" t="s">
        <v>78</v>
      </c>
      <c r="C41" t="s">
        <v>5</v>
      </c>
      <c r="D41">
        <v>3500</v>
      </c>
    </row>
    <row r="42" spans="1:4" x14ac:dyDescent="0.4">
      <c r="A42" s="1" t="s">
        <v>79</v>
      </c>
      <c r="B42" t="s">
        <v>80</v>
      </c>
      <c r="D42">
        <v>498000</v>
      </c>
    </row>
    <row r="43" spans="1:4" x14ac:dyDescent="0.4">
      <c r="A43" s="1" t="s">
        <v>81</v>
      </c>
      <c r="B43" t="s">
        <v>82</v>
      </c>
      <c r="D43">
        <v>898000</v>
      </c>
    </row>
    <row r="44" spans="1:4" x14ac:dyDescent="0.4">
      <c r="A44" s="1" t="s">
        <v>83</v>
      </c>
      <c r="B44" t="s">
        <v>84</v>
      </c>
      <c r="C44" t="s">
        <v>5</v>
      </c>
    </row>
    <row r="45" spans="1:4" x14ac:dyDescent="0.4">
      <c r="A45" s="1" t="s">
        <v>85</v>
      </c>
      <c r="B45" t="s">
        <v>86</v>
      </c>
      <c r="D45">
        <v>1398000</v>
      </c>
    </row>
    <row r="46" spans="1:4" x14ac:dyDescent="0.4">
      <c r="A46" s="1" t="s">
        <v>87</v>
      </c>
      <c r="B46" t="s">
        <v>88</v>
      </c>
      <c r="C46" t="s">
        <v>5</v>
      </c>
      <c r="D46">
        <v>69736</v>
      </c>
    </row>
    <row r="47" spans="1:4" x14ac:dyDescent="0.4">
      <c r="A47" s="1" t="s">
        <v>89</v>
      </c>
      <c r="B47" t="s">
        <v>90</v>
      </c>
      <c r="C47" t="s">
        <v>5</v>
      </c>
      <c r="D47">
        <v>97945</v>
      </c>
    </row>
    <row r="48" spans="1:4" x14ac:dyDescent="0.4">
      <c r="A48" s="1" t="s">
        <v>91</v>
      </c>
      <c r="B48" t="s">
        <v>92</v>
      </c>
      <c r="C48" t="s">
        <v>5</v>
      </c>
      <c r="D48">
        <v>97945</v>
      </c>
    </row>
    <row r="49" spans="1:4" x14ac:dyDescent="0.4">
      <c r="A49" s="1" t="s">
        <v>93</v>
      </c>
      <c r="B49" t="s">
        <v>94</v>
      </c>
      <c r="C49" t="s">
        <v>5</v>
      </c>
      <c r="D49">
        <v>97945</v>
      </c>
    </row>
    <row r="50" spans="1:4" x14ac:dyDescent="0.4">
      <c r="A50" s="1" t="s">
        <v>95</v>
      </c>
      <c r="B50" t="s">
        <v>96</v>
      </c>
    </row>
    <row r="51" spans="1:4" x14ac:dyDescent="0.4">
      <c r="A51" s="1" t="s">
        <v>97</v>
      </c>
      <c r="B51" t="s">
        <v>98</v>
      </c>
      <c r="C51" t="s">
        <v>5</v>
      </c>
      <c r="D51">
        <v>1618</v>
      </c>
    </row>
    <row r="52" spans="1:4" x14ac:dyDescent="0.4">
      <c r="A52" s="1" t="s">
        <v>99</v>
      </c>
      <c r="B52" t="s">
        <v>100</v>
      </c>
      <c r="C52" t="s">
        <v>5</v>
      </c>
      <c r="D52">
        <v>1509</v>
      </c>
    </row>
    <row r="53" spans="1:4" x14ac:dyDescent="0.4">
      <c r="A53" s="1" t="s">
        <v>101</v>
      </c>
      <c r="B53" t="s">
        <v>102</v>
      </c>
      <c r="C53" t="s">
        <v>5</v>
      </c>
      <c r="D53">
        <v>1509</v>
      </c>
    </row>
    <row r="54" spans="1:4" x14ac:dyDescent="0.4">
      <c r="A54" s="1" t="s">
        <v>103</v>
      </c>
      <c r="B54" t="s">
        <v>104</v>
      </c>
      <c r="C54" t="s">
        <v>5</v>
      </c>
      <c r="D54">
        <v>1509</v>
      </c>
    </row>
    <row r="55" spans="1:4" x14ac:dyDescent="0.4">
      <c r="A55" s="1" t="s">
        <v>105</v>
      </c>
      <c r="B55" t="s">
        <v>106</v>
      </c>
      <c r="C55" t="s">
        <v>5</v>
      </c>
    </row>
    <row r="56" spans="1:4" x14ac:dyDescent="0.4">
      <c r="A56" s="1" t="s">
        <v>107</v>
      </c>
      <c r="B56" t="s">
        <v>108</v>
      </c>
      <c r="C56" t="s">
        <v>5</v>
      </c>
      <c r="D56">
        <v>2036</v>
      </c>
    </row>
    <row r="57" spans="1:4" x14ac:dyDescent="0.4">
      <c r="A57" s="1" t="s">
        <v>109</v>
      </c>
      <c r="B57" t="s">
        <v>110</v>
      </c>
      <c r="C57" t="s">
        <v>5</v>
      </c>
      <c r="D57">
        <v>16091</v>
      </c>
    </row>
    <row r="58" spans="1:4" x14ac:dyDescent="0.4">
      <c r="A58" s="1" t="s">
        <v>111</v>
      </c>
      <c r="B58" t="s">
        <v>112</v>
      </c>
      <c r="C58" t="s">
        <v>5</v>
      </c>
      <c r="D58">
        <v>58127</v>
      </c>
    </row>
    <row r="59" spans="1:4" x14ac:dyDescent="0.4">
      <c r="A59" s="1" t="s">
        <v>113</v>
      </c>
      <c r="B59" t="s">
        <v>114</v>
      </c>
      <c r="C59" t="s">
        <v>5</v>
      </c>
      <c r="D59">
        <v>87845</v>
      </c>
    </row>
    <row r="60" spans="1:4" x14ac:dyDescent="0.4">
      <c r="A60" s="1" t="s">
        <v>115</v>
      </c>
      <c r="B60" t="s">
        <v>116</v>
      </c>
      <c r="C60" t="s">
        <v>5</v>
      </c>
      <c r="D60">
        <v>87845</v>
      </c>
    </row>
    <row r="61" spans="1:4" x14ac:dyDescent="0.4">
      <c r="A61" s="1" t="s">
        <v>117</v>
      </c>
      <c r="B61" t="s">
        <v>118</v>
      </c>
      <c r="C61" t="s">
        <v>5</v>
      </c>
      <c r="D61">
        <v>87845</v>
      </c>
    </row>
    <row r="62" spans="1:4" x14ac:dyDescent="0.4">
      <c r="A62" s="1" t="s">
        <v>119</v>
      </c>
      <c r="B62" t="s">
        <v>120</v>
      </c>
      <c r="C62" t="s">
        <v>5</v>
      </c>
      <c r="D62">
        <v>40473</v>
      </c>
    </row>
    <row r="63" spans="1:4" x14ac:dyDescent="0.4">
      <c r="A63" s="1" t="s">
        <v>121</v>
      </c>
      <c r="B63" t="s">
        <v>122</v>
      </c>
      <c r="C63" t="s">
        <v>5</v>
      </c>
      <c r="D63">
        <v>101991</v>
      </c>
    </row>
    <row r="64" spans="1:4" x14ac:dyDescent="0.4">
      <c r="A64" s="1" t="s">
        <v>123</v>
      </c>
      <c r="B64" t="s">
        <v>124</v>
      </c>
      <c r="C64" t="s">
        <v>5</v>
      </c>
      <c r="D64">
        <v>101991</v>
      </c>
    </row>
    <row r="65" spans="1:4" x14ac:dyDescent="0.4">
      <c r="A65" s="1" t="s">
        <v>125</v>
      </c>
      <c r="B65" t="s">
        <v>126</v>
      </c>
      <c r="C65" t="s">
        <v>5</v>
      </c>
      <c r="D65">
        <v>101991</v>
      </c>
    </row>
    <row r="66" spans="1:4" x14ac:dyDescent="0.4">
      <c r="A66" s="1" t="s">
        <v>127</v>
      </c>
      <c r="B66" t="s">
        <v>128</v>
      </c>
      <c r="C66" t="s">
        <v>5</v>
      </c>
      <c r="D66">
        <v>63491</v>
      </c>
    </row>
    <row r="67" spans="1:4" x14ac:dyDescent="0.4">
      <c r="A67" s="1" t="s">
        <v>129</v>
      </c>
      <c r="B67" t="s">
        <v>130</v>
      </c>
      <c r="C67" t="s">
        <v>5</v>
      </c>
      <c r="D67">
        <v>47636</v>
      </c>
    </row>
    <row r="68" spans="1:4" x14ac:dyDescent="0.4">
      <c r="A68" s="1" t="s">
        <v>131</v>
      </c>
      <c r="B68" t="s">
        <v>132</v>
      </c>
      <c r="C68" t="s">
        <v>5</v>
      </c>
      <c r="D68">
        <v>51018</v>
      </c>
    </row>
    <row r="69" spans="1:4" x14ac:dyDescent="0.4">
      <c r="A69" s="1" t="s">
        <v>133</v>
      </c>
      <c r="B69" t="s">
        <v>134</v>
      </c>
      <c r="C69" t="s">
        <v>5</v>
      </c>
      <c r="D69">
        <v>84400</v>
      </c>
    </row>
    <row r="70" spans="1:4" x14ac:dyDescent="0.4">
      <c r="A70" s="1" t="s">
        <v>135</v>
      </c>
      <c r="B70" t="s">
        <v>136</v>
      </c>
      <c r="C70" t="s">
        <v>5</v>
      </c>
      <c r="D70">
        <v>66364</v>
      </c>
    </row>
    <row r="71" spans="1:4" x14ac:dyDescent="0.4">
      <c r="A71" s="1" t="s">
        <v>137</v>
      </c>
      <c r="B71" t="s">
        <v>138</v>
      </c>
      <c r="C71" t="s">
        <v>5</v>
      </c>
    </row>
    <row r="72" spans="1:4" x14ac:dyDescent="0.4">
      <c r="A72" s="1" t="s">
        <v>139</v>
      </c>
      <c r="B72" t="s">
        <v>140</v>
      </c>
      <c r="C72" t="s">
        <v>5</v>
      </c>
    </row>
    <row r="73" spans="1:4" x14ac:dyDescent="0.4">
      <c r="A73" s="1" t="s">
        <v>141</v>
      </c>
      <c r="B73" t="s">
        <v>142</v>
      </c>
      <c r="C73" t="s">
        <v>5</v>
      </c>
    </row>
    <row r="74" spans="1:4" x14ac:dyDescent="0.4">
      <c r="A74" s="1" t="s">
        <v>143</v>
      </c>
      <c r="B74" t="e">
        <f>-使用不可-互換 ｲﾝｸｶｰﾄﾘｯｼﾞ IB07CB ｼｱﾝ</f>
        <v>#NAME?</v>
      </c>
      <c r="C74" t="s">
        <v>144</v>
      </c>
    </row>
    <row r="75" spans="1:4" x14ac:dyDescent="0.4">
      <c r="A75" s="1" t="s">
        <v>145</v>
      </c>
      <c r="B75" t="s">
        <v>146</v>
      </c>
      <c r="C75" t="s">
        <v>144</v>
      </c>
    </row>
    <row r="76" spans="1:4" x14ac:dyDescent="0.4">
      <c r="A76" s="1" t="s">
        <v>147</v>
      </c>
      <c r="B76" t="e">
        <f>-使用不可-互換 ｲﾝｸｶｰﾄﾘｯｼﾞ IB07KB ﾌﾞﾗｯｸ</f>
        <v>#NAME?</v>
      </c>
      <c r="C76" t="s">
        <v>144</v>
      </c>
    </row>
    <row r="77" spans="1:4" x14ac:dyDescent="0.4">
      <c r="A77" s="1" t="s">
        <v>148</v>
      </c>
      <c r="B77" t="e">
        <f>-使用不可-互換 ｲﾝｸｶｰﾄﾘｯｼﾞ IB07MB ﾏｾﾞﾝﾀ</f>
        <v>#NAME?</v>
      </c>
      <c r="C77" t="s">
        <v>144</v>
      </c>
    </row>
    <row r="78" spans="1:4" x14ac:dyDescent="0.4">
      <c r="A78" s="1" t="s">
        <v>149</v>
      </c>
      <c r="B78" t="e">
        <f>-使用不可-互換 ｲﾝｸｶｰﾄﾘｯｼﾞ IB07YB ｲｴﾛｰ</f>
        <v>#NAME?</v>
      </c>
      <c r="C78" t="s">
        <v>144</v>
      </c>
    </row>
    <row r="79" spans="1:4" x14ac:dyDescent="0.4">
      <c r="A79" s="1" t="s">
        <v>150</v>
      </c>
      <c r="B79" t="s">
        <v>151</v>
      </c>
      <c r="C79" t="s">
        <v>5</v>
      </c>
    </row>
    <row r="80" spans="1:4" x14ac:dyDescent="0.4">
      <c r="A80" s="1" t="s">
        <v>152</v>
      </c>
      <c r="B80" t="s">
        <v>153</v>
      </c>
      <c r="C80" t="s">
        <v>5</v>
      </c>
    </row>
    <row r="81" spans="1:4" x14ac:dyDescent="0.4">
      <c r="A81" s="1" t="s">
        <v>154</v>
      </c>
      <c r="B81" t="s">
        <v>155</v>
      </c>
      <c r="C81" t="s">
        <v>5</v>
      </c>
    </row>
    <row r="82" spans="1:4" x14ac:dyDescent="0.4">
      <c r="A82" s="1" t="s">
        <v>156</v>
      </c>
      <c r="B82" t="s">
        <v>157</v>
      </c>
      <c r="C82" t="s">
        <v>5</v>
      </c>
    </row>
    <row r="83" spans="1:4" x14ac:dyDescent="0.4">
      <c r="A83" s="1" t="s">
        <v>158</v>
      </c>
      <c r="B83" t="s">
        <v>159</v>
      </c>
      <c r="C83" t="s">
        <v>5</v>
      </c>
      <c r="D83">
        <v>3036</v>
      </c>
    </row>
    <row r="84" spans="1:4" x14ac:dyDescent="0.4">
      <c r="A84" s="1" t="s">
        <v>160</v>
      </c>
      <c r="B84" t="s">
        <v>161</v>
      </c>
      <c r="C84" t="s">
        <v>5</v>
      </c>
      <c r="D84">
        <v>2773</v>
      </c>
    </row>
    <row r="85" spans="1:4" x14ac:dyDescent="0.4">
      <c r="A85" s="1" t="s">
        <v>162</v>
      </c>
      <c r="B85" t="s">
        <v>163</v>
      </c>
      <c r="C85" t="s">
        <v>5</v>
      </c>
    </row>
    <row r="86" spans="1:4" x14ac:dyDescent="0.4">
      <c r="A86" s="1" t="s">
        <v>164</v>
      </c>
      <c r="B86" t="s">
        <v>165</v>
      </c>
    </row>
    <row r="87" spans="1:4" x14ac:dyDescent="0.4">
      <c r="A87" s="1" t="s">
        <v>166</v>
      </c>
      <c r="B87" t="s">
        <v>167</v>
      </c>
    </row>
    <row r="88" spans="1:4" x14ac:dyDescent="0.4">
      <c r="A88" s="1" t="s">
        <v>168</v>
      </c>
      <c r="B88" t="s">
        <v>169</v>
      </c>
      <c r="C88" t="s">
        <v>5</v>
      </c>
      <c r="D88">
        <v>9450</v>
      </c>
    </row>
    <row r="89" spans="1:4" x14ac:dyDescent="0.4">
      <c r="A89" s="1" t="s">
        <v>170</v>
      </c>
      <c r="B89" t="s">
        <v>171</v>
      </c>
      <c r="C89" t="s">
        <v>5</v>
      </c>
      <c r="D89">
        <v>3890</v>
      </c>
    </row>
    <row r="90" spans="1:4" x14ac:dyDescent="0.4">
      <c r="A90" s="1" t="s">
        <v>172</v>
      </c>
      <c r="B90" t="s">
        <v>173</v>
      </c>
      <c r="C90" t="s">
        <v>5</v>
      </c>
      <c r="D90">
        <v>3890</v>
      </c>
    </row>
    <row r="91" spans="1:4" x14ac:dyDescent="0.4">
      <c r="A91" s="1" t="s">
        <v>174</v>
      </c>
      <c r="B91" t="s">
        <v>175</v>
      </c>
    </row>
    <row r="92" spans="1:4" x14ac:dyDescent="0.4">
      <c r="A92" s="1" t="s">
        <v>176</v>
      </c>
      <c r="B92" t="s">
        <v>177</v>
      </c>
    </row>
    <row r="93" spans="1:4" x14ac:dyDescent="0.4">
      <c r="A93" s="1" t="s">
        <v>178</v>
      </c>
      <c r="B93" t="s">
        <v>179</v>
      </c>
    </row>
    <row r="94" spans="1:4" x14ac:dyDescent="0.4">
      <c r="A94" s="1" t="s">
        <v>180</v>
      </c>
      <c r="B94" t="s">
        <v>181</v>
      </c>
    </row>
    <row r="95" spans="1:4" x14ac:dyDescent="0.4">
      <c r="A95" s="1" t="s">
        <v>182</v>
      </c>
      <c r="B95" t="s">
        <v>183</v>
      </c>
    </row>
    <row r="96" spans="1:4" x14ac:dyDescent="0.4">
      <c r="A96" s="1" t="s">
        <v>184</v>
      </c>
      <c r="B96" t="s">
        <v>185</v>
      </c>
      <c r="C96" t="s">
        <v>5</v>
      </c>
    </row>
    <row r="97" spans="1:4" x14ac:dyDescent="0.4">
      <c r="A97" s="1" t="s">
        <v>186</v>
      </c>
      <c r="B97" t="s">
        <v>187</v>
      </c>
      <c r="C97" t="s">
        <v>5</v>
      </c>
    </row>
    <row r="98" spans="1:4" x14ac:dyDescent="0.4">
      <c r="A98" s="1" t="s">
        <v>188</v>
      </c>
      <c r="B98" t="s">
        <v>189</v>
      </c>
      <c r="C98" t="s">
        <v>5</v>
      </c>
    </row>
    <row r="99" spans="1:4" x14ac:dyDescent="0.4">
      <c r="A99" s="1" t="s">
        <v>190</v>
      </c>
      <c r="B99" t="s">
        <v>191</v>
      </c>
      <c r="C99" t="s">
        <v>5</v>
      </c>
      <c r="D99">
        <v>47700</v>
      </c>
    </row>
    <row r="100" spans="1:4" x14ac:dyDescent="0.4">
      <c r="A100" s="1" t="s">
        <v>192</v>
      </c>
      <c r="B100" t="s">
        <v>193</v>
      </c>
    </row>
    <row r="101" spans="1:4" x14ac:dyDescent="0.4">
      <c r="A101" s="1" t="s">
        <v>194</v>
      </c>
      <c r="B101" t="s">
        <v>195</v>
      </c>
    </row>
    <row r="102" spans="1:4" x14ac:dyDescent="0.4">
      <c r="A102" s="1" t="s">
        <v>196</v>
      </c>
      <c r="B102" t="s">
        <v>197</v>
      </c>
    </row>
    <row r="103" spans="1:4" x14ac:dyDescent="0.4">
      <c r="A103" s="1" t="s">
        <v>198</v>
      </c>
      <c r="B103" t="s">
        <v>199</v>
      </c>
    </row>
    <row r="104" spans="1:4" x14ac:dyDescent="0.4">
      <c r="A104" s="1" t="s">
        <v>200</v>
      </c>
      <c r="B104" t="s">
        <v>201</v>
      </c>
    </row>
    <row r="105" spans="1:4" x14ac:dyDescent="0.4">
      <c r="A105" s="1" t="s">
        <v>202</v>
      </c>
      <c r="B105" t="s">
        <v>203</v>
      </c>
    </row>
    <row r="106" spans="1:4" x14ac:dyDescent="0.4">
      <c r="A106" s="1" t="s">
        <v>204</v>
      </c>
      <c r="B106" t="s">
        <v>205</v>
      </c>
    </row>
    <row r="107" spans="1:4" x14ac:dyDescent="0.4">
      <c r="A107" s="1" t="s">
        <v>206</v>
      </c>
      <c r="B107" t="s">
        <v>207</v>
      </c>
    </row>
    <row r="108" spans="1:4" x14ac:dyDescent="0.4">
      <c r="A108" s="1" t="s">
        <v>208</v>
      </c>
      <c r="B108" t="s">
        <v>209</v>
      </c>
    </row>
    <row r="109" spans="1:4" x14ac:dyDescent="0.4">
      <c r="A109" s="1" t="s">
        <v>210</v>
      </c>
      <c r="B109" t="s">
        <v>211</v>
      </c>
    </row>
    <row r="110" spans="1:4" x14ac:dyDescent="0.4">
      <c r="A110" s="1" t="s">
        <v>212</v>
      </c>
      <c r="B110" t="s">
        <v>213</v>
      </c>
    </row>
    <row r="111" spans="1:4" x14ac:dyDescent="0.4">
      <c r="A111" s="1" t="s">
        <v>214</v>
      </c>
      <c r="B111" t="s">
        <v>215</v>
      </c>
    </row>
    <row r="112" spans="1:4" x14ac:dyDescent="0.4">
      <c r="A112" s="1" t="s">
        <v>216</v>
      </c>
      <c r="B112" t="s">
        <v>217</v>
      </c>
    </row>
    <row r="113" spans="1:4" x14ac:dyDescent="0.4">
      <c r="A113" s="1" t="s">
        <v>218</v>
      </c>
      <c r="B113" t="s">
        <v>219</v>
      </c>
      <c r="C113" t="s">
        <v>5</v>
      </c>
    </row>
    <row r="114" spans="1:4" x14ac:dyDescent="0.4">
      <c r="A114" s="1" t="s">
        <v>220</v>
      </c>
      <c r="B114" t="s">
        <v>221</v>
      </c>
    </row>
    <row r="115" spans="1:4" x14ac:dyDescent="0.4">
      <c r="A115" s="1" t="s">
        <v>222</v>
      </c>
      <c r="B115" t="s">
        <v>223</v>
      </c>
      <c r="C115" t="s">
        <v>5</v>
      </c>
    </row>
    <row r="116" spans="1:4" x14ac:dyDescent="0.4">
      <c r="A116" s="1" t="s">
        <v>224</v>
      </c>
      <c r="B116" t="s">
        <v>225</v>
      </c>
      <c r="C116" t="s">
        <v>5</v>
      </c>
    </row>
    <row r="117" spans="1:4" x14ac:dyDescent="0.4">
      <c r="A117" s="1" t="s">
        <v>226</v>
      </c>
      <c r="B117" t="s">
        <v>227</v>
      </c>
      <c r="C117" t="s">
        <v>5</v>
      </c>
    </row>
    <row r="118" spans="1:4" x14ac:dyDescent="0.4">
      <c r="A118" s="1" t="s">
        <v>228</v>
      </c>
      <c r="B118" t="s">
        <v>229</v>
      </c>
      <c r="C118" t="s">
        <v>5</v>
      </c>
    </row>
    <row r="119" spans="1:4" x14ac:dyDescent="0.4">
      <c r="A119" s="1" t="s">
        <v>230</v>
      </c>
      <c r="B119" t="s">
        <v>231</v>
      </c>
      <c r="C119" t="s">
        <v>232</v>
      </c>
    </row>
    <row r="120" spans="1:4" x14ac:dyDescent="0.4">
      <c r="A120" s="1" t="s">
        <v>233</v>
      </c>
      <c r="B120" t="s">
        <v>234</v>
      </c>
      <c r="C120" t="s">
        <v>235</v>
      </c>
    </row>
    <row r="121" spans="1:4" x14ac:dyDescent="0.4">
      <c r="A121" s="1" t="s">
        <v>236</v>
      </c>
      <c r="B121" t="s">
        <v>237</v>
      </c>
      <c r="C121" t="s">
        <v>238</v>
      </c>
    </row>
    <row r="122" spans="1:4" x14ac:dyDescent="0.4">
      <c r="A122" s="1" t="s">
        <v>239</v>
      </c>
      <c r="B122" t="s">
        <v>240</v>
      </c>
      <c r="C122" t="s">
        <v>5</v>
      </c>
      <c r="D122">
        <v>195000</v>
      </c>
    </row>
    <row r="123" spans="1:4" x14ac:dyDescent="0.4">
      <c r="A123" s="1" t="s">
        <v>241</v>
      </c>
      <c r="B123" t="s">
        <v>242</v>
      </c>
      <c r="C123" t="s">
        <v>5</v>
      </c>
      <c r="D123">
        <v>264000</v>
      </c>
    </row>
    <row r="124" spans="1:4" x14ac:dyDescent="0.4">
      <c r="A124" s="1" t="s">
        <v>243</v>
      </c>
      <c r="B124" t="s">
        <v>244</v>
      </c>
    </row>
    <row r="125" spans="1:4" x14ac:dyDescent="0.4">
      <c r="A125" s="1" t="s">
        <v>245</v>
      </c>
      <c r="B125" t="s">
        <v>246</v>
      </c>
    </row>
    <row r="126" spans="1:4" x14ac:dyDescent="0.4">
      <c r="A126" s="1" t="s">
        <v>247</v>
      </c>
      <c r="B126" t="s">
        <v>248</v>
      </c>
      <c r="C126" t="s">
        <v>5</v>
      </c>
      <c r="D126">
        <v>20400</v>
      </c>
    </row>
    <row r="127" spans="1:4" x14ac:dyDescent="0.4">
      <c r="A127" s="1" t="s">
        <v>249</v>
      </c>
      <c r="B127" t="s">
        <v>250</v>
      </c>
      <c r="C127" t="s">
        <v>5</v>
      </c>
    </row>
    <row r="128" spans="1:4" x14ac:dyDescent="0.4">
      <c r="A128" s="1" t="s">
        <v>251</v>
      </c>
      <c r="B128" t="s">
        <v>252</v>
      </c>
      <c r="C128" t="s">
        <v>5</v>
      </c>
      <c r="D128">
        <v>56900</v>
      </c>
    </row>
    <row r="129" spans="1:4" x14ac:dyDescent="0.4">
      <c r="A129" s="1" t="s">
        <v>253</v>
      </c>
      <c r="B129" t="s">
        <v>254</v>
      </c>
      <c r="C129" t="s">
        <v>5</v>
      </c>
      <c r="D129">
        <v>58600</v>
      </c>
    </row>
    <row r="130" spans="1:4" x14ac:dyDescent="0.4">
      <c r="A130" s="1" t="s">
        <v>255</v>
      </c>
      <c r="B130" t="s">
        <v>256</v>
      </c>
      <c r="C130" t="s">
        <v>5</v>
      </c>
      <c r="D130">
        <v>73800</v>
      </c>
    </row>
    <row r="131" spans="1:4" x14ac:dyDescent="0.4">
      <c r="A131" s="1" t="s">
        <v>257</v>
      </c>
      <c r="B131" t="s">
        <v>258</v>
      </c>
      <c r="C131" t="s">
        <v>5</v>
      </c>
      <c r="D131">
        <v>73800</v>
      </c>
    </row>
    <row r="132" spans="1:4" x14ac:dyDescent="0.4">
      <c r="A132" s="1" t="s">
        <v>259</v>
      </c>
      <c r="B132" t="s">
        <v>260</v>
      </c>
      <c r="C132" t="s">
        <v>5</v>
      </c>
      <c r="D132">
        <v>73800</v>
      </c>
    </row>
    <row r="133" spans="1:4" x14ac:dyDescent="0.4">
      <c r="A133" s="1" t="s">
        <v>261</v>
      </c>
      <c r="B133" t="s">
        <v>262</v>
      </c>
      <c r="C133" t="s">
        <v>5</v>
      </c>
      <c r="D133">
        <v>41500</v>
      </c>
    </row>
    <row r="134" spans="1:4" x14ac:dyDescent="0.4">
      <c r="A134" s="1" t="s">
        <v>263</v>
      </c>
      <c r="B134" t="s">
        <v>264</v>
      </c>
      <c r="C134" t="s">
        <v>5</v>
      </c>
      <c r="D134">
        <v>54500</v>
      </c>
    </row>
    <row r="135" spans="1:4" x14ac:dyDescent="0.4">
      <c r="A135" s="1" t="s">
        <v>265</v>
      </c>
      <c r="B135" t="s">
        <v>266</v>
      </c>
      <c r="C135" t="s">
        <v>5</v>
      </c>
      <c r="D135">
        <v>30300</v>
      </c>
    </row>
    <row r="136" spans="1:4" x14ac:dyDescent="0.4">
      <c r="A136" s="1" t="s">
        <v>267</v>
      </c>
      <c r="B136" t="s">
        <v>268</v>
      </c>
      <c r="C136" t="s">
        <v>5</v>
      </c>
      <c r="D136">
        <v>26400</v>
      </c>
    </row>
    <row r="137" spans="1:4" x14ac:dyDescent="0.4">
      <c r="A137" s="1" t="s">
        <v>269</v>
      </c>
      <c r="B137" t="s">
        <v>270</v>
      </c>
      <c r="C137" t="s">
        <v>5</v>
      </c>
      <c r="D137">
        <v>34900</v>
      </c>
    </row>
    <row r="138" spans="1:4" x14ac:dyDescent="0.4">
      <c r="A138" s="1" t="s">
        <v>271</v>
      </c>
      <c r="B138" t="s">
        <v>272</v>
      </c>
      <c r="C138" t="s">
        <v>5</v>
      </c>
      <c r="D138">
        <v>42200</v>
      </c>
    </row>
    <row r="139" spans="1:4" x14ac:dyDescent="0.4">
      <c r="A139" s="1" t="s">
        <v>273</v>
      </c>
      <c r="B139" t="s">
        <v>274</v>
      </c>
      <c r="C139" t="s">
        <v>5</v>
      </c>
      <c r="D139">
        <v>34900</v>
      </c>
    </row>
    <row r="140" spans="1:4" x14ac:dyDescent="0.4">
      <c r="A140" s="1" t="s">
        <v>275</v>
      </c>
      <c r="B140" t="s">
        <v>276</v>
      </c>
      <c r="C140" t="s">
        <v>5</v>
      </c>
      <c r="D140">
        <v>34900</v>
      </c>
    </row>
    <row r="141" spans="1:4" x14ac:dyDescent="0.4">
      <c r="A141" s="1" t="s">
        <v>277</v>
      </c>
      <c r="B141" t="s">
        <v>278</v>
      </c>
      <c r="C141" t="s">
        <v>5</v>
      </c>
      <c r="D141">
        <v>26400</v>
      </c>
    </row>
    <row r="142" spans="1:4" x14ac:dyDescent="0.4">
      <c r="A142" s="1" t="s">
        <v>279</v>
      </c>
      <c r="B142" t="s">
        <v>280</v>
      </c>
      <c r="C142" t="s">
        <v>5</v>
      </c>
      <c r="D142">
        <v>26400</v>
      </c>
    </row>
    <row r="143" spans="1:4" x14ac:dyDescent="0.4">
      <c r="A143" s="1" t="s">
        <v>281</v>
      </c>
      <c r="B143" t="s">
        <v>282</v>
      </c>
      <c r="C143" t="s">
        <v>5</v>
      </c>
      <c r="D143">
        <v>41500</v>
      </c>
    </row>
    <row r="144" spans="1:4" x14ac:dyDescent="0.4">
      <c r="A144" s="1" t="s">
        <v>283</v>
      </c>
      <c r="B144" t="s">
        <v>284</v>
      </c>
      <c r="C144" t="s">
        <v>5</v>
      </c>
      <c r="D144">
        <v>73200</v>
      </c>
    </row>
    <row r="145" spans="1:4" x14ac:dyDescent="0.4">
      <c r="A145" s="1" t="s">
        <v>285</v>
      </c>
      <c r="B145" t="s">
        <v>286</v>
      </c>
      <c r="C145" t="s">
        <v>5</v>
      </c>
      <c r="D145">
        <v>37800</v>
      </c>
    </row>
    <row r="146" spans="1:4" x14ac:dyDescent="0.4">
      <c r="A146" s="1" t="s">
        <v>287</v>
      </c>
      <c r="B146" t="s">
        <v>288</v>
      </c>
      <c r="C146" t="s">
        <v>5</v>
      </c>
    </row>
    <row r="147" spans="1:4" x14ac:dyDescent="0.4">
      <c r="A147" s="1" t="s">
        <v>289</v>
      </c>
      <c r="B147" t="s">
        <v>290</v>
      </c>
      <c r="C147" t="s">
        <v>5</v>
      </c>
    </row>
    <row r="148" spans="1:4" x14ac:dyDescent="0.4">
      <c r="A148" s="1" t="s">
        <v>291</v>
      </c>
      <c r="B148" t="s">
        <v>292</v>
      </c>
      <c r="C148" t="s">
        <v>5</v>
      </c>
      <c r="D148">
        <v>62500</v>
      </c>
    </row>
    <row r="149" spans="1:4" x14ac:dyDescent="0.4">
      <c r="A149" s="1" t="s">
        <v>293</v>
      </c>
      <c r="B149" t="s">
        <v>294</v>
      </c>
      <c r="C149" t="s">
        <v>5</v>
      </c>
      <c r="D149">
        <v>6900</v>
      </c>
    </row>
    <row r="150" spans="1:4" x14ac:dyDescent="0.4">
      <c r="A150" s="1" t="s">
        <v>295</v>
      </c>
      <c r="B150" t="s">
        <v>296</v>
      </c>
      <c r="C150" t="s">
        <v>5</v>
      </c>
      <c r="D150">
        <v>8400</v>
      </c>
    </row>
    <row r="151" spans="1:4" x14ac:dyDescent="0.4">
      <c r="A151" s="1" t="s">
        <v>297</v>
      </c>
      <c r="B151" t="s">
        <v>298</v>
      </c>
      <c r="C151" t="s">
        <v>5</v>
      </c>
      <c r="D151">
        <v>10600</v>
      </c>
    </row>
    <row r="152" spans="1:4" x14ac:dyDescent="0.4">
      <c r="A152" s="1" t="s">
        <v>299</v>
      </c>
      <c r="B152" t="s">
        <v>300</v>
      </c>
      <c r="C152" t="s">
        <v>5</v>
      </c>
      <c r="D152">
        <v>12300</v>
      </c>
    </row>
    <row r="153" spans="1:4" x14ac:dyDescent="0.4">
      <c r="A153" s="1" t="s">
        <v>301</v>
      </c>
      <c r="B153" t="s">
        <v>302</v>
      </c>
      <c r="C153" t="s">
        <v>5</v>
      </c>
      <c r="D153">
        <v>12300</v>
      </c>
    </row>
    <row r="154" spans="1:4" x14ac:dyDescent="0.4">
      <c r="A154" s="1" t="s">
        <v>303</v>
      </c>
      <c r="B154" t="s">
        <v>304</v>
      </c>
      <c r="C154" t="s">
        <v>5</v>
      </c>
      <c r="D154">
        <v>12300</v>
      </c>
    </row>
    <row r="155" spans="1:4" x14ac:dyDescent="0.4">
      <c r="A155" s="1" t="s">
        <v>305</v>
      </c>
      <c r="B155" t="s">
        <v>306</v>
      </c>
      <c r="C155" t="s">
        <v>5</v>
      </c>
      <c r="D155">
        <v>8400</v>
      </c>
    </row>
    <row r="156" spans="1:4" x14ac:dyDescent="0.4">
      <c r="A156" s="1" t="s">
        <v>307</v>
      </c>
      <c r="B156" t="s">
        <v>308</v>
      </c>
      <c r="C156" t="s">
        <v>5</v>
      </c>
      <c r="D156">
        <v>8400</v>
      </c>
    </row>
    <row r="157" spans="1:4" x14ac:dyDescent="0.4">
      <c r="A157" s="1" t="s">
        <v>309</v>
      </c>
      <c r="B157" t="s">
        <v>310</v>
      </c>
      <c r="C157" t="s">
        <v>5</v>
      </c>
      <c r="D157">
        <v>9700</v>
      </c>
    </row>
    <row r="158" spans="1:4" x14ac:dyDescent="0.4">
      <c r="A158" s="1" t="s">
        <v>311</v>
      </c>
      <c r="B158" t="s">
        <v>312</v>
      </c>
      <c r="C158" t="s">
        <v>5</v>
      </c>
      <c r="D158">
        <v>13700</v>
      </c>
    </row>
    <row r="159" spans="1:4" x14ac:dyDescent="0.4">
      <c r="A159" s="1" t="s">
        <v>313</v>
      </c>
      <c r="B159" t="s">
        <v>314</v>
      </c>
      <c r="C159" t="s">
        <v>5</v>
      </c>
      <c r="D159">
        <v>22300</v>
      </c>
    </row>
    <row r="160" spans="1:4" x14ac:dyDescent="0.4">
      <c r="A160" s="1" t="s">
        <v>315</v>
      </c>
      <c r="B160" t="s">
        <v>316</v>
      </c>
      <c r="C160" t="s">
        <v>5</v>
      </c>
      <c r="D160">
        <v>24500</v>
      </c>
    </row>
    <row r="161" spans="1:4" x14ac:dyDescent="0.4">
      <c r="A161" s="1" t="s">
        <v>317</v>
      </c>
      <c r="B161" t="s">
        <v>318</v>
      </c>
      <c r="C161" t="s">
        <v>5</v>
      </c>
      <c r="D161">
        <v>24500</v>
      </c>
    </row>
    <row r="162" spans="1:4" x14ac:dyDescent="0.4">
      <c r="A162" s="1" t="s">
        <v>319</v>
      </c>
      <c r="B162" t="s">
        <v>320</v>
      </c>
      <c r="C162" t="s">
        <v>5</v>
      </c>
      <c r="D162">
        <v>24500</v>
      </c>
    </row>
    <row r="163" spans="1:4" x14ac:dyDescent="0.4">
      <c r="A163" s="1" t="s">
        <v>321</v>
      </c>
      <c r="B163" t="s">
        <v>322</v>
      </c>
      <c r="C163" t="s">
        <v>5</v>
      </c>
      <c r="D163">
        <v>13700</v>
      </c>
    </row>
    <row r="164" spans="1:4" x14ac:dyDescent="0.4">
      <c r="A164" s="1" t="s">
        <v>323</v>
      </c>
      <c r="B164" t="s">
        <v>324</v>
      </c>
      <c r="C164" t="s">
        <v>5</v>
      </c>
      <c r="D164">
        <v>13700</v>
      </c>
    </row>
    <row r="165" spans="1:4" x14ac:dyDescent="0.4">
      <c r="A165" s="1" t="s">
        <v>325</v>
      </c>
      <c r="B165" t="s">
        <v>326</v>
      </c>
      <c r="C165" t="s">
        <v>5</v>
      </c>
      <c r="D165">
        <v>8700</v>
      </c>
    </row>
    <row r="166" spans="1:4" x14ac:dyDescent="0.4">
      <c r="A166" s="1" t="s">
        <v>327</v>
      </c>
      <c r="B166" t="s">
        <v>328</v>
      </c>
      <c r="C166" t="s">
        <v>5</v>
      </c>
      <c r="D166">
        <v>14800</v>
      </c>
    </row>
    <row r="167" spans="1:4" x14ac:dyDescent="0.4">
      <c r="A167" s="1" t="s">
        <v>329</v>
      </c>
      <c r="B167" t="s">
        <v>330</v>
      </c>
      <c r="C167" t="s">
        <v>5</v>
      </c>
      <c r="D167">
        <v>66300</v>
      </c>
    </row>
    <row r="168" spans="1:4" x14ac:dyDescent="0.4">
      <c r="A168" s="1" t="s">
        <v>331</v>
      </c>
      <c r="B168" t="s">
        <v>332</v>
      </c>
      <c r="C168" t="s">
        <v>5</v>
      </c>
      <c r="D168">
        <v>65800</v>
      </c>
    </row>
    <row r="169" spans="1:4" x14ac:dyDescent="0.4">
      <c r="A169" s="1" t="s">
        <v>333</v>
      </c>
      <c r="B169" t="s">
        <v>334</v>
      </c>
      <c r="C169" t="s">
        <v>5</v>
      </c>
      <c r="D169">
        <v>65800</v>
      </c>
    </row>
    <row r="170" spans="1:4" x14ac:dyDescent="0.4">
      <c r="A170" s="1" t="s">
        <v>335</v>
      </c>
      <c r="B170" t="s">
        <v>336</v>
      </c>
      <c r="C170" t="s">
        <v>5</v>
      </c>
      <c r="D170">
        <v>65800</v>
      </c>
    </row>
    <row r="171" spans="1:4" x14ac:dyDescent="0.4">
      <c r="A171" s="1" t="s">
        <v>337</v>
      </c>
      <c r="B171" t="s">
        <v>338</v>
      </c>
      <c r="C171" t="s">
        <v>5</v>
      </c>
      <c r="D171">
        <v>7600</v>
      </c>
    </row>
    <row r="172" spans="1:4" x14ac:dyDescent="0.4">
      <c r="A172" s="1" t="s">
        <v>339</v>
      </c>
      <c r="B172" t="s">
        <v>340</v>
      </c>
      <c r="C172" t="s">
        <v>5</v>
      </c>
      <c r="D172">
        <v>7800</v>
      </c>
    </row>
    <row r="173" spans="1:4" x14ac:dyDescent="0.4">
      <c r="A173" s="1" t="s">
        <v>341</v>
      </c>
      <c r="B173" t="s">
        <v>342</v>
      </c>
      <c r="C173" t="s">
        <v>5</v>
      </c>
      <c r="D173">
        <v>12000</v>
      </c>
    </row>
    <row r="174" spans="1:4" x14ac:dyDescent="0.4">
      <c r="A174" s="1" t="s">
        <v>343</v>
      </c>
      <c r="B174" t="s">
        <v>344</v>
      </c>
      <c r="C174" t="s">
        <v>5</v>
      </c>
      <c r="D174">
        <v>12700</v>
      </c>
    </row>
    <row r="175" spans="1:4" x14ac:dyDescent="0.4">
      <c r="A175" s="1" t="s">
        <v>345</v>
      </c>
      <c r="B175" t="s">
        <v>346</v>
      </c>
      <c r="C175" t="s">
        <v>5</v>
      </c>
      <c r="D175">
        <v>12700</v>
      </c>
    </row>
    <row r="176" spans="1:4" x14ac:dyDescent="0.4">
      <c r="A176" s="1" t="s">
        <v>347</v>
      </c>
      <c r="B176" t="s">
        <v>348</v>
      </c>
      <c r="C176" t="s">
        <v>5</v>
      </c>
      <c r="D176">
        <v>12700</v>
      </c>
    </row>
    <row r="177" spans="1:4" x14ac:dyDescent="0.4">
      <c r="A177" s="1" t="s">
        <v>349</v>
      </c>
      <c r="B177" t="s">
        <v>350</v>
      </c>
      <c r="C177" t="s">
        <v>5</v>
      </c>
      <c r="D177">
        <v>7800</v>
      </c>
    </row>
    <row r="178" spans="1:4" x14ac:dyDescent="0.4">
      <c r="A178" s="1" t="s">
        <v>351</v>
      </c>
      <c r="B178" t="s">
        <v>352</v>
      </c>
      <c r="C178" t="s">
        <v>5</v>
      </c>
      <c r="D178">
        <v>7800</v>
      </c>
    </row>
    <row r="179" spans="1:4" x14ac:dyDescent="0.4">
      <c r="A179" s="1" t="s">
        <v>353</v>
      </c>
      <c r="B179" t="s">
        <v>354</v>
      </c>
      <c r="C179" t="s">
        <v>5</v>
      </c>
      <c r="D179">
        <v>10300</v>
      </c>
    </row>
    <row r="180" spans="1:4" x14ac:dyDescent="0.4">
      <c r="A180" s="1" t="s">
        <v>355</v>
      </c>
      <c r="B180" t="s">
        <v>356</v>
      </c>
      <c r="C180" t="s">
        <v>5</v>
      </c>
      <c r="D180">
        <v>12500</v>
      </c>
    </row>
    <row r="181" spans="1:4" x14ac:dyDescent="0.4">
      <c r="A181" s="1" t="s">
        <v>357</v>
      </c>
      <c r="B181" t="s">
        <v>358</v>
      </c>
      <c r="C181" t="s">
        <v>5</v>
      </c>
      <c r="D181">
        <v>26800</v>
      </c>
    </row>
    <row r="182" spans="1:4" x14ac:dyDescent="0.4">
      <c r="A182" s="1" t="s">
        <v>359</v>
      </c>
      <c r="B182" t="s">
        <v>360</v>
      </c>
      <c r="C182" t="s">
        <v>5</v>
      </c>
      <c r="D182">
        <v>28900</v>
      </c>
    </row>
    <row r="183" spans="1:4" x14ac:dyDescent="0.4">
      <c r="A183" s="1" t="s">
        <v>361</v>
      </c>
      <c r="B183" t="s">
        <v>362</v>
      </c>
      <c r="C183" t="s">
        <v>5</v>
      </c>
      <c r="D183">
        <v>28900</v>
      </c>
    </row>
    <row r="184" spans="1:4" x14ac:dyDescent="0.4">
      <c r="A184" s="1" t="s">
        <v>363</v>
      </c>
      <c r="B184" t="s">
        <v>364</v>
      </c>
      <c r="C184" t="s">
        <v>5</v>
      </c>
      <c r="D184">
        <v>28900</v>
      </c>
    </row>
    <row r="185" spans="1:4" x14ac:dyDescent="0.4">
      <c r="A185" s="1" t="s">
        <v>365</v>
      </c>
      <c r="B185" t="s">
        <v>366</v>
      </c>
      <c r="C185" t="s">
        <v>5</v>
      </c>
      <c r="D185">
        <v>12500</v>
      </c>
    </row>
    <row r="186" spans="1:4" x14ac:dyDescent="0.4">
      <c r="A186" s="1" t="s">
        <v>367</v>
      </c>
      <c r="B186" t="s">
        <v>368</v>
      </c>
      <c r="C186" t="s">
        <v>5</v>
      </c>
      <c r="D186">
        <v>12500</v>
      </c>
    </row>
    <row r="187" spans="1:4" x14ac:dyDescent="0.4">
      <c r="A187" s="1" t="s">
        <v>369</v>
      </c>
      <c r="B187" t="s">
        <v>370</v>
      </c>
      <c r="C187" t="s">
        <v>5</v>
      </c>
      <c r="D187">
        <v>36300</v>
      </c>
    </row>
    <row r="188" spans="1:4" x14ac:dyDescent="0.4">
      <c r="A188" s="1" t="s">
        <v>371</v>
      </c>
      <c r="B188" t="s">
        <v>372</v>
      </c>
      <c r="C188" t="s">
        <v>5</v>
      </c>
    </row>
    <row r="189" spans="1:4" x14ac:dyDescent="0.4">
      <c r="A189" s="1" t="s">
        <v>373</v>
      </c>
      <c r="B189" t="s">
        <v>374</v>
      </c>
      <c r="C189" t="s">
        <v>5</v>
      </c>
      <c r="D189">
        <v>22700</v>
      </c>
    </row>
    <row r="190" spans="1:4" x14ac:dyDescent="0.4">
      <c r="A190" s="1" t="s">
        <v>375</v>
      </c>
      <c r="B190" t="s">
        <v>376</v>
      </c>
      <c r="C190" t="s">
        <v>5</v>
      </c>
      <c r="D190">
        <v>15200</v>
      </c>
    </row>
    <row r="191" spans="1:4" x14ac:dyDescent="0.4">
      <c r="A191" s="1" t="s">
        <v>377</v>
      </c>
      <c r="B191" t="s">
        <v>378</v>
      </c>
      <c r="C191" t="s">
        <v>5</v>
      </c>
      <c r="D191">
        <v>43100</v>
      </c>
    </row>
    <row r="192" spans="1:4" x14ac:dyDescent="0.4">
      <c r="A192" s="1" t="s">
        <v>379</v>
      </c>
      <c r="B192" t="s">
        <v>380</v>
      </c>
      <c r="C192" t="s">
        <v>5</v>
      </c>
      <c r="D192">
        <v>25200</v>
      </c>
    </row>
    <row r="193" spans="1:4" x14ac:dyDescent="0.4">
      <c r="A193" s="1" t="s">
        <v>381</v>
      </c>
      <c r="B193" t="s">
        <v>382</v>
      </c>
      <c r="C193" t="s">
        <v>5</v>
      </c>
      <c r="D193">
        <v>21600</v>
      </c>
    </row>
    <row r="194" spans="1:4" x14ac:dyDescent="0.4">
      <c r="A194" s="1" t="s">
        <v>383</v>
      </c>
      <c r="B194" t="s">
        <v>384</v>
      </c>
      <c r="C194" t="s">
        <v>5</v>
      </c>
      <c r="D194">
        <v>41300</v>
      </c>
    </row>
    <row r="195" spans="1:4" x14ac:dyDescent="0.4">
      <c r="A195" s="1" t="s">
        <v>385</v>
      </c>
      <c r="B195" t="s">
        <v>386</v>
      </c>
      <c r="C195" t="s">
        <v>5</v>
      </c>
      <c r="D195">
        <v>35700</v>
      </c>
    </row>
    <row r="196" spans="1:4" x14ac:dyDescent="0.4">
      <c r="A196" s="1" t="s">
        <v>387</v>
      </c>
      <c r="B196" t="s">
        <v>388</v>
      </c>
      <c r="C196" t="s">
        <v>5</v>
      </c>
      <c r="D196">
        <v>35700</v>
      </c>
    </row>
    <row r="197" spans="1:4" x14ac:dyDescent="0.4">
      <c r="A197" s="1" t="s">
        <v>389</v>
      </c>
      <c r="B197" t="s">
        <v>390</v>
      </c>
      <c r="C197" t="s">
        <v>5</v>
      </c>
      <c r="D197">
        <v>35700</v>
      </c>
    </row>
    <row r="198" spans="1:4" x14ac:dyDescent="0.4">
      <c r="A198" s="1" t="s">
        <v>391</v>
      </c>
      <c r="B198" t="s">
        <v>392</v>
      </c>
      <c r="C198" t="s">
        <v>5</v>
      </c>
      <c r="D198">
        <v>21600</v>
      </c>
    </row>
    <row r="199" spans="1:4" x14ac:dyDescent="0.4">
      <c r="A199" s="1" t="s">
        <v>393</v>
      </c>
      <c r="B199" t="s">
        <v>394</v>
      </c>
      <c r="C199" t="s">
        <v>5</v>
      </c>
      <c r="D199">
        <v>21600</v>
      </c>
    </row>
    <row r="200" spans="1:4" x14ac:dyDescent="0.4">
      <c r="A200" s="1" t="s">
        <v>395</v>
      </c>
      <c r="B200" t="s">
        <v>396</v>
      </c>
      <c r="C200" t="s">
        <v>5</v>
      </c>
      <c r="D200">
        <v>39000</v>
      </c>
    </row>
    <row r="201" spans="1:4" x14ac:dyDescent="0.4">
      <c r="A201" s="1" t="s">
        <v>397</v>
      </c>
      <c r="B201" t="s">
        <v>398</v>
      </c>
      <c r="C201" t="s">
        <v>5</v>
      </c>
      <c r="D201">
        <v>45800</v>
      </c>
    </row>
    <row r="202" spans="1:4" x14ac:dyDescent="0.4">
      <c r="A202" s="1" t="s">
        <v>399</v>
      </c>
      <c r="B202" t="s">
        <v>400</v>
      </c>
      <c r="C202" t="s">
        <v>5</v>
      </c>
    </row>
    <row r="203" spans="1:4" x14ac:dyDescent="0.4">
      <c r="A203" s="1" t="s">
        <v>401</v>
      </c>
      <c r="B203" t="s">
        <v>402</v>
      </c>
      <c r="C203" t="s">
        <v>5</v>
      </c>
    </row>
    <row r="204" spans="1:4" x14ac:dyDescent="0.4">
      <c r="A204" s="1" t="s">
        <v>403</v>
      </c>
      <c r="B204" t="s">
        <v>404</v>
      </c>
      <c r="C204" t="s">
        <v>5</v>
      </c>
      <c r="D204">
        <v>75600</v>
      </c>
    </row>
    <row r="205" spans="1:4" x14ac:dyDescent="0.4">
      <c r="A205" s="1" t="s">
        <v>405</v>
      </c>
      <c r="B205" t="s">
        <v>406</v>
      </c>
      <c r="C205" t="s">
        <v>5</v>
      </c>
      <c r="D205">
        <v>129400</v>
      </c>
    </row>
    <row r="206" spans="1:4" x14ac:dyDescent="0.4">
      <c r="A206" s="1" t="s">
        <v>407</v>
      </c>
      <c r="B206" t="s">
        <v>408</v>
      </c>
      <c r="C206" t="s">
        <v>5</v>
      </c>
      <c r="D206">
        <v>136100</v>
      </c>
    </row>
    <row r="207" spans="1:4" x14ac:dyDescent="0.4">
      <c r="A207" s="1" t="s">
        <v>409</v>
      </c>
      <c r="B207" t="s">
        <v>410</v>
      </c>
      <c r="C207" t="s">
        <v>5</v>
      </c>
      <c r="D207">
        <v>228800</v>
      </c>
    </row>
    <row r="208" spans="1:4" x14ac:dyDescent="0.4">
      <c r="A208" s="1" t="s">
        <v>411</v>
      </c>
      <c r="B208" t="s">
        <v>412</v>
      </c>
      <c r="C208" t="s">
        <v>5</v>
      </c>
      <c r="D208">
        <v>63600</v>
      </c>
    </row>
    <row r="209" spans="1:4" x14ac:dyDescent="0.4">
      <c r="A209" s="1" t="s">
        <v>413</v>
      </c>
      <c r="B209" t="s">
        <v>414</v>
      </c>
      <c r="C209" t="s">
        <v>5</v>
      </c>
      <c r="D209">
        <v>63600</v>
      </c>
    </row>
    <row r="210" spans="1:4" x14ac:dyDescent="0.4">
      <c r="A210" s="1" t="s">
        <v>415</v>
      </c>
      <c r="B210" t="s">
        <v>416</v>
      </c>
      <c r="C210" t="s">
        <v>5</v>
      </c>
      <c r="D210">
        <v>63600</v>
      </c>
    </row>
    <row r="211" spans="1:4" x14ac:dyDescent="0.4">
      <c r="A211" s="1" t="s">
        <v>417</v>
      </c>
      <c r="B211" t="s">
        <v>418</v>
      </c>
      <c r="C211" t="s">
        <v>5</v>
      </c>
      <c r="D211">
        <v>136100</v>
      </c>
    </row>
    <row r="212" spans="1:4" x14ac:dyDescent="0.4">
      <c r="A212" s="1" t="s">
        <v>419</v>
      </c>
      <c r="B212" t="s">
        <v>420</v>
      </c>
      <c r="C212" t="s">
        <v>5</v>
      </c>
      <c r="D212">
        <v>136100</v>
      </c>
    </row>
    <row r="213" spans="1:4" x14ac:dyDescent="0.4">
      <c r="A213" s="1" t="s">
        <v>421</v>
      </c>
      <c r="B213" t="s">
        <v>422</v>
      </c>
      <c r="C213" t="s">
        <v>5</v>
      </c>
      <c r="D213">
        <v>28300</v>
      </c>
    </row>
    <row r="214" spans="1:4" x14ac:dyDescent="0.4">
      <c r="A214" s="1" t="s">
        <v>423</v>
      </c>
      <c r="B214" t="s">
        <v>424</v>
      </c>
      <c r="C214" t="s">
        <v>5</v>
      </c>
      <c r="D214">
        <v>24400</v>
      </c>
    </row>
    <row r="215" spans="1:4" x14ac:dyDescent="0.4">
      <c r="A215" s="1" t="s">
        <v>425</v>
      </c>
      <c r="B215" t="s">
        <v>426</v>
      </c>
      <c r="C215" t="s">
        <v>5</v>
      </c>
      <c r="D215">
        <v>45200</v>
      </c>
    </row>
    <row r="216" spans="1:4" x14ac:dyDescent="0.4">
      <c r="A216" s="1" t="s">
        <v>427</v>
      </c>
      <c r="B216" t="s">
        <v>428</v>
      </c>
      <c r="C216" t="s">
        <v>5</v>
      </c>
      <c r="D216">
        <v>36200</v>
      </c>
    </row>
    <row r="217" spans="1:4" x14ac:dyDescent="0.4">
      <c r="A217" s="1" t="s">
        <v>429</v>
      </c>
      <c r="B217" t="s">
        <v>430</v>
      </c>
      <c r="C217" t="s">
        <v>5</v>
      </c>
      <c r="D217">
        <v>36200</v>
      </c>
    </row>
    <row r="218" spans="1:4" x14ac:dyDescent="0.4">
      <c r="A218" s="1" t="s">
        <v>431</v>
      </c>
      <c r="B218" t="s">
        <v>432</v>
      </c>
      <c r="C218" t="s">
        <v>5</v>
      </c>
      <c r="D218">
        <v>36200</v>
      </c>
    </row>
    <row r="219" spans="1:4" x14ac:dyDescent="0.4">
      <c r="A219" s="1" t="s">
        <v>433</v>
      </c>
      <c r="B219" t="s">
        <v>434</v>
      </c>
      <c r="C219" t="s">
        <v>5</v>
      </c>
      <c r="D219">
        <v>24400</v>
      </c>
    </row>
    <row r="220" spans="1:4" x14ac:dyDescent="0.4">
      <c r="A220" s="1" t="s">
        <v>435</v>
      </c>
      <c r="B220" t="s">
        <v>436</v>
      </c>
      <c r="C220" t="s">
        <v>5</v>
      </c>
      <c r="D220">
        <v>24400</v>
      </c>
    </row>
    <row r="221" spans="1:4" x14ac:dyDescent="0.4">
      <c r="A221" s="1" t="s">
        <v>437</v>
      </c>
      <c r="B221" t="s">
        <v>438</v>
      </c>
      <c r="C221" t="s">
        <v>5</v>
      </c>
      <c r="D221">
        <v>6800</v>
      </c>
    </row>
    <row r="222" spans="1:4" x14ac:dyDescent="0.4">
      <c r="A222" s="1" t="s">
        <v>439</v>
      </c>
      <c r="B222" t="s">
        <v>440</v>
      </c>
      <c r="C222" t="s">
        <v>5</v>
      </c>
      <c r="D222">
        <v>8100</v>
      </c>
    </row>
    <row r="223" spans="1:4" x14ac:dyDescent="0.4">
      <c r="A223" s="1" t="s">
        <v>441</v>
      </c>
      <c r="B223" t="s">
        <v>442</v>
      </c>
      <c r="C223" t="s">
        <v>5</v>
      </c>
      <c r="D223">
        <v>12100</v>
      </c>
    </row>
    <row r="224" spans="1:4" x14ac:dyDescent="0.4">
      <c r="A224" s="1" t="s">
        <v>443</v>
      </c>
      <c r="B224" t="s">
        <v>444</v>
      </c>
      <c r="C224" t="s">
        <v>5</v>
      </c>
      <c r="D224">
        <v>13000</v>
      </c>
    </row>
    <row r="225" spans="1:4" x14ac:dyDescent="0.4">
      <c r="A225" s="1" t="s">
        <v>445</v>
      </c>
      <c r="B225" t="s">
        <v>446</v>
      </c>
      <c r="C225" t="s">
        <v>5</v>
      </c>
      <c r="D225">
        <v>13000</v>
      </c>
    </row>
    <row r="226" spans="1:4" x14ac:dyDescent="0.4">
      <c r="A226" s="1" t="s">
        <v>447</v>
      </c>
      <c r="B226" t="s">
        <v>448</v>
      </c>
      <c r="C226" t="s">
        <v>5</v>
      </c>
      <c r="D226">
        <v>13000</v>
      </c>
    </row>
    <row r="227" spans="1:4" x14ac:dyDescent="0.4">
      <c r="A227" s="1" t="s">
        <v>449</v>
      </c>
      <c r="B227" t="s">
        <v>450</v>
      </c>
      <c r="C227" t="s">
        <v>5</v>
      </c>
      <c r="D227">
        <v>8100</v>
      </c>
    </row>
    <row r="228" spans="1:4" x14ac:dyDescent="0.4">
      <c r="A228" s="1" t="s">
        <v>451</v>
      </c>
      <c r="B228" t="s">
        <v>452</v>
      </c>
      <c r="C228" t="s">
        <v>5</v>
      </c>
      <c r="D228">
        <v>8100</v>
      </c>
    </row>
    <row r="229" spans="1:4" x14ac:dyDescent="0.4">
      <c r="A229" s="1" t="s">
        <v>453</v>
      </c>
      <c r="B229" t="s">
        <v>454</v>
      </c>
      <c r="C229" t="s">
        <v>5</v>
      </c>
      <c r="D229">
        <v>33000</v>
      </c>
    </row>
    <row r="230" spans="1:4" x14ac:dyDescent="0.4">
      <c r="A230" s="1" t="s">
        <v>455</v>
      </c>
      <c r="B230" t="s">
        <v>456</v>
      </c>
      <c r="C230" t="s">
        <v>5</v>
      </c>
      <c r="D230">
        <v>9400</v>
      </c>
    </row>
    <row r="231" spans="1:4" x14ac:dyDescent="0.4">
      <c r="A231" s="1" t="s">
        <v>457</v>
      </c>
      <c r="B231" t="s">
        <v>458</v>
      </c>
      <c r="C231" t="s">
        <v>5</v>
      </c>
      <c r="D231">
        <v>11400</v>
      </c>
    </row>
    <row r="232" spans="1:4" x14ac:dyDescent="0.4">
      <c r="A232" s="1" t="s">
        <v>459</v>
      </c>
      <c r="B232" t="s">
        <v>460</v>
      </c>
      <c r="C232" t="s">
        <v>5</v>
      </c>
      <c r="D232">
        <v>26800</v>
      </c>
    </row>
    <row r="233" spans="1:4" x14ac:dyDescent="0.4">
      <c r="A233" s="1" t="s">
        <v>461</v>
      </c>
      <c r="B233" t="s">
        <v>462</v>
      </c>
      <c r="C233" t="s">
        <v>5</v>
      </c>
      <c r="D233">
        <v>26900</v>
      </c>
    </row>
    <row r="234" spans="1:4" x14ac:dyDescent="0.4">
      <c r="A234" s="1" t="s">
        <v>463</v>
      </c>
      <c r="B234" t="s">
        <v>464</v>
      </c>
      <c r="C234" t="s">
        <v>5</v>
      </c>
      <c r="D234">
        <v>26900</v>
      </c>
    </row>
    <row r="235" spans="1:4" x14ac:dyDescent="0.4">
      <c r="A235" s="1" t="s">
        <v>465</v>
      </c>
      <c r="B235" t="s">
        <v>466</v>
      </c>
      <c r="C235" t="s">
        <v>5</v>
      </c>
      <c r="D235">
        <v>26900</v>
      </c>
    </row>
    <row r="236" spans="1:4" x14ac:dyDescent="0.4">
      <c r="A236" s="1" t="s">
        <v>467</v>
      </c>
      <c r="B236" t="s">
        <v>468</v>
      </c>
      <c r="C236" t="s">
        <v>5</v>
      </c>
      <c r="D236">
        <v>11400</v>
      </c>
    </row>
    <row r="237" spans="1:4" x14ac:dyDescent="0.4">
      <c r="A237" s="1" t="s">
        <v>469</v>
      </c>
      <c r="B237" t="s">
        <v>470</v>
      </c>
      <c r="C237" t="s">
        <v>5</v>
      </c>
      <c r="D237">
        <v>11400</v>
      </c>
    </row>
    <row r="238" spans="1:4" x14ac:dyDescent="0.4">
      <c r="A238" s="1" t="s">
        <v>471</v>
      </c>
      <c r="B238" t="s">
        <v>472</v>
      </c>
      <c r="C238" t="s">
        <v>5</v>
      </c>
      <c r="D238">
        <v>14700</v>
      </c>
    </row>
    <row r="239" spans="1:4" x14ac:dyDescent="0.4">
      <c r="A239" s="1" t="s">
        <v>473</v>
      </c>
      <c r="B239" t="s">
        <v>474</v>
      </c>
      <c r="C239" t="s">
        <v>5</v>
      </c>
      <c r="D239">
        <v>44000</v>
      </c>
    </row>
    <row r="240" spans="1:4" x14ac:dyDescent="0.4">
      <c r="A240" s="1" t="s">
        <v>475</v>
      </c>
      <c r="B240" t="s">
        <v>476</v>
      </c>
      <c r="C240" t="s">
        <v>5</v>
      </c>
      <c r="D240">
        <v>6900</v>
      </c>
    </row>
    <row r="241" spans="1:4" x14ac:dyDescent="0.4">
      <c r="A241" s="1" t="s">
        <v>477</v>
      </c>
      <c r="B241" t="s">
        <v>478</v>
      </c>
      <c r="C241" t="s">
        <v>5</v>
      </c>
      <c r="D241">
        <v>11300</v>
      </c>
    </row>
    <row r="242" spans="1:4" x14ac:dyDescent="0.4">
      <c r="A242" s="1" t="s">
        <v>479</v>
      </c>
      <c r="B242" t="s">
        <v>480</v>
      </c>
      <c r="C242" t="s">
        <v>5</v>
      </c>
    </row>
    <row r="243" spans="1:4" x14ac:dyDescent="0.4">
      <c r="A243" s="1" t="s">
        <v>481</v>
      </c>
      <c r="B243" t="s">
        <v>482</v>
      </c>
      <c r="C243" t="s">
        <v>5</v>
      </c>
    </row>
    <row r="244" spans="1:4" x14ac:dyDescent="0.4">
      <c r="A244" s="1" t="s">
        <v>483</v>
      </c>
      <c r="B244" t="s">
        <v>484</v>
      </c>
      <c r="C244" t="s">
        <v>5</v>
      </c>
      <c r="D244">
        <v>58900</v>
      </c>
    </row>
    <row r="245" spans="1:4" x14ac:dyDescent="0.4">
      <c r="A245" s="1" t="s">
        <v>485</v>
      </c>
      <c r="B245" t="s">
        <v>486</v>
      </c>
      <c r="C245" t="s">
        <v>5</v>
      </c>
      <c r="D245">
        <v>12000</v>
      </c>
    </row>
    <row r="246" spans="1:4" x14ac:dyDescent="0.4">
      <c r="A246" s="1" t="s">
        <v>487</v>
      </c>
      <c r="B246" t="s">
        <v>488</v>
      </c>
      <c r="C246" t="s">
        <v>5</v>
      </c>
      <c r="D246">
        <v>43400</v>
      </c>
    </row>
    <row r="247" spans="1:4" x14ac:dyDescent="0.4">
      <c r="A247" s="1" t="s">
        <v>489</v>
      </c>
      <c r="B247" t="s">
        <v>490</v>
      </c>
      <c r="C247" t="s">
        <v>5</v>
      </c>
      <c r="D247">
        <v>35000</v>
      </c>
    </row>
    <row r="248" spans="1:4" x14ac:dyDescent="0.4">
      <c r="A248" s="1" t="s">
        <v>491</v>
      </c>
      <c r="B248" t="s">
        <v>492</v>
      </c>
      <c r="C248" t="s">
        <v>5</v>
      </c>
    </row>
    <row r="249" spans="1:4" x14ac:dyDescent="0.4">
      <c r="A249" s="1" t="s">
        <v>493</v>
      </c>
      <c r="B249" t="s">
        <v>494</v>
      </c>
      <c r="C249" t="s">
        <v>5</v>
      </c>
    </row>
    <row r="250" spans="1:4" x14ac:dyDescent="0.4">
      <c r="A250" s="1" t="s">
        <v>495</v>
      </c>
      <c r="B250" t="s">
        <v>496</v>
      </c>
      <c r="C250" t="s">
        <v>5</v>
      </c>
    </row>
    <row r="251" spans="1:4" x14ac:dyDescent="0.4">
      <c r="A251" s="1" t="s">
        <v>497</v>
      </c>
      <c r="B251" t="s">
        <v>498</v>
      </c>
      <c r="C251" t="s">
        <v>5</v>
      </c>
    </row>
    <row r="252" spans="1:4" x14ac:dyDescent="0.4">
      <c r="A252" s="1" t="s">
        <v>499</v>
      </c>
      <c r="B252" t="s">
        <v>500</v>
      </c>
      <c r="C252" t="s">
        <v>5</v>
      </c>
    </row>
    <row r="253" spans="1:4" x14ac:dyDescent="0.4">
      <c r="A253" s="1" t="s">
        <v>501</v>
      </c>
      <c r="B253" t="s">
        <v>502</v>
      </c>
      <c r="C253" t="s">
        <v>5</v>
      </c>
    </row>
    <row r="254" spans="1:4" x14ac:dyDescent="0.4">
      <c r="A254" s="1" t="s">
        <v>503</v>
      </c>
      <c r="B254" t="s">
        <v>504</v>
      </c>
      <c r="C254" t="s">
        <v>5</v>
      </c>
    </row>
    <row r="255" spans="1:4" x14ac:dyDescent="0.4">
      <c r="A255" s="1" t="s">
        <v>505</v>
      </c>
      <c r="B255" t="s">
        <v>506</v>
      </c>
      <c r="C255" t="s">
        <v>5</v>
      </c>
    </row>
    <row r="256" spans="1:4" x14ac:dyDescent="0.4">
      <c r="A256" s="1" t="s">
        <v>507</v>
      </c>
      <c r="B256" t="s">
        <v>508</v>
      </c>
      <c r="C256" t="s">
        <v>5</v>
      </c>
      <c r="D256">
        <v>48000</v>
      </c>
    </row>
    <row r="257" spans="1:4" x14ac:dyDescent="0.4">
      <c r="A257" s="1" t="s">
        <v>509</v>
      </c>
      <c r="B257" t="s">
        <v>510</v>
      </c>
      <c r="C257" t="s">
        <v>5</v>
      </c>
      <c r="D257">
        <v>44000</v>
      </c>
    </row>
    <row r="258" spans="1:4" x14ac:dyDescent="0.4">
      <c r="A258" s="1" t="s">
        <v>511</v>
      </c>
      <c r="B258" t="s">
        <v>512</v>
      </c>
      <c r="C258" t="s">
        <v>5</v>
      </c>
      <c r="D258">
        <v>28700</v>
      </c>
    </row>
    <row r="259" spans="1:4" x14ac:dyDescent="0.4">
      <c r="A259" s="1" t="s">
        <v>513</v>
      </c>
      <c r="B259" t="s">
        <v>514</v>
      </c>
      <c r="C259" t="s">
        <v>5</v>
      </c>
      <c r="D259">
        <v>24000</v>
      </c>
    </row>
    <row r="260" spans="1:4" x14ac:dyDescent="0.4">
      <c r="A260" s="1" t="s">
        <v>515</v>
      </c>
      <c r="B260" t="s">
        <v>516</v>
      </c>
      <c r="C260" t="s">
        <v>5</v>
      </c>
      <c r="D260">
        <v>24000</v>
      </c>
    </row>
    <row r="261" spans="1:4" x14ac:dyDescent="0.4">
      <c r="A261" s="1" t="s">
        <v>517</v>
      </c>
      <c r="B261" t="s">
        <v>518</v>
      </c>
      <c r="C261" t="s">
        <v>5</v>
      </c>
      <c r="D261">
        <v>24000</v>
      </c>
    </row>
    <row r="262" spans="1:4" x14ac:dyDescent="0.4">
      <c r="A262" s="1" t="s">
        <v>519</v>
      </c>
      <c r="B262" t="s">
        <v>520</v>
      </c>
      <c r="C262" t="s">
        <v>5</v>
      </c>
      <c r="D262">
        <v>44000</v>
      </c>
    </row>
    <row r="263" spans="1:4" x14ac:dyDescent="0.4">
      <c r="A263" s="1" t="s">
        <v>521</v>
      </c>
      <c r="B263" t="s">
        <v>522</v>
      </c>
      <c r="C263" t="s">
        <v>5</v>
      </c>
      <c r="D263">
        <v>44000</v>
      </c>
    </row>
    <row r="264" spans="1:4" x14ac:dyDescent="0.4">
      <c r="A264" s="1" t="s">
        <v>523</v>
      </c>
      <c r="B264" t="s">
        <v>524</v>
      </c>
      <c r="C264" t="s">
        <v>5</v>
      </c>
      <c r="D264">
        <v>51000</v>
      </c>
    </row>
    <row r="265" spans="1:4" x14ac:dyDescent="0.4">
      <c r="A265" s="1" t="s">
        <v>525</v>
      </c>
      <c r="B265" t="s">
        <v>526</v>
      </c>
      <c r="C265" t="s">
        <v>5</v>
      </c>
      <c r="D265">
        <v>29500</v>
      </c>
    </row>
    <row r="266" spans="1:4" x14ac:dyDescent="0.4">
      <c r="A266" s="1" t="s">
        <v>527</v>
      </c>
      <c r="B266" t="s">
        <v>528</v>
      </c>
      <c r="C266" t="s">
        <v>5</v>
      </c>
      <c r="D266">
        <v>106000</v>
      </c>
    </row>
    <row r="267" spans="1:4" x14ac:dyDescent="0.4">
      <c r="A267" s="1" t="s">
        <v>529</v>
      </c>
      <c r="B267" t="s">
        <v>530</v>
      </c>
      <c r="C267" t="s">
        <v>5</v>
      </c>
      <c r="D267">
        <v>113300</v>
      </c>
    </row>
    <row r="268" spans="1:4" x14ac:dyDescent="0.4">
      <c r="A268" s="1" t="s">
        <v>531</v>
      </c>
      <c r="B268" t="s">
        <v>532</v>
      </c>
      <c r="C268" t="s">
        <v>5</v>
      </c>
      <c r="D268">
        <v>88000</v>
      </c>
    </row>
    <row r="269" spans="1:4" x14ac:dyDescent="0.4">
      <c r="A269" s="1" t="s">
        <v>533</v>
      </c>
      <c r="B269" t="s">
        <v>534</v>
      </c>
      <c r="C269" t="s">
        <v>5</v>
      </c>
      <c r="D269">
        <v>75470</v>
      </c>
    </row>
    <row r="270" spans="1:4" x14ac:dyDescent="0.4">
      <c r="A270" s="1" t="s">
        <v>535</v>
      </c>
      <c r="B270" t="s">
        <v>536</v>
      </c>
      <c r="C270" t="s">
        <v>5</v>
      </c>
      <c r="D270">
        <v>39840</v>
      </c>
    </row>
    <row r="271" spans="1:4" x14ac:dyDescent="0.4">
      <c r="A271" s="1" t="s">
        <v>537</v>
      </c>
      <c r="B271" t="s">
        <v>538</v>
      </c>
      <c r="C271" t="s">
        <v>5</v>
      </c>
      <c r="D271">
        <v>51800</v>
      </c>
    </row>
    <row r="272" spans="1:4" x14ac:dyDescent="0.4">
      <c r="A272" s="1" t="s">
        <v>539</v>
      </c>
      <c r="B272" t="s">
        <v>540</v>
      </c>
      <c r="C272" t="s">
        <v>5</v>
      </c>
      <c r="D272">
        <v>67800</v>
      </c>
    </row>
    <row r="273" spans="1:4" x14ac:dyDescent="0.4">
      <c r="A273" s="1" t="s">
        <v>541</v>
      </c>
      <c r="B273" t="s">
        <v>542</v>
      </c>
      <c r="C273" t="s">
        <v>5</v>
      </c>
      <c r="D273">
        <v>27700</v>
      </c>
    </row>
    <row r="274" spans="1:4" x14ac:dyDescent="0.4">
      <c r="A274" s="1" t="s">
        <v>543</v>
      </c>
      <c r="B274" t="s">
        <v>544</v>
      </c>
      <c r="C274" t="s">
        <v>5</v>
      </c>
      <c r="D274">
        <v>5000</v>
      </c>
    </row>
    <row r="275" spans="1:4" x14ac:dyDescent="0.4">
      <c r="A275" s="1" t="s">
        <v>545</v>
      </c>
      <c r="B275" t="s">
        <v>546</v>
      </c>
      <c r="C275" t="s">
        <v>5</v>
      </c>
      <c r="D275">
        <v>20000</v>
      </c>
    </row>
    <row r="276" spans="1:4" x14ac:dyDescent="0.4">
      <c r="A276" s="1" t="s">
        <v>547</v>
      </c>
      <c r="B276" t="s">
        <v>548</v>
      </c>
      <c r="C276" t="s">
        <v>5</v>
      </c>
      <c r="D276">
        <v>40000</v>
      </c>
    </row>
    <row r="277" spans="1:4" x14ac:dyDescent="0.4">
      <c r="A277" s="1" t="s">
        <v>549</v>
      </c>
      <c r="B277" t="s">
        <v>550</v>
      </c>
      <c r="C277" t="s">
        <v>551</v>
      </c>
    </row>
    <row r="278" spans="1:4" x14ac:dyDescent="0.4">
      <c r="A278" s="1" t="s">
        <v>552</v>
      </c>
      <c r="B278" t="s">
        <v>553</v>
      </c>
      <c r="C278" t="s">
        <v>5</v>
      </c>
    </row>
    <row r="279" spans="1:4" x14ac:dyDescent="0.4">
      <c r="A279" s="1" t="s">
        <v>554</v>
      </c>
      <c r="B279" t="s">
        <v>555</v>
      </c>
      <c r="C279" t="s">
        <v>5</v>
      </c>
    </row>
    <row r="280" spans="1:4" x14ac:dyDescent="0.4">
      <c r="A280" s="1" t="s">
        <v>556</v>
      </c>
      <c r="B280" t="s">
        <v>557</v>
      </c>
      <c r="C280" t="s">
        <v>5</v>
      </c>
    </row>
    <row r="281" spans="1:4" x14ac:dyDescent="0.4">
      <c r="A281" s="1" t="s">
        <v>558</v>
      </c>
      <c r="B281" t="s">
        <v>559</v>
      </c>
      <c r="C281" t="s">
        <v>5</v>
      </c>
    </row>
    <row r="282" spans="1:4" x14ac:dyDescent="0.4">
      <c r="A282" s="1" t="s">
        <v>560</v>
      </c>
      <c r="B282" t="s">
        <v>561</v>
      </c>
      <c r="C282" t="s">
        <v>5</v>
      </c>
      <c r="D282">
        <v>4500</v>
      </c>
    </row>
    <row r="283" spans="1:4" x14ac:dyDescent="0.4">
      <c r="A283" s="1" t="s">
        <v>562</v>
      </c>
      <c r="B283" t="s">
        <v>563</v>
      </c>
      <c r="C283" t="s">
        <v>5</v>
      </c>
      <c r="D283">
        <v>14100</v>
      </c>
    </row>
    <row r="284" spans="1:4" x14ac:dyDescent="0.4">
      <c r="A284" s="1" t="s">
        <v>564</v>
      </c>
      <c r="B284" t="s">
        <v>565</v>
      </c>
      <c r="C284" t="s">
        <v>5</v>
      </c>
      <c r="D284">
        <v>48000</v>
      </c>
    </row>
    <row r="285" spans="1:4" x14ac:dyDescent="0.4">
      <c r="A285" s="1" t="s">
        <v>566</v>
      </c>
      <c r="B285" t="s">
        <v>567</v>
      </c>
      <c r="C285" t="s">
        <v>5</v>
      </c>
      <c r="D285">
        <v>8800</v>
      </c>
    </row>
    <row r="286" spans="1:4" x14ac:dyDescent="0.4">
      <c r="A286" s="1" t="s">
        <v>568</v>
      </c>
      <c r="B286" t="s">
        <v>569</v>
      </c>
      <c r="C286" t="s">
        <v>5</v>
      </c>
    </row>
    <row r="287" spans="1:4" x14ac:dyDescent="0.4">
      <c r="A287" s="1" t="s">
        <v>570</v>
      </c>
      <c r="B287" t="e">
        <f>-終息-RICOH ｲﾏｼﾞｵ ﾄﾅｰｷｯﾄﾀｲﾌﾟ28</f>
        <v>#NAME?</v>
      </c>
      <c r="C287" t="s">
        <v>5</v>
      </c>
      <c r="D287">
        <v>25500</v>
      </c>
    </row>
    <row r="288" spans="1:4" x14ac:dyDescent="0.4">
      <c r="A288" s="1" t="s">
        <v>571</v>
      </c>
      <c r="B288" t="s">
        <v>572</v>
      </c>
      <c r="C288" t="s">
        <v>5</v>
      </c>
      <c r="D288">
        <v>42000</v>
      </c>
    </row>
    <row r="289" spans="1:4" x14ac:dyDescent="0.4">
      <c r="A289" s="1" t="s">
        <v>573</v>
      </c>
      <c r="B289" t="s">
        <v>574</v>
      </c>
      <c r="C289" t="s">
        <v>5</v>
      </c>
      <c r="D289">
        <v>12300</v>
      </c>
    </row>
    <row r="290" spans="1:4" x14ac:dyDescent="0.4">
      <c r="A290" s="1" t="s">
        <v>575</v>
      </c>
      <c r="B290" t="s">
        <v>576</v>
      </c>
      <c r="C290" t="s">
        <v>5</v>
      </c>
      <c r="D290">
        <v>12300</v>
      </c>
    </row>
    <row r="291" spans="1:4" x14ac:dyDescent="0.4">
      <c r="A291" s="1" t="s">
        <v>577</v>
      </c>
      <c r="B291" t="s">
        <v>578</v>
      </c>
      <c r="C291" t="s">
        <v>5</v>
      </c>
      <c r="D291">
        <v>12300</v>
      </c>
    </row>
    <row r="292" spans="1:4" x14ac:dyDescent="0.4">
      <c r="A292" s="1" t="s">
        <v>579</v>
      </c>
      <c r="B292" t="s">
        <v>580</v>
      </c>
      <c r="C292" t="s">
        <v>5</v>
      </c>
      <c r="D292">
        <v>9300</v>
      </c>
    </row>
    <row r="293" spans="1:4" x14ac:dyDescent="0.4">
      <c r="A293" s="1" t="s">
        <v>581</v>
      </c>
      <c r="B293" t="s">
        <v>582</v>
      </c>
      <c r="C293" t="s">
        <v>5</v>
      </c>
      <c r="D293">
        <v>22500</v>
      </c>
    </row>
    <row r="294" spans="1:4" x14ac:dyDescent="0.4">
      <c r="A294" s="1" t="s">
        <v>583</v>
      </c>
      <c r="B294" t="s">
        <v>584</v>
      </c>
      <c r="C294" t="s">
        <v>5</v>
      </c>
      <c r="D294">
        <v>22500</v>
      </c>
    </row>
    <row r="295" spans="1:4" x14ac:dyDescent="0.4">
      <c r="A295" s="1" t="s">
        <v>585</v>
      </c>
      <c r="B295" t="s">
        <v>586</v>
      </c>
      <c r="C295" t="s">
        <v>5</v>
      </c>
      <c r="D295">
        <v>22500</v>
      </c>
    </row>
    <row r="296" spans="1:4" x14ac:dyDescent="0.4">
      <c r="A296" s="1" t="s">
        <v>587</v>
      </c>
      <c r="B296" t="s">
        <v>588</v>
      </c>
      <c r="C296" t="s">
        <v>5</v>
      </c>
      <c r="D296">
        <v>14400</v>
      </c>
    </row>
    <row r="297" spans="1:4" x14ac:dyDescent="0.4">
      <c r="A297" s="1" t="s">
        <v>589</v>
      </c>
      <c r="B297" t="s">
        <v>590</v>
      </c>
      <c r="C297" t="s">
        <v>5</v>
      </c>
      <c r="D297">
        <v>24300</v>
      </c>
    </row>
    <row r="298" spans="1:4" x14ac:dyDescent="0.4">
      <c r="A298" s="1" t="s">
        <v>591</v>
      </c>
      <c r="B298" t="s">
        <v>592</v>
      </c>
      <c r="C298" t="s">
        <v>5</v>
      </c>
      <c r="D298">
        <v>33700</v>
      </c>
    </row>
    <row r="299" spans="1:4" x14ac:dyDescent="0.4">
      <c r="A299" s="1" t="s">
        <v>593</v>
      </c>
      <c r="B299" t="s">
        <v>594</v>
      </c>
      <c r="C299" t="s">
        <v>5</v>
      </c>
      <c r="D299">
        <v>8160</v>
      </c>
    </row>
    <row r="300" spans="1:4" x14ac:dyDescent="0.4">
      <c r="A300" s="1" t="s">
        <v>595</v>
      </c>
      <c r="B300" t="s">
        <v>596</v>
      </c>
      <c r="C300" t="s">
        <v>5</v>
      </c>
      <c r="D300">
        <v>10800</v>
      </c>
    </row>
    <row r="301" spans="1:4" x14ac:dyDescent="0.4">
      <c r="A301" s="1" t="s">
        <v>597</v>
      </c>
      <c r="B301" t="s">
        <v>598</v>
      </c>
      <c r="C301" t="s">
        <v>5</v>
      </c>
    </row>
    <row r="302" spans="1:4" x14ac:dyDescent="0.4">
      <c r="A302" s="1" t="s">
        <v>599</v>
      </c>
      <c r="B302" t="s">
        <v>600</v>
      </c>
      <c r="C302" t="s">
        <v>5</v>
      </c>
    </row>
    <row r="303" spans="1:4" x14ac:dyDescent="0.4">
      <c r="A303" s="1" t="s">
        <v>601</v>
      </c>
      <c r="B303" t="s">
        <v>602</v>
      </c>
      <c r="C303" t="s">
        <v>5</v>
      </c>
    </row>
    <row r="304" spans="1:4" x14ac:dyDescent="0.4">
      <c r="A304" s="1" t="s">
        <v>603</v>
      </c>
      <c r="B304" t="s">
        <v>604</v>
      </c>
      <c r="C304" t="s">
        <v>5</v>
      </c>
    </row>
    <row r="305" spans="1:4" x14ac:dyDescent="0.4">
      <c r="A305" s="1" t="s">
        <v>605</v>
      </c>
      <c r="B305" t="s">
        <v>606</v>
      </c>
      <c r="C305" t="s">
        <v>5</v>
      </c>
      <c r="D305">
        <v>9100</v>
      </c>
    </row>
    <row r="306" spans="1:4" x14ac:dyDescent="0.4">
      <c r="A306" s="1" t="s">
        <v>607</v>
      </c>
      <c r="B306" t="s">
        <v>608</v>
      </c>
      <c r="C306" t="s">
        <v>5</v>
      </c>
      <c r="D306">
        <v>9100</v>
      </c>
    </row>
    <row r="307" spans="1:4" x14ac:dyDescent="0.4">
      <c r="A307" s="1" t="s">
        <v>609</v>
      </c>
      <c r="B307" t="s">
        <v>610</v>
      </c>
      <c r="C307" t="s">
        <v>5</v>
      </c>
    </row>
    <row r="308" spans="1:4" x14ac:dyDescent="0.4">
      <c r="A308" s="1" t="s">
        <v>611</v>
      </c>
      <c r="B308" t="s">
        <v>612</v>
      </c>
      <c r="C308" t="s">
        <v>5</v>
      </c>
      <c r="D308">
        <v>34445</v>
      </c>
    </row>
    <row r="309" spans="1:4" x14ac:dyDescent="0.4">
      <c r="A309" s="1" t="s">
        <v>613</v>
      </c>
      <c r="B309" t="e">
        <f>-終息-CANON ﾄﾅｰｶｰﾄﾘｯｼﾞ307 BK</f>
        <v>#NAME?</v>
      </c>
      <c r="C309" t="s">
        <v>5</v>
      </c>
    </row>
    <row r="310" spans="1:4" x14ac:dyDescent="0.4">
      <c r="A310" s="1" t="s">
        <v>614</v>
      </c>
      <c r="B310" t="s">
        <v>615</v>
      </c>
      <c r="C310" t="s">
        <v>5</v>
      </c>
    </row>
    <row r="311" spans="1:4" x14ac:dyDescent="0.4">
      <c r="A311" s="1" t="s">
        <v>616</v>
      </c>
      <c r="B311" t="e">
        <f>-終息-CANON ﾄﾅｰｶｰﾄﾘｯｼﾞ307 M</f>
        <v>#NAME?</v>
      </c>
      <c r="C311" t="s">
        <v>5</v>
      </c>
    </row>
    <row r="312" spans="1:4" x14ac:dyDescent="0.4">
      <c r="A312" s="1" t="s">
        <v>617</v>
      </c>
      <c r="B312" t="e">
        <f>-終息-CANON ﾄﾅｰｶｰﾄﾘｯｼﾞ307 Y</f>
        <v>#NAME?</v>
      </c>
      <c r="C312" t="s">
        <v>5</v>
      </c>
    </row>
    <row r="313" spans="1:4" x14ac:dyDescent="0.4">
      <c r="A313" s="1" t="s">
        <v>618</v>
      </c>
      <c r="B313" t="s">
        <v>619</v>
      </c>
      <c r="C313" t="s">
        <v>5</v>
      </c>
      <c r="D313">
        <v>8200</v>
      </c>
    </row>
    <row r="314" spans="1:4" x14ac:dyDescent="0.4">
      <c r="A314" s="1" t="s">
        <v>620</v>
      </c>
      <c r="B314" t="s">
        <v>621</v>
      </c>
      <c r="C314" t="s">
        <v>5</v>
      </c>
      <c r="D314">
        <v>25000</v>
      </c>
    </row>
    <row r="315" spans="1:4" x14ac:dyDescent="0.4">
      <c r="A315" s="1" t="s">
        <v>622</v>
      </c>
      <c r="B315" t="s">
        <v>623</v>
      </c>
      <c r="C315" t="s">
        <v>5</v>
      </c>
      <c r="D315">
        <v>18300</v>
      </c>
    </row>
    <row r="316" spans="1:4" x14ac:dyDescent="0.4">
      <c r="A316" s="1" t="s">
        <v>624</v>
      </c>
      <c r="B316" t="s">
        <v>625</v>
      </c>
      <c r="C316" t="s">
        <v>5</v>
      </c>
      <c r="D316">
        <v>18600</v>
      </c>
    </row>
    <row r="317" spans="1:4" x14ac:dyDescent="0.4">
      <c r="A317" s="1" t="s">
        <v>626</v>
      </c>
      <c r="B317" t="s">
        <v>627</v>
      </c>
      <c r="C317" t="s">
        <v>5</v>
      </c>
      <c r="D317">
        <v>18600</v>
      </c>
    </row>
    <row r="318" spans="1:4" x14ac:dyDescent="0.4">
      <c r="A318" s="1" t="s">
        <v>628</v>
      </c>
      <c r="B318" t="s">
        <v>629</v>
      </c>
      <c r="C318" t="s">
        <v>5</v>
      </c>
      <c r="D318">
        <v>18600</v>
      </c>
    </row>
    <row r="319" spans="1:4" x14ac:dyDescent="0.4">
      <c r="A319" s="1" t="s">
        <v>630</v>
      </c>
      <c r="B319" t="s">
        <v>631</v>
      </c>
      <c r="C319" t="s">
        <v>5</v>
      </c>
      <c r="D319">
        <v>7000</v>
      </c>
    </row>
    <row r="320" spans="1:4" x14ac:dyDescent="0.4">
      <c r="A320" s="1" t="s">
        <v>632</v>
      </c>
      <c r="B320" t="s">
        <v>633</v>
      </c>
      <c r="C320" t="s">
        <v>5</v>
      </c>
      <c r="D320">
        <v>8800</v>
      </c>
    </row>
    <row r="321" spans="1:4" x14ac:dyDescent="0.4">
      <c r="A321" s="1" t="s">
        <v>634</v>
      </c>
      <c r="B321" t="s">
        <v>635</v>
      </c>
      <c r="C321" t="s">
        <v>5</v>
      </c>
      <c r="D321">
        <v>8600</v>
      </c>
    </row>
    <row r="322" spans="1:4" x14ac:dyDescent="0.4">
      <c r="A322" s="1" t="s">
        <v>636</v>
      </c>
      <c r="B322" t="s">
        <v>637</v>
      </c>
      <c r="C322" t="s">
        <v>5</v>
      </c>
      <c r="D322">
        <v>8600</v>
      </c>
    </row>
    <row r="323" spans="1:4" x14ac:dyDescent="0.4">
      <c r="A323" s="1" t="s">
        <v>638</v>
      </c>
      <c r="B323" t="s">
        <v>639</v>
      </c>
      <c r="C323" t="s">
        <v>5</v>
      </c>
      <c r="D323">
        <v>8600</v>
      </c>
    </row>
    <row r="324" spans="1:4" x14ac:dyDescent="0.4">
      <c r="A324" s="1" t="s">
        <v>640</v>
      </c>
      <c r="B324" t="s">
        <v>641</v>
      </c>
      <c r="C324" t="s">
        <v>5</v>
      </c>
      <c r="D324">
        <v>19220</v>
      </c>
    </row>
    <row r="325" spans="1:4" x14ac:dyDescent="0.4">
      <c r="A325" s="1" t="s">
        <v>642</v>
      </c>
      <c r="B325" t="s">
        <v>643</v>
      </c>
      <c r="C325" t="s">
        <v>5</v>
      </c>
      <c r="D325">
        <v>17120</v>
      </c>
    </row>
    <row r="326" spans="1:4" x14ac:dyDescent="0.4">
      <c r="A326" s="1" t="s">
        <v>644</v>
      </c>
      <c r="B326" t="s">
        <v>645</v>
      </c>
      <c r="C326" t="s">
        <v>5</v>
      </c>
      <c r="D326">
        <v>17120</v>
      </c>
    </row>
    <row r="327" spans="1:4" x14ac:dyDescent="0.4">
      <c r="A327" s="1" t="s">
        <v>646</v>
      </c>
      <c r="B327" t="s">
        <v>647</v>
      </c>
      <c r="C327" t="s">
        <v>5</v>
      </c>
      <c r="D327">
        <v>17120</v>
      </c>
    </row>
    <row r="328" spans="1:4" x14ac:dyDescent="0.4">
      <c r="A328" s="1" t="s">
        <v>648</v>
      </c>
      <c r="B328" t="s">
        <v>649</v>
      </c>
      <c r="C328" t="s">
        <v>5</v>
      </c>
      <c r="D328">
        <v>15100</v>
      </c>
    </row>
    <row r="329" spans="1:4" x14ac:dyDescent="0.4">
      <c r="A329" s="1" t="s">
        <v>650</v>
      </c>
      <c r="B329" t="s">
        <v>651</v>
      </c>
      <c r="C329" t="s">
        <v>5</v>
      </c>
      <c r="D329">
        <v>14600</v>
      </c>
    </row>
    <row r="330" spans="1:4" x14ac:dyDescent="0.4">
      <c r="A330" s="1" t="s">
        <v>652</v>
      </c>
      <c r="B330" t="s">
        <v>653</v>
      </c>
      <c r="C330" t="s">
        <v>5</v>
      </c>
      <c r="D330">
        <v>14600</v>
      </c>
    </row>
    <row r="331" spans="1:4" x14ac:dyDescent="0.4">
      <c r="A331" s="1" t="s">
        <v>654</v>
      </c>
      <c r="B331" t="s">
        <v>655</v>
      </c>
      <c r="C331" t="s">
        <v>5</v>
      </c>
      <c r="D331">
        <v>24200</v>
      </c>
    </row>
    <row r="332" spans="1:4" x14ac:dyDescent="0.4">
      <c r="A332" s="1" t="s">
        <v>656</v>
      </c>
      <c r="B332" t="s">
        <v>657</v>
      </c>
      <c r="C332" t="s">
        <v>5</v>
      </c>
      <c r="D332">
        <v>14600</v>
      </c>
    </row>
    <row r="333" spans="1:4" x14ac:dyDescent="0.4">
      <c r="A333" s="1" t="s">
        <v>658</v>
      </c>
      <c r="B333" t="s">
        <v>659</v>
      </c>
      <c r="C333" t="s">
        <v>5</v>
      </c>
      <c r="D333">
        <v>21800</v>
      </c>
    </row>
    <row r="334" spans="1:4" x14ac:dyDescent="0.4">
      <c r="A334" s="1" t="s">
        <v>660</v>
      </c>
      <c r="B334" t="s">
        <v>661</v>
      </c>
      <c r="D334">
        <v>128000</v>
      </c>
    </row>
    <row r="335" spans="1:4" x14ac:dyDescent="0.4">
      <c r="A335" s="1" t="s">
        <v>662</v>
      </c>
      <c r="B335" t="s">
        <v>663</v>
      </c>
      <c r="C335" t="s">
        <v>5</v>
      </c>
      <c r="D335">
        <v>17300</v>
      </c>
    </row>
    <row r="336" spans="1:4" x14ac:dyDescent="0.4">
      <c r="A336" s="1" t="s">
        <v>664</v>
      </c>
      <c r="B336" t="s">
        <v>665</v>
      </c>
      <c r="C336" t="s">
        <v>5</v>
      </c>
      <c r="D336">
        <v>54500</v>
      </c>
    </row>
    <row r="337" spans="1:4" x14ac:dyDescent="0.4">
      <c r="A337" s="1" t="s">
        <v>666</v>
      </c>
      <c r="B337" t="s">
        <v>667</v>
      </c>
      <c r="C337" t="s">
        <v>5</v>
      </c>
      <c r="D337">
        <v>43700</v>
      </c>
    </row>
    <row r="338" spans="1:4" x14ac:dyDescent="0.4">
      <c r="A338" s="1" t="s">
        <v>668</v>
      </c>
      <c r="B338" t="s">
        <v>669</v>
      </c>
      <c r="C338" t="s">
        <v>5</v>
      </c>
      <c r="D338">
        <v>54500</v>
      </c>
    </row>
    <row r="339" spans="1:4" x14ac:dyDescent="0.4">
      <c r="A339" s="1" t="s">
        <v>670</v>
      </c>
      <c r="B339" t="s">
        <v>671</v>
      </c>
      <c r="C339" t="s">
        <v>5</v>
      </c>
      <c r="D339">
        <v>54500</v>
      </c>
    </row>
    <row r="340" spans="1:4" x14ac:dyDescent="0.4">
      <c r="A340" s="1" t="s">
        <v>672</v>
      </c>
      <c r="B340" t="s">
        <v>673</v>
      </c>
      <c r="C340" t="s">
        <v>5</v>
      </c>
      <c r="D340">
        <v>26400</v>
      </c>
    </row>
    <row r="341" spans="1:4" x14ac:dyDescent="0.4">
      <c r="A341" s="1" t="s">
        <v>674</v>
      </c>
      <c r="B341" t="s">
        <v>675</v>
      </c>
      <c r="C341" t="s">
        <v>5</v>
      </c>
      <c r="D341">
        <v>35300</v>
      </c>
    </row>
    <row r="342" spans="1:4" x14ac:dyDescent="0.4">
      <c r="A342" s="1" t="s">
        <v>676</v>
      </c>
      <c r="B342" t="s">
        <v>677</v>
      </c>
      <c r="C342" t="s">
        <v>5</v>
      </c>
      <c r="D342">
        <v>35300</v>
      </c>
    </row>
    <row r="343" spans="1:4" x14ac:dyDescent="0.4">
      <c r="A343" s="1" t="s">
        <v>678</v>
      </c>
      <c r="B343" t="s">
        <v>679</v>
      </c>
      <c r="C343" t="s">
        <v>5</v>
      </c>
      <c r="D343">
        <v>35300</v>
      </c>
    </row>
    <row r="344" spans="1:4" x14ac:dyDescent="0.4">
      <c r="A344" s="1" t="s">
        <v>680</v>
      </c>
      <c r="B344" t="s">
        <v>681</v>
      </c>
      <c r="C344" t="s">
        <v>5</v>
      </c>
      <c r="D344">
        <v>31180</v>
      </c>
    </row>
    <row r="345" spans="1:4" x14ac:dyDescent="0.4">
      <c r="A345" s="1" t="s">
        <v>682</v>
      </c>
      <c r="B345" t="s">
        <v>683</v>
      </c>
      <c r="C345" t="s">
        <v>5</v>
      </c>
      <c r="D345">
        <v>18180</v>
      </c>
    </row>
    <row r="346" spans="1:4" x14ac:dyDescent="0.4">
      <c r="A346" s="1" t="s">
        <v>684</v>
      </c>
      <c r="B346" t="s">
        <v>685</v>
      </c>
      <c r="C346" t="s">
        <v>5</v>
      </c>
      <c r="D346">
        <v>28560</v>
      </c>
    </row>
    <row r="347" spans="1:4" x14ac:dyDescent="0.4">
      <c r="A347" s="1" t="s">
        <v>686</v>
      </c>
      <c r="B347" t="s">
        <v>687</v>
      </c>
      <c r="C347" t="s">
        <v>5</v>
      </c>
      <c r="D347">
        <v>28560</v>
      </c>
    </row>
    <row r="348" spans="1:4" x14ac:dyDescent="0.4">
      <c r="A348" s="1" t="s">
        <v>688</v>
      </c>
      <c r="B348" t="s">
        <v>689</v>
      </c>
      <c r="C348" t="s">
        <v>5</v>
      </c>
      <c r="D348">
        <v>28560</v>
      </c>
    </row>
    <row r="349" spans="1:4" x14ac:dyDescent="0.4">
      <c r="A349" s="1" t="s">
        <v>690</v>
      </c>
      <c r="B349" t="s">
        <v>691</v>
      </c>
      <c r="C349" t="s">
        <v>5</v>
      </c>
      <c r="D349">
        <v>7500</v>
      </c>
    </row>
    <row r="350" spans="1:4" x14ac:dyDescent="0.4">
      <c r="A350" s="1" t="s">
        <v>692</v>
      </c>
      <c r="B350" t="s">
        <v>693</v>
      </c>
      <c r="C350" t="s">
        <v>5</v>
      </c>
    </row>
    <row r="351" spans="1:4" x14ac:dyDescent="0.4">
      <c r="A351" s="1" t="s">
        <v>694</v>
      </c>
      <c r="B351" t="s">
        <v>695</v>
      </c>
      <c r="C351" t="s">
        <v>5</v>
      </c>
    </row>
    <row r="352" spans="1:4" x14ac:dyDescent="0.4">
      <c r="A352" s="1" t="s">
        <v>696</v>
      </c>
      <c r="B352" t="s">
        <v>697</v>
      </c>
      <c r="C352" t="s">
        <v>5</v>
      </c>
    </row>
    <row r="353" spans="1:4" x14ac:dyDescent="0.4">
      <c r="A353" s="1" t="s">
        <v>698</v>
      </c>
      <c r="B353" t="s">
        <v>699</v>
      </c>
      <c r="C353" t="s">
        <v>5</v>
      </c>
    </row>
    <row r="354" spans="1:4" x14ac:dyDescent="0.4">
      <c r="A354" s="1" t="s">
        <v>700</v>
      </c>
      <c r="B354" t="s">
        <v>701</v>
      </c>
      <c r="C354" t="s">
        <v>5</v>
      </c>
      <c r="D354">
        <v>9500</v>
      </c>
    </row>
    <row r="355" spans="1:4" x14ac:dyDescent="0.4">
      <c r="A355" s="1" t="s">
        <v>702</v>
      </c>
      <c r="B355" t="s">
        <v>703</v>
      </c>
      <c r="C355" t="s">
        <v>5</v>
      </c>
    </row>
    <row r="356" spans="1:4" x14ac:dyDescent="0.4">
      <c r="A356" s="1" t="s">
        <v>704</v>
      </c>
      <c r="B356" t="s">
        <v>705</v>
      </c>
      <c r="C356" t="s">
        <v>5</v>
      </c>
    </row>
    <row r="357" spans="1:4" x14ac:dyDescent="0.4">
      <c r="A357" s="1" t="s">
        <v>706</v>
      </c>
      <c r="B357" t="s">
        <v>707</v>
      </c>
      <c r="C357" t="s">
        <v>5</v>
      </c>
    </row>
    <row r="358" spans="1:4" x14ac:dyDescent="0.4">
      <c r="A358" s="1" t="s">
        <v>708</v>
      </c>
      <c r="B358" t="s">
        <v>709</v>
      </c>
      <c r="C358" t="s">
        <v>5</v>
      </c>
    </row>
    <row r="359" spans="1:4" x14ac:dyDescent="0.4">
      <c r="A359" s="1" t="s">
        <v>710</v>
      </c>
      <c r="B359" t="s">
        <v>711</v>
      </c>
      <c r="C359" t="s">
        <v>5</v>
      </c>
    </row>
    <row r="360" spans="1:4" x14ac:dyDescent="0.4">
      <c r="A360" s="1" t="s">
        <v>712</v>
      </c>
      <c r="B360" t="s">
        <v>713</v>
      </c>
      <c r="C360" t="s">
        <v>5</v>
      </c>
      <c r="D360">
        <v>9500</v>
      </c>
    </row>
    <row r="361" spans="1:4" x14ac:dyDescent="0.4">
      <c r="A361" s="1" t="s">
        <v>714</v>
      </c>
      <c r="B361" t="s">
        <v>715</v>
      </c>
      <c r="C361" t="s">
        <v>5</v>
      </c>
      <c r="D361">
        <v>16000</v>
      </c>
    </row>
    <row r="362" spans="1:4" x14ac:dyDescent="0.4">
      <c r="A362" s="1" t="s">
        <v>716</v>
      </c>
      <c r="B362" t="s">
        <v>717</v>
      </c>
      <c r="C362" t="s">
        <v>5</v>
      </c>
      <c r="D362">
        <v>5300</v>
      </c>
    </row>
    <row r="363" spans="1:4" x14ac:dyDescent="0.4">
      <c r="A363" s="1" t="s">
        <v>718</v>
      </c>
      <c r="B363" t="s">
        <v>719</v>
      </c>
      <c r="C363" t="s">
        <v>5</v>
      </c>
      <c r="D363">
        <v>6600</v>
      </c>
    </row>
    <row r="364" spans="1:4" x14ac:dyDescent="0.4">
      <c r="A364" s="1" t="s">
        <v>720</v>
      </c>
      <c r="B364" t="s">
        <v>721</v>
      </c>
      <c r="C364" t="s">
        <v>5</v>
      </c>
      <c r="D364">
        <v>6600</v>
      </c>
    </row>
    <row r="365" spans="1:4" x14ac:dyDescent="0.4">
      <c r="A365" s="1" t="s">
        <v>722</v>
      </c>
      <c r="B365" t="s">
        <v>723</v>
      </c>
      <c r="C365" t="s">
        <v>5</v>
      </c>
      <c r="D365">
        <v>6600</v>
      </c>
    </row>
    <row r="366" spans="1:4" x14ac:dyDescent="0.4">
      <c r="A366" s="1" t="s">
        <v>724</v>
      </c>
      <c r="B366" t="s">
        <v>725</v>
      </c>
      <c r="C366" t="s">
        <v>5</v>
      </c>
      <c r="D366">
        <v>9200</v>
      </c>
    </row>
    <row r="367" spans="1:4" x14ac:dyDescent="0.4">
      <c r="A367" s="1" t="s">
        <v>726</v>
      </c>
      <c r="B367" t="s">
        <v>727</v>
      </c>
      <c r="C367" t="s">
        <v>5</v>
      </c>
      <c r="D367">
        <v>8600</v>
      </c>
    </row>
    <row r="368" spans="1:4" x14ac:dyDescent="0.4">
      <c r="A368" s="1" t="s">
        <v>728</v>
      </c>
      <c r="B368" t="s">
        <v>729</v>
      </c>
      <c r="C368" t="s">
        <v>5</v>
      </c>
      <c r="D368">
        <v>8600</v>
      </c>
    </row>
    <row r="369" spans="1:4" x14ac:dyDescent="0.4">
      <c r="A369" s="1" t="s">
        <v>730</v>
      </c>
      <c r="B369" t="s">
        <v>731</v>
      </c>
      <c r="C369" t="s">
        <v>5</v>
      </c>
      <c r="D369">
        <v>8600</v>
      </c>
    </row>
    <row r="370" spans="1:4" x14ac:dyDescent="0.4">
      <c r="A370" s="1" t="s">
        <v>732</v>
      </c>
      <c r="B370" t="s">
        <v>733</v>
      </c>
      <c r="D370">
        <v>9900</v>
      </c>
    </row>
    <row r="371" spans="1:4" x14ac:dyDescent="0.4">
      <c r="A371" s="1" t="s">
        <v>734</v>
      </c>
      <c r="B371" t="s">
        <v>735</v>
      </c>
      <c r="C371" t="s">
        <v>5</v>
      </c>
      <c r="D371">
        <v>51800</v>
      </c>
    </row>
    <row r="372" spans="1:4" x14ac:dyDescent="0.4">
      <c r="A372" s="1" t="s">
        <v>736</v>
      </c>
      <c r="B372" t="s">
        <v>737</v>
      </c>
      <c r="C372" t="s">
        <v>5</v>
      </c>
      <c r="D372">
        <v>29000</v>
      </c>
    </row>
    <row r="373" spans="1:4" x14ac:dyDescent="0.4">
      <c r="A373" s="1" t="s">
        <v>738</v>
      </c>
      <c r="B373" t="s">
        <v>739</v>
      </c>
      <c r="C373" t="s">
        <v>5</v>
      </c>
      <c r="D373">
        <v>35200</v>
      </c>
    </row>
    <row r="374" spans="1:4" x14ac:dyDescent="0.4">
      <c r="A374" s="1" t="s">
        <v>740</v>
      </c>
      <c r="B374" t="s">
        <v>741</v>
      </c>
      <c r="C374" t="s">
        <v>5</v>
      </c>
      <c r="D374">
        <v>35200</v>
      </c>
    </row>
    <row r="375" spans="1:4" x14ac:dyDescent="0.4">
      <c r="A375" s="1" t="s">
        <v>742</v>
      </c>
      <c r="B375" t="s">
        <v>743</v>
      </c>
      <c r="C375" t="s">
        <v>5</v>
      </c>
      <c r="D375">
        <v>35200</v>
      </c>
    </row>
    <row r="376" spans="1:4" x14ac:dyDescent="0.4">
      <c r="A376" s="1" t="s">
        <v>744</v>
      </c>
      <c r="B376" t="s">
        <v>745</v>
      </c>
      <c r="C376" t="s">
        <v>5</v>
      </c>
      <c r="D376">
        <v>41000</v>
      </c>
    </row>
    <row r="377" spans="1:4" x14ac:dyDescent="0.4">
      <c r="A377" s="1" t="s">
        <v>746</v>
      </c>
      <c r="B377" t="s">
        <v>747</v>
      </c>
      <c r="C377" t="s">
        <v>5</v>
      </c>
      <c r="D377">
        <v>51800</v>
      </c>
    </row>
    <row r="378" spans="1:4" x14ac:dyDescent="0.4">
      <c r="A378" s="1" t="s">
        <v>748</v>
      </c>
      <c r="B378" t="s">
        <v>749</v>
      </c>
      <c r="C378" t="s">
        <v>5</v>
      </c>
      <c r="D378">
        <v>51800</v>
      </c>
    </row>
    <row r="379" spans="1:4" x14ac:dyDescent="0.4">
      <c r="A379" s="1" t="s">
        <v>750</v>
      </c>
      <c r="B379" t="s">
        <v>751</v>
      </c>
      <c r="C379" t="s">
        <v>5</v>
      </c>
      <c r="D379">
        <v>146000</v>
      </c>
    </row>
    <row r="380" spans="1:4" x14ac:dyDescent="0.4">
      <c r="A380" s="1" t="s">
        <v>752</v>
      </c>
      <c r="B380" t="s">
        <v>753</v>
      </c>
      <c r="C380" t="s">
        <v>5</v>
      </c>
      <c r="D380">
        <v>10800</v>
      </c>
    </row>
    <row r="381" spans="1:4" x14ac:dyDescent="0.4">
      <c r="A381" s="1" t="s">
        <v>754</v>
      </c>
      <c r="B381" t="s">
        <v>755</v>
      </c>
      <c r="C381" t="s">
        <v>5</v>
      </c>
      <c r="D381">
        <v>18300</v>
      </c>
    </row>
    <row r="382" spans="1:4" x14ac:dyDescent="0.4">
      <c r="A382" s="1" t="s">
        <v>756</v>
      </c>
      <c r="B382" t="s">
        <v>757</v>
      </c>
      <c r="D382">
        <v>158000</v>
      </c>
    </row>
    <row r="383" spans="1:4" x14ac:dyDescent="0.4">
      <c r="A383" s="1" t="s">
        <v>758</v>
      </c>
      <c r="B383" t="s">
        <v>759</v>
      </c>
      <c r="C383" t="s">
        <v>5</v>
      </c>
    </row>
    <row r="384" spans="1:4" x14ac:dyDescent="0.4">
      <c r="A384" s="1" t="s">
        <v>760</v>
      </c>
      <c r="B384" t="s">
        <v>761</v>
      </c>
      <c r="C384" t="s">
        <v>5</v>
      </c>
    </row>
    <row r="385" spans="1:3" x14ac:dyDescent="0.4">
      <c r="A385" s="1" t="s">
        <v>762</v>
      </c>
      <c r="B385" t="s">
        <v>763</v>
      </c>
      <c r="C385" t="s">
        <v>5</v>
      </c>
    </row>
    <row r="386" spans="1:3" x14ac:dyDescent="0.4">
      <c r="A386" s="1" t="s">
        <v>764</v>
      </c>
      <c r="B386" t="s">
        <v>765</v>
      </c>
      <c r="C386" t="s">
        <v>5</v>
      </c>
    </row>
    <row r="387" spans="1:3" x14ac:dyDescent="0.4">
      <c r="A387" s="1" t="s">
        <v>766</v>
      </c>
      <c r="B387" t="s">
        <v>767</v>
      </c>
      <c r="C387" t="s">
        <v>5</v>
      </c>
    </row>
    <row r="388" spans="1:3" x14ac:dyDescent="0.4">
      <c r="A388" s="1" t="s">
        <v>768</v>
      </c>
      <c r="B388" t="s">
        <v>769</v>
      </c>
      <c r="C388" t="s">
        <v>5</v>
      </c>
    </row>
    <row r="389" spans="1:3" x14ac:dyDescent="0.4">
      <c r="A389" s="1" t="s">
        <v>770</v>
      </c>
      <c r="B389" t="s">
        <v>771</v>
      </c>
      <c r="C389" t="s">
        <v>5</v>
      </c>
    </row>
    <row r="390" spans="1:3" x14ac:dyDescent="0.4">
      <c r="A390" s="1" t="s">
        <v>772</v>
      </c>
      <c r="B390" t="s">
        <v>773</v>
      </c>
      <c r="C390" t="s">
        <v>5</v>
      </c>
    </row>
    <row r="391" spans="1:3" x14ac:dyDescent="0.4">
      <c r="A391" s="1" t="s">
        <v>774</v>
      </c>
      <c r="B391" t="s">
        <v>775</v>
      </c>
      <c r="C391" t="s">
        <v>5</v>
      </c>
    </row>
    <row r="392" spans="1:3" x14ac:dyDescent="0.4">
      <c r="A392" s="1" t="s">
        <v>776</v>
      </c>
      <c r="B392" t="s">
        <v>777</v>
      </c>
      <c r="C392" t="s">
        <v>5</v>
      </c>
    </row>
    <row r="393" spans="1:3" x14ac:dyDescent="0.4">
      <c r="A393" s="1" t="s">
        <v>778</v>
      </c>
      <c r="B393" t="s">
        <v>779</v>
      </c>
      <c r="C393" t="s">
        <v>5</v>
      </c>
    </row>
    <row r="394" spans="1:3" x14ac:dyDescent="0.4">
      <c r="A394" s="1" t="s">
        <v>780</v>
      </c>
      <c r="B394" t="s">
        <v>781</v>
      </c>
      <c r="C394" t="s">
        <v>5</v>
      </c>
    </row>
    <row r="395" spans="1:3" x14ac:dyDescent="0.4">
      <c r="A395" s="1" t="s">
        <v>782</v>
      </c>
      <c r="B395" t="s">
        <v>783</v>
      </c>
      <c r="C395" t="s">
        <v>5</v>
      </c>
    </row>
    <row r="396" spans="1:3" x14ac:dyDescent="0.4">
      <c r="A396" s="1" t="s">
        <v>784</v>
      </c>
      <c r="B396" t="s">
        <v>785</v>
      </c>
      <c r="C396" t="s">
        <v>5</v>
      </c>
    </row>
    <row r="397" spans="1:3" x14ac:dyDescent="0.4">
      <c r="A397" s="1" t="s">
        <v>786</v>
      </c>
      <c r="B397" t="s">
        <v>787</v>
      </c>
      <c r="C397" t="s">
        <v>5</v>
      </c>
    </row>
    <row r="398" spans="1:3" x14ac:dyDescent="0.4">
      <c r="A398" s="1" t="s">
        <v>788</v>
      </c>
      <c r="B398" t="s">
        <v>789</v>
      </c>
      <c r="C398" t="s">
        <v>5</v>
      </c>
    </row>
    <row r="399" spans="1:3" x14ac:dyDescent="0.4">
      <c r="A399" s="1" t="s">
        <v>790</v>
      </c>
      <c r="B399" t="s">
        <v>791</v>
      </c>
      <c r="C399" t="s">
        <v>5</v>
      </c>
    </row>
    <row r="400" spans="1:3" x14ac:dyDescent="0.4">
      <c r="A400" s="1" t="s">
        <v>792</v>
      </c>
      <c r="B400" t="s">
        <v>793</v>
      </c>
      <c r="C400" t="s">
        <v>5</v>
      </c>
    </row>
    <row r="401" spans="1:4" x14ac:dyDescent="0.4">
      <c r="A401" s="1" t="s">
        <v>794</v>
      </c>
      <c r="B401" t="s">
        <v>795</v>
      </c>
      <c r="C401" t="s">
        <v>5</v>
      </c>
      <c r="D401">
        <v>8800</v>
      </c>
    </row>
    <row r="402" spans="1:4" x14ac:dyDescent="0.4">
      <c r="A402" s="1" t="s">
        <v>796</v>
      </c>
      <c r="B402" t="s">
        <v>797</v>
      </c>
      <c r="C402" t="s">
        <v>5</v>
      </c>
    </row>
    <row r="403" spans="1:4" x14ac:dyDescent="0.4">
      <c r="A403" s="1" t="s">
        <v>798</v>
      </c>
      <c r="B403" t="s">
        <v>799</v>
      </c>
      <c r="C403" t="s">
        <v>5</v>
      </c>
    </row>
    <row r="404" spans="1:4" x14ac:dyDescent="0.4">
      <c r="A404" s="1" t="s">
        <v>800</v>
      </c>
      <c r="B404" t="s">
        <v>801</v>
      </c>
      <c r="C404" t="s">
        <v>5</v>
      </c>
    </row>
    <row r="405" spans="1:4" x14ac:dyDescent="0.4">
      <c r="A405" s="1" t="s">
        <v>802</v>
      </c>
      <c r="B405" t="s">
        <v>803</v>
      </c>
      <c r="C405" t="s">
        <v>5</v>
      </c>
    </row>
    <row r="406" spans="1:4" x14ac:dyDescent="0.4">
      <c r="A406" s="1" t="s">
        <v>804</v>
      </c>
      <c r="B406" t="s">
        <v>805</v>
      </c>
      <c r="C406" t="s">
        <v>5</v>
      </c>
    </row>
    <row r="407" spans="1:4" x14ac:dyDescent="0.4">
      <c r="A407" s="1" t="s">
        <v>806</v>
      </c>
      <c r="B407" t="s">
        <v>807</v>
      </c>
      <c r="C407" t="s">
        <v>5</v>
      </c>
    </row>
    <row r="408" spans="1:4" x14ac:dyDescent="0.4">
      <c r="A408" s="1" t="s">
        <v>808</v>
      </c>
      <c r="B408" t="s">
        <v>809</v>
      </c>
      <c r="C408" t="s">
        <v>5</v>
      </c>
    </row>
    <row r="409" spans="1:4" x14ac:dyDescent="0.4">
      <c r="A409" s="1" t="s">
        <v>810</v>
      </c>
      <c r="B409" t="s">
        <v>811</v>
      </c>
      <c r="C409" t="s">
        <v>5</v>
      </c>
    </row>
    <row r="410" spans="1:4" x14ac:dyDescent="0.4">
      <c r="A410" s="1" t="s">
        <v>812</v>
      </c>
      <c r="B410" t="s">
        <v>813</v>
      </c>
      <c r="C410" t="s">
        <v>5</v>
      </c>
    </row>
    <row r="411" spans="1:4" x14ac:dyDescent="0.4">
      <c r="A411" s="1" t="s">
        <v>814</v>
      </c>
      <c r="B411" t="s">
        <v>815</v>
      </c>
      <c r="C411" t="s">
        <v>5</v>
      </c>
    </row>
    <row r="412" spans="1:4" x14ac:dyDescent="0.4">
      <c r="A412" s="1" t="s">
        <v>816</v>
      </c>
      <c r="B412" t="s">
        <v>817</v>
      </c>
      <c r="C412" t="s">
        <v>5</v>
      </c>
    </row>
    <row r="413" spans="1:4" x14ac:dyDescent="0.4">
      <c r="A413" s="1" t="s">
        <v>818</v>
      </c>
      <c r="B413" t="s">
        <v>819</v>
      </c>
      <c r="C413" t="s">
        <v>5</v>
      </c>
    </row>
    <row r="414" spans="1:4" x14ac:dyDescent="0.4">
      <c r="A414" s="1" t="s">
        <v>820</v>
      </c>
      <c r="B414" t="s">
        <v>821</v>
      </c>
      <c r="C414" t="s">
        <v>5</v>
      </c>
    </row>
    <row r="415" spans="1:4" x14ac:dyDescent="0.4">
      <c r="A415" s="1" t="s">
        <v>822</v>
      </c>
      <c r="B415" t="s">
        <v>823</v>
      </c>
      <c r="C415" t="s">
        <v>5</v>
      </c>
    </row>
    <row r="416" spans="1:4" x14ac:dyDescent="0.4">
      <c r="A416" s="1" t="s">
        <v>824</v>
      </c>
      <c r="B416" t="s">
        <v>825</v>
      </c>
      <c r="C416" t="s">
        <v>5</v>
      </c>
    </row>
    <row r="417" spans="1:3" x14ac:dyDescent="0.4">
      <c r="A417" s="1" t="s">
        <v>826</v>
      </c>
      <c r="B417" t="s">
        <v>827</v>
      </c>
      <c r="C417" t="s">
        <v>5</v>
      </c>
    </row>
    <row r="418" spans="1:3" x14ac:dyDescent="0.4">
      <c r="A418" s="1" t="s">
        <v>828</v>
      </c>
      <c r="B418" t="s">
        <v>829</v>
      </c>
      <c r="C418" t="s">
        <v>5</v>
      </c>
    </row>
    <row r="419" spans="1:3" x14ac:dyDescent="0.4">
      <c r="A419" s="1" t="s">
        <v>830</v>
      </c>
      <c r="B419" t="s">
        <v>831</v>
      </c>
      <c r="C419" t="s">
        <v>5</v>
      </c>
    </row>
    <row r="420" spans="1:3" x14ac:dyDescent="0.4">
      <c r="A420" s="1" t="s">
        <v>832</v>
      </c>
      <c r="B420" t="s">
        <v>833</v>
      </c>
      <c r="C420" t="s">
        <v>5</v>
      </c>
    </row>
    <row r="421" spans="1:3" x14ac:dyDescent="0.4">
      <c r="A421" s="1" t="s">
        <v>834</v>
      </c>
      <c r="B421" t="s">
        <v>835</v>
      </c>
      <c r="C421" t="s">
        <v>5</v>
      </c>
    </row>
    <row r="422" spans="1:3" x14ac:dyDescent="0.4">
      <c r="A422" s="1" t="s">
        <v>836</v>
      </c>
      <c r="B422" t="s">
        <v>837</v>
      </c>
      <c r="C422" t="s">
        <v>5</v>
      </c>
    </row>
    <row r="423" spans="1:3" x14ac:dyDescent="0.4">
      <c r="A423" s="1" t="s">
        <v>838</v>
      </c>
      <c r="B423" t="s">
        <v>839</v>
      </c>
      <c r="C423" t="s">
        <v>5</v>
      </c>
    </row>
    <row r="424" spans="1:3" x14ac:dyDescent="0.4">
      <c r="A424" s="1" t="s">
        <v>840</v>
      </c>
      <c r="B424" t="s">
        <v>841</v>
      </c>
      <c r="C424" t="s">
        <v>5</v>
      </c>
    </row>
    <row r="425" spans="1:3" x14ac:dyDescent="0.4">
      <c r="A425" s="1" t="s">
        <v>842</v>
      </c>
      <c r="B425" t="s">
        <v>843</v>
      </c>
      <c r="C425" t="s">
        <v>5</v>
      </c>
    </row>
    <row r="426" spans="1:3" x14ac:dyDescent="0.4">
      <c r="A426" s="1" t="s">
        <v>844</v>
      </c>
      <c r="B426" t="s">
        <v>845</v>
      </c>
      <c r="C426" t="s">
        <v>5</v>
      </c>
    </row>
    <row r="427" spans="1:3" x14ac:dyDescent="0.4">
      <c r="A427" s="1" t="s">
        <v>846</v>
      </c>
      <c r="B427" t="s">
        <v>847</v>
      </c>
      <c r="C427" t="s">
        <v>5</v>
      </c>
    </row>
    <row r="428" spans="1:3" x14ac:dyDescent="0.4">
      <c r="A428" s="1" t="s">
        <v>848</v>
      </c>
      <c r="B428" t="s">
        <v>849</v>
      </c>
      <c r="C428" t="s">
        <v>5</v>
      </c>
    </row>
    <row r="429" spans="1:3" x14ac:dyDescent="0.4">
      <c r="A429" s="1" t="s">
        <v>850</v>
      </c>
      <c r="B429" t="s">
        <v>851</v>
      </c>
      <c r="C429" t="s">
        <v>5</v>
      </c>
    </row>
    <row r="430" spans="1:3" x14ac:dyDescent="0.4">
      <c r="A430" s="1" t="s">
        <v>852</v>
      </c>
      <c r="B430" t="s">
        <v>853</v>
      </c>
      <c r="C430" t="s">
        <v>5</v>
      </c>
    </row>
    <row r="431" spans="1:3" x14ac:dyDescent="0.4">
      <c r="A431" s="1" t="s">
        <v>854</v>
      </c>
      <c r="B431" t="s">
        <v>855</v>
      </c>
      <c r="C431" t="s">
        <v>5</v>
      </c>
    </row>
    <row r="432" spans="1:3" x14ac:dyDescent="0.4">
      <c r="A432" s="1" t="s">
        <v>856</v>
      </c>
      <c r="B432" t="s">
        <v>857</v>
      </c>
      <c r="C432" t="s">
        <v>5</v>
      </c>
    </row>
    <row r="433" spans="1:4" x14ac:dyDescent="0.4">
      <c r="A433" s="1" t="s">
        <v>858</v>
      </c>
      <c r="B433" t="s">
        <v>859</v>
      </c>
      <c r="C433" t="s">
        <v>5</v>
      </c>
    </row>
    <row r="434" spans="1:4" x14ac:dyDescent="0.4">
      <c r="A434" s="1" t="s">
        <v>860</v>
      </c>
      <c r="B434" t="s">
        <v>861</v>
      </c>
      <c r="C434" t="s">
        <v>5</v>
      </c>
    </row>
    <row r="435" spans="1:4" x14ac:dyDescent="0.4">
      <c r="A435" s="1" t="s">
        <v>862</v>
      </c>
      <c r="B435" t="s">
        <v>863</v>
      </c>
      <c r="C435" t="s">
        <v>5</v>
      </c>
    </row>
    <row r="436" spans="1:4" x14ac:dyDescent="0.4">
      <c r="A436" s="1" t="s">
        <v>864</v>
      </c>
      <c r="B436" t="s">
        <v>865</v>
      </c>
      <c r="C436" t="s">
        <v>5</v>
      </c>
    </row>
    <row r="437" spans="1:4" x14ac:dyDescent="0.4">
      <c r="A437" s="1" t="s">
        <v>866</v>
      </c>
      <c r="B437" t="s">
        <v>867</v>
      </c>
      <c r="C437" t="s">
        <v>5</v>
      </c>
      <c r="D437">
        <v>180000</v>
      </c>
    </row>
    <row r="438" spans="1:4" x14ac:dyDescent="0.4">
      <c r="A438" s="1" t="s">
        <v>868</v>
      </c>
      <c r="B438" t="s">
        <v>869</v>
      </c>
      <c r="C438" t="s">
        <v>5</v>
      </c>
      <c r="D438">
        <v>38200</v>
      </c>
    </row>
    <row r="439" spans="1:4" x14ac:dyDescent="0.4">
      <c r="A439" s="1" t="s">
        <v>870</v>
      </c>
      <c r="B439" t="s">
        <v>871</v>
      </c>
      <c r="C439" t="s">
        <v>5</v>
      </c>
      <c r="D439">
        <v>38200</v>
      </c>
    </row>
    <row r="440" spans="1:4" x14ac:dyDescent="0.4">
      <c r="A440" s="1" t="s">
        <v>872</v>
      </c>
      <c r="B440" t="s">
        <v>873</v>
      </c>
      <c r="C440" t="s">
        <v>5</v>
      </c>
      <c r="D440">
        <v>38200</v>
      </c>
    </row>
    <row r="441" spans="1:4" x14ac:dyDescent="0.4">
      <c r="A441" s="1" t="s">
        <v>874</v>
      </c>
      <c r="B441" t="s">
        <v>875</v>
      </c>
      <c r="C441" t="s">
        <v>5</v>
      </c>
      <c r="D441">
        <v>46000</v>
      </c>
    </row>
    <row r="442" spans="1:4" x14ac:dyDescent="0.4">
      <c r="A442" s="1" t="s">
        <v>876</v>
      </c>
      <c r="B442" t="s">
        <v>877</v>
      </c>
      <c r="C442" t="s">
        <v>5</v>
      </c>
      <c r="D442">
        <v>50800</v>
      </c>
    </row>
    <row r="443" spans="1:4" x14ac:dyDescent="0.4">
      <c r="A443" s="1" t="s">
        <v>878</v>
      </c>
      <c r="B443" t="s">
        <v>879</v>
      </c>
      <c r="C443" t="s">
        <v>5</v>
      </c>
      <c r="D443">
        <v>50800</v>
      </c>
    </row>
    <row r="444" spans="1:4" x14ac:dyDescent="0.4">
      <c r="A444" s="1" t="s">
        <v>880</v>
      </c>
      <c r="B444" t="s">
        <v>881</v>
      </c>
      <c r="C444" t="s">
        <v>5</v>
      </c>
      <c r="D444">
        <v>50800</v>
      </c>
    </row>
    <row r="445" spans="1:4" x14ac:dyDescent="0.4">
      <c r="A445" s="1" t="s">
        <v>882</v>
      </c>
      <c r="B445" t="s">
        <v>883</v>
      </c>
      <c r="C445" t="s">
        <v>5</v>
      </c>
      <c r="D445">
        <v>39400</v>
      </c>
    </row>
    <row r="446" spans="1:4" x14ac:dyDescent="0.4">
      <c r="A446" s="1" t="s">
        <v>884</v>
      </c>
      <c r="B446" t="s">
        <v>885</v>
      </c>
      <c r="C446" t="s">
        <v>5</v>
      </c>
      <c r="D446">
        <v>55000</v>
      </c>
    </row>
    <row r="447" spans="1:4" x14ac:dyDescent="0.4">
      <c r="A447" s="1" t="s">
        <v>886</v>
      </c>
      <c r="B447" t="s">
        <v>887</v>
      </c>
      <c r="C447" t="s">
        <v>5</v>
      </c>
      <c r="D447">
        <v>6600</v>
      </c>
    </row>
    <row r="448" spans="1:4" x14ac:dyDescent="0.4">
      <c r="A448" s="1" t="s">
        <v>888</v>
      </c>
      <c r="B448" t="s">
        <v>889</v>
      </c>
      <c r="C448" t="s">
        <v>5</v>
      </c>
      <c r="D448">
        <v>6200</v>
      </c>
    </row>
    <row r="449" spans="1:4" x14ac:dyDescent="0.4">
      <c r="A449" s="1" t="s">
        <v>890</v>
      </c>
      <c r="B449" t="s">
        <v>891</v>
      </c>
      <c r="C449" t="s">
        <v>5</v>
      </c>
      <c r="D449">
        <v>10800</v>
      </c>
    </row>
    <row r="450" spans="1:4" x14ac:dyDescent="0.4">
      <c r="A450" s="1" t="s">
        <v>892</v>
      </c>
      <c r="B450" t="s">
        <v>893</v>
      </c>
      <c r="C450" t="s">
        <v>5</v>
      </c>
      <c r="D450">
        <v>10800</v>
      </c>
    </row>
    <row r="451" spans="1:4" x14ac:dyDescent="0.4">
      <c r="A451" s="1" t="s">
        <v>894</v>
      </c>
      <c r="B451" t="s">
        <v>895</v>
      </c>
      <c r="C451" t="s">
        <v>5</v>
      </c>
      <c r="D451">
        <v>10800</v>
      </c>
    </row>
    <row r="452" spans="1:4" x14ac:dyDescent="0.4">
      <c r="A452" s="1" t="s">
        <v>896</v>
      </c>
      <c r="B452" t="s">
        <v>897</v>
      </c>
      <c r="C452" t="s">
        <v>5</v>
      </c>
      <c r="D452">
        <v>20600</v>
      </c>
    </row>
    <row r="453" spans="1:4" x14ac:dyDescent="0.4">
      <c r="A453" s="1" t="s">
        <v>898</v>
      </c>
      <c r="B453" t="s">
        <v>899</v>
      </c>
      <c r="C453" t="s">
        <v>5</v>
      </c>
      <c r="D453">
        <v>20600</v>
      </c>
    </row>
    <row r="454" spans="1:4" x14ac:dyDescent="0.4">
      <c r="A454" s="1" t="s">
        <v>900</v>
      </c>
      <c r="B454" t="s">
        <v>901</v>
      </c>
      <c r="C454" t="s">
        <v>5</v>
      </c>
    </row>
    <row r="455" spans="1:4" x14ac:dyDescent="0.4">
      <c r="A455" s="1" t="s">
        <v>902</v>
      </c>
      <c r="B455" t="s">
        <v>903</v>
      </c>
      <c r="C455" t="s">
        <v>5</v>
      </c>
    </row>
    <row r="456" spans="1:4" x14ac:dyDescent="0.4">
      <c r="A456" s="1" t="s">
        <v>904</v>
      </c>
      <c r="B456" t="s">
        <v>905</v>
      </c>
      <c r="C456" t="s">
        <v>5</v>
      </c>
    </row>
    <row r="457" spans="1:4" x14ac:dyDescent="0.4">
      <c r="A457" s="1" t="s">
        <v>906</v>
      </c>
      <c r="B457" t="s">
        <v>907</v>
      </c>
      <c r="C457" t="s">
        <v>5</v>
      </c>
      <c r="D457">
        <v>23500</v>
      </c>
    </row>
    <row r="458" spans="1:4" x14ac:dyDescent="0.4">
      <c r="A458" s="1" t="s">
        <v>908</v>
      </c>
      <c r="B458" t="s">
        <v>909</v>
      </c>
      <c r="C458" t="s">
        <v>5</v>
      </c>
      <c r="D458">
        <v>6900</v>
      </c>
    </row>
    <row r="459" spans="1:4" x14ac:dyDescent="0.4">
      <c r="A459" s="1" t="s">
        <v>910</v>
      </c>
      <c r="B459" t="s">
        <v>911</v>
      </c>
      <c r="C459" t="s">
        <v>5</v>
      </c>
      <c r="D459">
        <v>6900</v>
      </c>
    </row>
    <row r="460" spans="1:4" x14ac:dyDescent="0.4">
      <c r="A460" s="1" t="s">
        <v>912</v>
      </c>
      <c r="B460" t="s">
        <v>913</v>
      </c>
      <c r="C460" t="s">
        <v>5</v>
      </c>
      <c r="D460">
        <v>6900</v>
      </c>
    </row>
    <row r="461" spans="1:4" x14ac:dyDescent="0.4">
      <c r="A461" s="1" t="s">
        <v>914</v>
      </c>
      <c r="B461" t="s">
        <v>915</v>
      </c>
      <c r="C461" t="s">
        <v>5</v>
      </c>
    </row>
    <row r="462" spans="1:4" x14ac:dyDescent="0.4">
      <c r="A462" s="1" t="s">
        <v>916</v>
      </c>
      <c r="B462" t="s">
        <v>917</v>
      </c>
      <c r="C462" t="s">
        <v>5</v>
      </c>
    </row>
    <row r="463" spans="1:4" x14ac:dyDescent="0.4">
      <c r="A463" s="1" t="s">
        <v>918</v>
      </c>
      <c r="B463" t="s">
        <v>919</v>
      </c>
      <c r="C463" t="s">
        <v>5</v>
      </c>
    </row>
    <row r="464" spans="1:4" x14ac:dyDescent="0.4">
      <c r="A464" s="1" t="s">
        <v>920</v>
      </c>
      <c r="B464" t="s">
        <v>921</v>
      </c>
      <c r="C464" t="s">
        <v>5</v>
      </c>
    </row>
    <row r="465" spans="1:4" x14ac:dyDescent="0.4">
      <c r="A465" s="1" t="s">
        <v>922</v>
      </c>
      <c r="B465" t="s">
        <v>923</v>
      </c>
      <c r="C465" t="s">
        <v>5</v>
      </c>
      <c r="D465">
        <v>41600</v>
      </c>
    </row>
    <row r="466" spans="1:4" x14ac:dyDescent="0.4">
      <c r="A466" s="1" t="s">
        <v>924</v>
      </c>
      <c r="B466" t="s">
        <v>925</v>
      </c>
      <c r="C466" t="s">
        <v>5</v>
      </c>
      <c r="D466">
        <v>22200</v>
      </c>
    </row>
    <row r="467" spans="1:4" x14ac:dyDescent="0.4">
      <c r="A467" s="1" t="s">
        <v>926</v>
      </c>
      <c r="B467" t="s">
        <v>927</v>
      </c>
      <c r="C467" t="s">
        <v>5</v>
      </c>
      <c r="D467">
        <v>33600</v>
      </c>
    </row>
    <row r="468" spans="1:4" x14ac:dyDescent="0.4">
      <c r="A468" s="1" t="s">
        <v>928</v>
      </c>
      <c r="B468" t="s">
        <v>929</v>
      </c>
      <c r="C468" t="s">
        <v>5</v>
      </c>
      <c r="D468">
        <v>47000</v>
      </c>
    </row>
    <row r="469" spans="1:4" x14ac:dyDescent="0.4">
      <c r="A469" s="1" t="s">
        <v>930</v>
      </c>
      <c r="B469" t="s">
        <v>931</v>
      </c>
      <c r="C469" t="s">
        <v>5</v>
      </c>
      <c r="D469">
        <v>22200</v>
      </c>
    </row>
    <row r="470" spans="1:4" x14ac:dyDescent="0.4">
      <c r="A470" s="1" t="s">
        <v>932</v>
      </c>
      <c r="B470" t="s">
        <v>933</v>
      </c>
      <c r="C470" t="s">
        <v>5</v>
      </c>
      <c r="D470">
        <v>3700</v>
      </c>
    </row>
    <row r="471" spans="1:4" x14ac:dyDescent="0.4">
      <c r="A471" s="1" t="s">
        <v>934</v>
      </c>
      <c r="B471" t="s">
        <v>935</v>
      </c>
      <c r="C471" t="s">
        <v>5</v>
      </c>
      <c r="D471">
        <v>55382</v>
      </c>
    </row>
    <row r="472" spans="1:4" x14ac:dyDescent="0.4">
      <c r="A472" s="1" t="s">
        <v>936</v>
      </c>
      <c r="B472" t="s">
        <v>937</v>
      </c>
      <c r="C472" t="s">
        <v>5</v>
      </c>
      <c r="D472">
        <v>78527</v>
      </c>
    </row>
    <row r="473" spans="1:4" x14ac:dyDescent="0.4">
      <c r="A473" s="1" t="s">
        <v>938</v>
      </c>
      <c r="B473" t="s">
        <v>939</v>
      </c>
      <c r="C473" t="s">
        <v>5</v>
      </c>
      <c r="D473">
        <v>4836</v>
      </c>
    </row>
    <row r="474" spans="1:4" x14ac:dyDescent="0.4">
      <c r="A474" s="1" t="s">
        <v>940</v>
      </c>
      <c r="B474" t="s">
        <v>941</v>
      </c>
      <c r="C474" t="s">
        <v>5</v>
      </c>
      <c r="D474">
        <v>4800</v>
      </c>
    </row>
    <row r="475" spans="1:4" x14ac:dyDescent="0.4">
      <c r="A475" s="1" t="s">
        <v>942</v>
      </c>
      <c r="B475" t="s">
        <v>943</v>
      </c>
      <c r="C475" t="s">
        <v>5</v>
      </c>
      <c r="D475">
        <v>7200</v>
      </c>
    </row>
    <row r="476" spans="1:4" x14ac:dyDescent="0.4">
      <c r="A476" s="1" t="s">
        <v>944</v>
      </c>
      <c r="B476" t="s">
        <v>945</v>
      </c>
      <c r="C476" t="s">
        <v>5</v>
      </c>
      <c r="D476">
        <v>11500</v>
      </c>
    </row>
    <row r="477" spans="1:4" x14ac:dyDescent="0.4">
      <c r="A477" s="1" t="s">
        <v>946</v>
      </c>
      <c r="B477" t="s">
        <v>947</v>
      </c>
      <c r="C477" t="s">
        <v>5</v>
      </c>
      <c r="D477">
        <v>11500</v>
      </c>
    </row>
    <row r="478" spans="1:4" x14ac:dyDescent="0.4">
      <c r="A478" s="1" t="s">
        <v>948</v>
      </c>
      <c r="B478" t="s">
        <v>949</v>
      </c>
      <c r="C478" t="s">
        <v>5</v>
      </c>
      <c r="D478">
        <v>11500</v>
      </c>
    </row>
    <row r="479" spans="1:4" x14ac:dyDescent="0.4">
      <c r="A479" s="1" t="s">
        <v>950</v>
      </c>
      <c r="B479" t="s">
        <v>951</v>
      </c>
      <c r="C479" t="s">
        <v>5</v>
      </c>
      <c r="D479">
        <v>12100</v>
      </c>
    </row>
    <row r="480" spans="1:4" x14ac:dyDescent="0.4">
      <c r="A480" s="1" t="s">
        <v>952</v>
      </c>
      <c r="B480" t="s">
        <v>953</v>
      </c>
      <c r="C480" t="s">
        <v>5</v>
      </c>
      <c r="D480">
        <v>12100</v>
      </c>
    </row>
    <row r="481" spans="1:4" x14ac:dyDescent="0.4">
      <c r="A481" s="1" t="s">
        <v>954</v>
      </c>
      <c r="B481" t="s">
        <v>955</v>
      </c>
      <c r="C481" t="s">
        <v>5</v>
      </c>
      <c r="D481">
        <v>12100</v>
      </c>
    </row>
    <row r="482" spans="1:4" x14ac:dyDescent="0.4">
      <c r="A482" s="1" t="s">
        <v>956</v>
      </c>
      <c r="B482" t="s">
        <v>957</v>
      </c>
      <c r="C482" t="s">
        <v>5</v>
      </c>
      <c r="D482">
        <v>23200</v>
      </c>
    </row>
    <row r="483" spans="1:4" x14ac:dyDescent="0.4">
      <c r="A483" s="1" t="s">
        <v>958</v>
      </c>
      <c r="B483" t="s">
        <v>959</v>
      </c>
      <c r="C483" t="s">
        <v>5</v>
      </c>
      <c r="D483">
        <v>23200</v>
      </c>
    </row>
    <row r="484" spans="1:4" x14ac:dyDescent="0.4">
      <c r="A484" s="1" t="s">
        <v>960</v>
      </c>
      <c r="B484" t="s">
        <v>961</v>
      </c>
      <c r="C484" t="s">
        <v>5</v>
      </c>
      <c r="D484">
        <v>23200</v>
      </c>
    </row>
    <row r="485" spans="1:4" x14ac:dyDescent="0.4">
      <c r="A485" s="1" t="s">
        <v>962</v>
      </c>
      <c r="B485" t="s">
        <v>963</v>
      </c>
      <c r="C485" t="s">
        <v>5</v>
      </c>
      <c r="D485">
        <v>11500</v>
      </c>
    </row>
    <row r="486" spans="1:4" x14ac:dyDescent="0.4">
      <c r="A486" s="1" t="s">
        <v>964</v>
      </c>
      <c r="B486" t="s">
        <v>965</v>
      </c>
      <c r="C486" t="s">
        <v>5</v>
      </c>
      <c r="D486">
        <v>22000</v>
      </c>
    </row>
    <row r="487" spans="1:4" x14ac:dyDescent="0.4">
      <c r="A487" s="1" t="s">
        <v>966</v>
      </c>
      <c r="B487" t="s">
        <v>967</v>
      </c>
      <c r="C487" t="s">
        <v>5</v>
      </c>
      <c r="D487">
        <v>13000</v>
      </c>
    </row>
    <row r="488" spans="1:4" x14ac:dyDescent="0.4">
      <c r="A488" s="1" t="s">
        <v>968</v>
      </c>
      <c r="B488" t="s">
        <v>969</v>
      </c>
      <c r="C488" t="s">
        <v>5</v>
      </c>
      <c r="D488">
        <v>13000</v>
      </c>
    </row>
    <row r="489" spans="1:4" x14ac:dyDescent="0.4">
      <c r="A489" s="1" t="s">
        <v>970</v>
      </c>
      <c r="B489" t="s">
        <v>971</v>
      </c>
      <c r="C489" t="s">
        <v>5</v>
      </c>
      <c r="D489">
        <v>13000</v>
      </c>
    </row>
    <row r="490" spans="1:4" x14ac:dyDescent="0.4">
      <c r="A490" s="1" t="s">
        <v>972</v>
      </c>
      <c r="B490" t="s">
        <v>973</v>
      </c>
      <c r="C490" t="s">
        <v>5</v>
      </c>
      <c r="D490">
        <v>13000</v>
      </c>
    </row>
    <row r="491" spans="1:4" x14ac:dyDescent="0.4">
      <c r="A491" s="1" t="s">
        <v>974</v>
      </c>
      <c r="B491" t="s">
        <v>975</v>
      </c>
      <c r="C491" t="s">
        <v>5</v>
      </c>
      <c r="D491">
        <v>13400</v>
      </c>
    </row>
    <row r="492" spans="1:4" x14ac:dyDescent="0.4">
      <c r="A492" s="1" t="s">
        <v>976</v>
      </c>
      <c r="B492" t="s">
        <v>977</v>
      </c>
      <c r="C492" t="s">
        <v>5</v>
      </c>
      <c r="D492">
        <v>13400</v>
      </c>
    </row>
    <row r="493" spans="1:4" x14ac:dyDescent="0.4">
      <c r="A493" s="1" t="s">
        <v>978</v>
      </c>
      <c r="B493" t="s">
        <v>979</v>
      </c>
      <c r="C493" t="s">
        <v>5</v>
      </c>
      <c r="D493">
        <v>13400</v>
      </c>
    </row>
    <row r="494" spans="1:4" x14ac:dyDescent="0.4">
      <c r="A494" s="1" t="s">
        <v>980</v>
      </c>
      <c r="B494" t="s">
        <v>981</v>
      </c>
      <c r="C494" t="s">
        <v>5</v>
      </c>
    </row>
    <row r="495" spans="1:4" x14ac:dyDescent="0.4">
      <c r="A495" s="1" t="s">
        <v>982</v>
      </c>
      <c r="B495" t="s">
        <v>983</v>
      </c>
      <c r="C495" t="s">
        <v>5</v>
      </c>
    </row>
    <row r="496" spans="1:4" x14ac:dyDescent="0.4">
      <c r="A496" s="1" t="s">
        <v>984</v>
      </c>
      <c r="B496" t="s">
        <v>985</v>
      </c>
      <c r="C496" t="s">
        <v>5</v>
      </c>
    </row>
    <row r="497" spans="1:4" x14ac:dyDescent="0.4">
      <c r="A497" s="1" t="s">
        <v>986</v>
      </c>
      <c r="B497" t="s">
        <v>987</v>
      </c>
      <c r="C497" t="s">
        <v>5</v>
      </c>
    </row>
    <row r="498" spans="1:4" x14ac:dyDescent="0.4">
      <c r="A498" s="1" t="s">
        <v>988</v>
      </c>
      <c r="B498" t="s">
        <v>989</v>
      </c>
      <c r="C498" t="s">
        <v>5</v>
      </c>
    </row>
    <row r="499" spans="1:4" x14ac:dyDescent="0.4">
      <c r="A499" s="1" t="s">
        <v>990</v>
      </c>
      <c r="B499" t="s">
        <v>991</v>
      </c>
      <c r="C499" t="s">
        <v>5</v>
      </c>
    </row>
    <row r="500" spans="1:4" x14ac:dyDescent="0.4">
      <c r="A500" s="1" t="s">
        <v>992</v>
      </c>
      <c r="B500" t="s">
        <v>993</v>
      </c>
      <c r="C500" t="s">
        <v>5</v>
      </c>
      <c r="D500">
        <v>11100</v>
      </c>
    </row>
    <row r="501" spans="1:4" x14ac:dyDescent="0.4">
      <c r="A501" s="1" t="s">
        <v>994</v>
      </c>
      <c r="B501" t="s">
        <v>995</v>
      </c>
      <c r="C501" t="s">
        <v>5</v>
      </c>
      <c r="D501">
        <v>15500</v>
      </c>
    </row>
    <row r="502" spans="1:4" x14ac:dyDescent="0.4">
      <c r="A502" s="1" t="s">
        <v>996</v>
      </c>
      <c r="B502" t="s">
        <v>997</v>
      </c>
      <c r="C502" t="s">
        <v>5</v>
      </c>
      <c r="D502">
        <v>15500</v>
      </c>
    </row>
    <row r="503" spans="1:4" x14ac:dyDescent="0.4">
      <c r="A503" s="1" t="s">
        <v>998</v>
      </c>
      <c r="B503" t="s">
        <v>999</v>
      </c>
      <c r="C503" t="s">
        <v>5</v>
      </c>
      <c r="D503">
        <v>15500</v>
      </c>
    </row>
    <row r="504" spans="1:4" x14ac:dyDescent="0.4">
      <c r="A504" s="1" t="s">
        <v>1000</v>
      </c>
      <c r="B504" t="s">
        <v>1001</v>
      </c>
      <c r="C504" t="s">
        <v>5</v>
      </c>
      <c r="D504">
        <v>31400</v>
      </c>
    </row>
    <row r="505" spans="1:4" x14ac:dyDescent="0.4">
      <c r="A505" s="1" t="s">
        <v>1002</v>
      </c>
      <c r="B505" t="s">
        <v>1003</v>
      </c>
      <c r="C505" t="s">
        <v>5</v>
      </c>
      <c r="D505">
        <v>41400</v>
      </c>
    </row>
    <row r="506" spans="1:4" x14ac:dyDescent="0.4">
      <c r="A506" s="1" t="s">
        <v>1004</v>
      </c>
      <c r="B506" t="s">
        <v>1005</v>
      </c>
      <c r="C506" t="s">
        <v>5</v>
      </c>
      <c r="D506">
        <v>41400</v>
      </c>
    </row>
    <row r="507" spans="1:4" x14ac:dyDescent="0.4">
      <c r="A507" s="1" t="s">
        <v>1006</v>
      </c>
      <c r="B507" t="s">
        <v>1007</v>
      </c>
      <c r="C507" t="s">
        <v>5</v>
      </c>
      <c r="D507">
        <v>41400</v>
      </c>
    </row>
    <row r="508" spans="1:4" x14ac:dyDescent="0.4">
      <c r="A508" s="1" t="s">
        <v>1008</v>
      </c>
      <c r="B508" t="s">
        <v>1009</v>
      </c>
      <c r="C508" t="s">
        <v>5</v>
      </c>
      <c r="D508">
        <v>55200</v>
      </c>
    </row>
    <row r="509" spans="1:4" x14ac:dyDescent="0.4">
      <c r="A509" s="1" t="s">
        <v>1010</v>
      </c>
      <c r="B509" t="s">
        <v>1011</v>
      </c>
      <c r="C509" t="s">
        <v>5</v>
      </c>
      <c r="D509">
        <v>77200</v>
      </c>
    </row>
    <row r="510" spans="1:4" x14ac:dyDescent="0.4">
      <c r="A510" s="1" t="s">
        <v>1012</v>
      </c>
      <c r="B510" t="s">
        <v>1013</v>
      </c>
      <c r="C510" t="s">
        <v>5</v>
      </c>
      <c r="D510">
        <v>3000</v>
      </c>
    </row>
    <row r="511" spans="1:4" x14ac:dyDescent="0.4">
      <c r="A511" s="1" t="s">
        <v>1014</v>
      </c>
      <c r="B511" t="s">
        <v>1015</v>
      </c>
      <c r="C511" t="s">
        <v>5</v>
      </c>
      <c r="D511">
        <v>3400</v>
      </c>
    </row>
    <row r="512" spans="1:4" x14ac:dyDescent="0.4">
      <c r="A512" s="1" t="s">
        <v>1016</v>
      </c>
      <c r="B512" t="s">
        <v>1017</v>
      </c>
      <c r="C512" t="s">
        <v>5</v>
      </c>
    </row>
    <row r="513" spans="1:4" x14ac:dyDescent="0.4">
      <c r="A513" s="1" t="s">
        <v>1018</v>
      </c>
      <c r="B513" t="s">
        <v>1019</v>
      </c>
      <c r="C513" t="s">
        <v>5</v>
      </c>
      <c r="D513">
        <v>20480</v>
      </c>
    </row>
    <row r="514" spans="1:4" x14ac:dyDescent="0.4">
      <c r="A514" s="1" t="s">
        <v>1020</v>
      </c>
      <c r="B514" t="s">
        <v>1021</v>
      </c>
      <c r="C514" t="s">
        <v>5</v>
      </c>
      <c r="D514">
        <v>8900</v>
      </c>
    </row>
    <row r="515" spans="1:4" x14ac:dyDescent="0.4">
      <c r="A515" s="1" t="s">
        <v>1022</v>
      </c>
      <c r="B515" t="s">
        <v>1023</v>
      </c>
      <c r="C515" t="s">
        <v>5</v>
      </c>
      <c r="D515">
        <v>8600</v>
      </c>
    </row>
    <row r="516" spans="1:4" x14ac:dyDescent="0.4">
      <c r="A516" s="1" t="s">
        <v>1024</v>
      </c>
      <c r="B516" t="s">
        <v>1025</v>
      </c>
      <c r="C516" t="s">
        <v>5</v>
      </c>
      <c r="D516">
        <v>8600</v>
      </c>
    </row>
    <row r="517" spans="1:4" x14ac:dyDescent="0.4">
      <c r="A517" s="1" t="s">
        <v>1026</v>
      </c>
      <c r="B517" t="s">
        <v>1027</v>
      </c>
      <c r="C517" t="s">
        <v>5</v>
      </c>
      <c r="D517">
        <v>8600</v>
      </c>
    </row>
    <row r="518" spans="1:4" x14ac:dyDescent="0.4">
      <c r="A518" s="1" t="s">
        <v>1028</v>
      </c>
      <c r="B518" t="s">
        <v>1029</v>
      </c>
      <c r="C518" t="s">
        <v>5</v>
      </c>
      <c r="D518">
        <v>15100</v>
      </c>
    </row>
    <row r="519" spans="1:4" x14ac:dyDescent="0.4">
      <c r="A519" s="1" t="s">
        <v>1030</v>
      </c>
      <c r="B519" t="s">
        <v>1031</v>
      </c>
      <c r="C519" t="s">
        <v>5</v>
      </c>
      <c r="D519">
        <v>14500</v>
      </c>
    </row>
    <row r="520" spans="1:4" x14ac:dyDescent="0.4">
      <c r="A520" s="1" t="s">
        <v>1032</v>
      </c>
      <c r="B520" t="s">
        <v>1033</v>
      </c>
      <c r="C520" t="s">
        <v>5</v>
      </c>
      <c r="D520">
        <v>14500</v>
      </c>
    </row>
    <row r="521" spans="1:4" x14ac:dyDescent="0.4">
      <c r="A521" s="1" t="s">
        <v>1034</v>
      </c>
      <c r="B521" t="s">
        <v>1035</v>
      </c>
      <c r="C521" t="s">
        <v>5</v>
      </c>
      <c r="D521">
        <v>24200</v>
      </c>
    </row>
    <row r="522" spans="1:4" x14ac:dyDescent="0.4">
      <c r="A522" s="1" t="s">
        <v>1036</v>
      </c>
      <c r="B522" t="s">
        <v>1037</v>
      </c>
      <c r="C522" t="s">
        <v>5</v>
      </c>
      <c r="D522">
        <v>14500</v>
      </c>
    </row>
    <row r="523" spans="1:4" x14ac:dyDescent="0.4">
      <c r="A523" s="1" t="s">
        <v>1038</v>
      </c>
      <c r="B523" t="s">
        <v>1039</v>
      </c>
      <c r="C523" t="s">
        <v>5</v>
      </c>
      <c r="D523">
        <v>22200</v>
      </c>
    </row>
    <row r="524" spans="1:4" x14ac:dyDescent="0.4">
      <c r="A524" s="1" t="s">
        <v>1040</v>
      </c>
      <c r="B524" t="s">
        <v>1041</v>
      </c>
      <c r="C524" t="s">
        <v>5</v>
      </c>
    </row>
    <row r="525" spans="1:4" x14ac:dyDescent="0.4">
      <c r="A525" s="1" t="s">
        <v>1042</v>
      </c>
      <c r="B525" t="s">
        <v>1043</v>
      </c>
      <c r="C525" t="s">
        <v>5</v>
      </c>
    </row>
    <row r="526" spans="1:4" x14ac:dyDescent="0.4">
      <c r="A526" s="1" t="s">
        <v>1044</v>
      </c>
      <c r="B526" t="s">
        <v>1045</v>
      </c>
      <c r="C526" t="s">
        <v>5</v>
      </c>
    </row>
    <row r="527" spans="1:4" x14ac:dyDescent="0.4">
      <c r="A527" s="1" t="s">
        <v>1046</v>
      </c>
      <c r="B527" t="s">
        <v>1047</v>
      </c>
      <c r="C527" t="s">
        <v>5</v>
      </c>
    </row>
    <row r="528" spans="1:4" x14ac:dyDescent="0.4">
      <c r="A528" s="1" t="s">
        <v>1048</v>
      </c>
      <c r="B528" t="s">
        <v>1049</v>
      </c>
      <c r="C528" t="s">
        <v>5</v>
      </c>
    </row>
    <row r="529" spans="1:4" x14ac:dyDescent="0.4">
      <c r="A529" s="1" t="s">
        <v>1050</v>
      </c>
      <c r="B529" t="s">
        <v>1051</v>
      </c>
      <c r="C529" t="s">
        <v>5</v>
      </c>
    </row>
    <row r="530" spans="1:4" x14ac:dyDescent="0.4">
      <c r="A530" s="1" t="s">
        <v>1052</v>
      </c>
      <c r="B530" t="s">
        <v>1053</v>
      </c>
      <c r="C530" t="s">
        <v>5</v>
      </c>
    </row>
    <row r="531" spans="1:4" x14ac:dyDescent="0.4">
      <c r="A531" s="1" t="s">
        <v>1054</v>
      </c>
      <c r="B531" t="s">
        <v>1055</v>
      </c>
      <c r="C531" t="s">
        <v>5</v>
      </c>
    </row>
    <row r="532" spans="1:4" x14ac:dyDescent="0.4">
      <c r="A532" s="1" t="s">
        <v>1056</v>
      </c>
      <c r="B532" t="s">
        <v>1057</v>
      </c>
      <c r="C532" t="s">
        <v>5</v>
      </c>
    </row>
    <row r="533" spans="1:4" x14ac:dyDescent="0.4">
      <c r="A533" s="1" t="s">
        <v>1058</v>
      </c>
      <c r="B533" t="s">
        <v>1059</v>
      </c>
      <c r="C533" t="s">
        <v>5</v>
      </c>
    </row>
    <row r="534" spans="1:4" x14ac:dyDescent="0.4">
      <c r="A534" s="1" t="s">
        <v>1060</v>
      </c>
      <c r="B534" t="s">
        <v>1061</v>
      </c>
      <c r="D534">
        <v>218000</v>
      </c>
    </row>
    <row r="535" spans="1:4" x14ac:dyDescent="0.4">
      <c r="A535" s="1" t="s">
        <v>1062</v>
      </c>
      <c r="B535" t="s">
        <v>1063</v>
      </c>
      <c r="C535" t="s">
        <v>5</v>
      </c>
      <c r="D535">
        <v>21900</v>
      </c>
    </row>
    <row r="536" spans="1:4" x14ac:dyDescent="0.4">
      <c r="A536" s="1" t="s">
        <v>1064</v>
      </c>
      <c r="B536" t="s">
        <v>1065</v>
      </c>
      <c r="C536" t="s">
        <v>5</v>
      </c>
      <c r="D536">
        <v>34300</v>
      </c>
    </row>
    <row r="537" spans="1:4" x14ac:dyDescent="0.4">
      <c r="A537" s="1" t="s">
        <v>1066</v>
      </c>
      <c r="B537" t="s">
        <v>1067</v>
      </c>
      <c r="C537" t="s">
        <v>5</v>
      </c>
    </row>
    <row r="538" spans="1:4" x14ac:dyDescent="0.4">
      <c r="A538" s="1" t="s">
        <v>1068</v>
      </c>
      <c r="B538" t="s">
        <v>1069</v>
      </c>
      <c r="C538" t="s">
        <v>5</v>
      </c>
      <c r="D538">
        <v>249000</v>
      </c>
    </row>
    <row r="539" spans="1:4" x14ac:dyDescent="0.4">
      <c r="A539" s="1" t="s">
        <v>1070</v>
      </c>
      <c r="B539" t="s">
        <v>1071</v>
      </c>
      <c r="C539" t="s">
        <v>5</v>
      </c>
      <c r="D539">
        <v>30600</v>
      </c>
    </row>
    <row r="540" spans="1:4" x14ac:dyDescent="0.4">
      <c r="A540" s="1" t="s">
        <v>1072</v>
      </c>
      <c r="B540" t="s">
        <v>1073</v>
      </c>
      <c r="C540" t="s">
        <v>5</v>
      </c>
      <c r="D540">
        <v>71300</v>
      </c>
    </row>
    <row r="541" spans="1:4" x14ac:dyDescent="0.4">
      <c r="A541" s="1" t="s">
        <v>1074</v>
      </c>
      <c r="B541" t="s">
        <v>1075</v>
      </c>
      <c r="C541" t="s">
        <v>5</v>
      </c>
      <c r="D541">
        <v>34800</v>
      </c>
    </row>
    <row r="542" spans="1:4" x14ac:dyDescent="0.4">
      <c r="A542" s="1" t="s">
        <v>1076</v>
      </c>
      <c r="B542" t="s">
        <v>1077</v>
      </c>
      <c r="C542" t="s">
        <v>5</v>
      </c>
      <c r="D542">
        <v>78600</v>
      </c>
    </row>
    <row r="543" spans="1:4" x14ac:dyDescent="0.4">
      <c r="A543" s="1" t="s">
        <v>1078</v>
      </c>
      <c r="B543" t="s">
        <v>1079</v>
      </c>
      <c r="C543" t="s">
        <v>5</v>
      </c>
      <c r="D543">
        <v>136000</v>
      </c>
    </row>
    <row r="544" spans="1:4" x14ac:dyDescent="0.4">
      <c r="A544" s="1" t="s">
        <v>1080</v>
      </c>
      <c r="B544" t="s">
        <v>1081</v>
      </c>
      <c r="C544" t="s">
        <v>5</v>
      </c>
      <c r="D544">
        <v>24900</v>
      </c>
    </row>
    <row r="545" spans="1:4" x14ac:dyDescent="0.4">
      <c r="A545" s="1" t="s">
        <v>1082</v>
      </c>
      <c r="B545" t="s">
        <v>1083</v>
      </c>
      <c r="C545" t="s">
        <v>5</v>
      </c>
      <c r="D545">
        <v>25200</v>
      </c>
    </row>
    <row r="546" spans="1:4" x14ac:dyDescent="0.4">
      <c r="A546" s="1" t="s">
        <v>1084</v>
      </c>
      <c r="B546" t="s">
        <v>1085</v>
      </c>
      <c r="C546" t="s">
        <v>5</v>
      </c>
      <c r="D546">
        <v>25200</v>
      </c>
    </row>
    <row r="547" spans="1:4" x14ac:dyDescent="0.4">
      <c r="A547" s="1" t="s">
        <v>1086</v>
      </c>
      <c r="B547" t="s">
        <v>1087</v>
      </c>
      <c r="C547" t="s">
        <v>5</v>
      </c>
      <c r="D547">
        <v>25200</v>
      </c>
    </row>
    <row r="548" spans="1:4" x14ac:dyDescent="0.4">
      <c r="A548" s="1" t="s">
        <v>1088</v>
      </c>
      <c r="B548" t="s">
        <v>1089</v>
      </c>
      <c r="C548" t="s">
        <v>5</v>
      </c>
      <c r="D548">
        <v>19400</v>
      </c>
    </row>
    <row r="549" spans="1:4" x14ac:dyDescent="0.4">
      <c r="A549" s="1" t="s">
        <v>1090</v>
      </c>
      <c r="B549" t="s">
        <v>1091</v>
      </c>
      <c r="C549" t="s">
        <v>5</v>
      </c>
      <c r="D549">
        <v>37800</v>
      </c>
    </row>
    <row r="550" spans="1:4" x14ac:dyDescent="0.4">
      <c r="A550" s="1" t="s">
        <v>1092</v>
      </c>
      <c r="B550" t="s">
        <v>1093</v>
      </c>
      <c r="C550" t="s">
        <v>5</v>
      </c>
      <c r="D550">
        <v>37800</v>
      </c>
    </row>
    <row r="551" spans="1:4" x14ac:dyDescent="0.4">
      <c r="A551" s="1" t="s">
        <v>1094</v>
      </c>
      <c r="B551" t="s">
        <v>1095</v>
      </c>
      <c r="C551" t="s">
        <v>5</v>
      </c>
      <c r="D551">
        <v>37800</v>
      </c>
    </row>
    <row r="552" spans="1:4" x14ac:dyDescent="0.4">
      <c r="A552" s="1" t="s">
        <v>1096</v>
      </c>
      <c r="B552" t="s">
        <v>1097</v>
      </c>
      <c r="C552" t="s">
        <v>5</v>
      </c>
      <c r="D552">
        <v>35400</v>
      </c>
    </row>
    <row r="553" spans="1:4" x14ac:dyDescent="0.4">
      <c r="A553" s="1" t="s">
        <v>1098</v>
      </c>
      <c r="B553" t="s">
        <v>1099</v>
      </c>
      <c r="C553" t="s">
        <v>5</v>
      </c>
      <c r="D553">
        <v>13600</v>
      </c>
    </row>
    <row r="554" spans="1:4" x14ac:dyDescent="0.4">
      <c r="A554" s="1" t="s">
        <v>1100</v>
      </c>
      <c r="B554" t="s">
        <v>1101</v>
      </c>
      <c r="C554" t="s">
        <v>5</v>
      </c>
      <c r="D554">
        <v>37600</v>
      </c>
    </row>
    <row r="555" spans="1:4" x14ac:dyDescent="0.4">
      <c r="A555" s="1" t="s">
        <v>1102</v>
      </c>
      <c r="B555" t="s">
        <v>1103</v>
      </c>
      <c r="C555" t="s">
        <v>5</v>
      </c>
      <c r="D555">
        <v>31200</v>
      </c>
    </row>
    <row r="556" spans="1:4" x14ac:dyDescent="0.4">
      <c r="A556" s="1" t="s">
        <v>1104</v>
      </c>
      <c r="B556" t="s">
        <v>1105</v>
      </c>
      <c r="C556" t="s">
        <v>5</v>
      </c>
      <c r="D556">
        <v>26400</v>
      </c>
    </row>
    <row r="557" spans="1:4" x14ac:dyDescent="0.4">
      <c r="A557" s="1" t="s">
        <v>1106</v>
      </c>
      <c r="B557" t="s">
        <v>1107</v>
      </c>
      <c r="C557" t="s">
        <v>5</v>
      </c>
      <c r="D557">
        <v>59400</v>
      </c>
    </row>
    <row r="558" spans="1:4" x14ac:dyDescent="0.4">
      <c r="A558" s="1" t="s">
        <v>1108</v>
      </c>
      <c r="B558" t="s">
        <v>1109</v>
      </c>
      <c r="C558" t="s">
        <v>5</v>
      </c>
      <c r="D558">
        <v>26400</v>
      </c>
    </row>
    <row r="559" spans="1:4" x14ac:dyDescent="0.4">
      <c r="A559" s="1" t="s">
        <v>1110</v>
      </c>
      <c r="B559" t="s">
        <v>1111</v>
      </c>
      <c r="C559" t="s">
        <v>5</v>
      </c>
      <c r="D559">
        <v>51000</v>
      </c>
    </row>
    <row r="560" spans="1:4" x14ac:dyDescent="0.4">
      <c r="A560" s="1" t="s">
        <v>1112</v>
      </c>
      <c r="B560" t="s">
        <v>1113</v>
      </c>
      <c r="C560" t="s">
        <v>5</v>
      </c>
      <c r="D560">
        <v>14000</v>
      </c>
    </row>
    <row r="561" spans="1:4" x14ac:dyDescent="0.4">
      <c r="A561" s="1" t="s">
        <v>1114</v>
      </c>
      <c r="B561" t="s">
        <v>1115</v>
      </c>
      <c r="C561" t="s">
        <v>5</v>
      </c>
    </row>
    <row r="562" spans="1:4" x14ac:dyDescent="0.4">
      <c r="A562" s="1" t="s">
        <v>1116</v>
      </c>
      <c r="B562" t="s">
        <v>1117</v>
      </c>
      <c r="C562" t="s">
        <v>5</v>
      </c>
    </row>
    <row r="563" spans="1:4" x14ac:dyDescent="0.4">
      <c r="A563" s="1" t="s">
        <v>1118</v>
      </c>
      <c r="B563" t="s">
        <v>1119</v>
      </c>
      <c r="C563" t="s">
        <v>5</v>
      </c>
    </row>
    <row r="564" spans="1:4" x14ac:dyDescent="0.4">
      <c r="A564" s="1" t="s">
        <v>1120</v>
      </c>
      <c r="B564" t="s">
        <v>1121</v>
      </c>
      <c r="C564" t="s">
        <v>5</v>
      </c>
    </row>
    <row r="565" spans="1:4" x14ac:dyDescent="0.4">
      <c r="A565" s="1" t="s">
        <v>1122</v>
      </c>
      <c r="B565" t="s">
        <v>1123</v>
      </c>
      <c r="C565" t="s">
        <v>5</v>
      </c>
      <c r="D565">
        <v>63736</v>
      </c>
    </row>
    <row r="566" spans="1:4" x14ac:dyDescent="0.4">
      <c r="A566" s="1" t="s">
        <v>1124</v>
      </c>
      <c r="B566" t="s">
        <v>1125</v>
      </c>
      <c r="C566" t="s">
        <v>5</v>
      </c>
      <c r="D566">
        <v>25500</v>
      </c>
    </row>
    <row r="567" spans="1:4" x14ac:dyDescent="0.4">
      <c r="A567" s="1" t="s">
        <v>1126</v>
      </c>
      <c r="B567" t="s">
        <v>1127</v>
      </c>
      <c r="C567" t="s">
        <v>5</v>
      </c>
      <c r="D567">
        <v>8100</v>
      </c>
    </row>
    <row r="568" spans="1:4" x14ac:dyDescent="0.4">
      <c r="A568" s="1" t="s">
        <v>1128</v>
      </c>
      <c r="B568" t="s">
        <v>1129</v>
      </c>
      <c r="C568" t="s">
        <v>5</v>
      </c>
      <c r="D568">
        <v>12300</v>
      </c>
    </row>
    <row r="569" spans="1:4" x14ac:dyDescent="0.4">
      <c r="A569" s="1" t="s">
        <v>1130</v>
      </c>
      <c r="B569" t="s">
        <v>1131</v>
      </c>
      <c r="C569" t="s">
        <v>5</v>
      </c>
      <c r="D569">
        <v>24200</v>
      </c>
    </row>
    <row r="570" spans="1:4" x14ac:dyDescent="0.4">
      <c r="A570" s="1" t="s">
        <v>1132</v>
      </c>
      <c r="B570" t="s">
        <v>1133</v>
      </c>
      <c r="C570" t="s">
        <v>5</v>
      </c>
      <c r="D570">
        <v>18300</v>
      </c>
    </row>
    <row r="571" spans="1:4" x14ac:dyDescent="0.4">
      <c r="A571" s="1" t="s">
        <v>1134</v>
      </c>
      <c r="B571" t="s">
        <v>1135</v>
      </c>
      <c r="C571" t="s">
        <v>5</v>
      </c>
      <c r="D571">
        <v>32600</v>
      </c>
    </row>
    <row r="572" spans="1:4" x14ac:dyDescent="0.4">
      <c r="A572" s="1" t="s">
        <v>1136</v>
      </c>
      <c r="B572" t="s">
        <v>1137</v>
      </c>
      <c r="C572" t="s">
        <v>5</v>
      </c>
      <c r="D572">
        <v>43700</v>
      </c>
    </row>
    <row r="573" spans="1:4" x14ac:dyDescent="0.4">
      <c r="A573" s="1" t="s">
        <v>1138</v>
      </c>
      <c r="B573" t="s">
        <v>1139</v>
      </c>
      <c r="C573" t="s">
        <v>5</v>
      </c>
      <c r="D573">
        <v>18300</v>
      </c>
    </row>
    <row r="574" spans="1:4" x14ac:dyDescent="0.4">
      <c r="A574" s="1" t="s">
        <v>1140</v>
      </c>
      <c r="B574" t="s">
        <v>1141</v>
      </c>
      <c r="C574" t="s">
        <v>5</v>
      </c>
      <c r="D574">
        <v>32600</v>
      </c>
    </row>
    <row r="575" spans="1:4" x14ac:dyDescent="0.4">
      <c r="A575" s="1" t="s">
        <v>1142</v>
      </c>
      <c r="B575" t="s">
        <v>1143</v>
      </c>
      <c r="C575" t="s">
        <v>5</v>
      </c>
      <c r="D575">
        <v>18300</v>
      </c>
    </row>
    <row r="576" spans="1:4" x14ac:dyDescent="0.4">
      <c r="A576" s="1" t="s">
        <v>1144</v>
      </c>
      <c r="B576" t="s">
        <v>1145</v>
      </c>
      <c r="C576" t="s">
        <v>5</v>
      </c>
      <c r="D576">
        <v>32600</v>
      </c>
    </row>
    <row r="577" spans="1:4" x14ac:dyDescent="0.4">
      <c r="A577" s="1" t="s">
        <v>1146</v>
      </c>
      <c r="B577" t="s">
        <v>1147</v>
      </c>
      <c r="C577" t="s">
        <v>5</v>
      </c>
      <c r="D577">
        <v>42540</v>
      </c>
    </row>
    <row r="578" spans="1:4" x14ac:dyDescent="0.4">
      <c r="A578" s="1" t="s">
        <v>1148</v>
      </c>
      <c r="B578" t="s">
        <v>1149</v>
      </c>
      <c r="C578" t="s">
        <v>5</v>
      </c>
      <c r="D578">
        <v>10500</v>
      </c>
    </row>
    <row r="579" spans="1:4" x14ac:dyDescent="0.4">
      <c r="A579" s="1" t="s">
        <v>1150</v>
      </c>
      <c r="B579" t="s">
        <v>1151</v>
      </c>
      <c r="C579" t="s">
        <v>5</v>
      </c>
      <c r="D579">
        <v>23640</v>
      </c>
    </row>
    <row r="580" spans="1:4" x14ac:dyDescent="0.4">
      <c r="A580" s="1" t="s">
        <v>1152</v>
      </c>
      <c r="B580" t="s">
        <v>1153</v>
      </c>
      <c r="C580" t="s">
        <v>5</v>
      </c>
      <c r="D580">
        <v>50500</v>
      </c>
    </row>
    <row r="581" spans="1:4" x14ac:dyDescent="0.4">
      <c r="A581" s="1" t="s">
        <v>1154</v>
      </c>
      <c r="B581" t="s">
        <v>1155</v>
      </c>
      <c r="C581" t="s">
        <v>5</v>
      </c>
      <c r="D581">
        <v>79800</v>
      </c>
    </row>
    <row r="582" spans="1:4" x14ac:dyDescent="0.4">
      <c r="A582" s="1" t="s">
        <v>1156</v>
      </c>
      <c r="B582" t="s">
        <v>1157</v>
      </c>
      <c r="C582" t="s">
        <v>5</v>
      </c>
      <c r="D582">
        <v>25600</v>
      </c>
    </row>
    <row r="583" spans="1:4" x14ac:dyDescent="0.4">
      <c r="A583" s="1" t="s">
        <v>1158</v>
      </c>
      <c r="B583" t="s">
        <v>1159</v>
      </c>
      <c r="C583" t="s">
        <v>5</v>
      </c>
      <c r="D583">
        <v>5100</v>
      </c>
    </row>
    <row r="584" spans="1:4" x14ac:dyDescent="0.4">
      <c r="A584" s="1" t="s">
        <v>1160</v>
      </c>
      <c r="B584" t="s">
        <v>1161</v>
      </c>
      <c r="C584" t="s">
        <v>5</v>
      </c>
      <c r="D584">
        <v>8500</v>
      </c>
    </row>
    <row r="585" spans="1:4" x14ac:dyDescent="0.4">
      <c r="A585" s="1" t="s">
        <v>1162</v>
      </c>
      <c r="B585" t="s">
        <v>1163</v>
      </c>
      <c r="D585">
        <v>468000</v>
      </c>
    </row>
    <row r="586" spans="1:4" x14ac:dyDescent="0.4">
      <c r="A586" s="1" t="s">
        <v>1164</v>
      </c>
      <c r="B586" t="s">
        <v>1165</v>
      </c>
      <c r="C586" t="s">
        <v>5</v>
      </c>
      <c r="D586">
        <v>52700</v>
      </c>
    </row>
    <row r="587" spans="1:4" x14ac:dyDescent="0.4">
      <c r="A587" s="1" t="s">
        <v>1166</v>
      </c>
      <c r="B587" t="s">
        <v>1167</v>
      </c>
      <c r="C587" t="s">
        <v>5</v>
      </c>
      <c r="D587">
        <v>69800</v>
      </c>
    </row>
    <row r="588" spans="1:4" x14ac:dyDescent="0.4">
      <c r="A588" s="1" t="s">
        <v>1168</v>
      </c>
      <c r="B588" t="s">
        <v>1169</v>
      </c>
      <c r="C588" t="s">
        <v>5</v>
      </c>
      <c r="D588">
        <v>35400</v>
      </c>
    </row>
    <row r="589" spans="1:4" x14ac:dyDescent="0.4">
      <c r="A589" s="1" t="s">
        <v>1170</v>
      </c>
      <c r="B589" t="s">
        <v>1171</v>
      </c>
      <c r="C589" t="s">
        <v>5</v>
      </c>
      <c r="D589">
        <v>35400</v>
      </c>
    </row>
    <row r="590" spans="1:4" x14ac:dyDescent="0.4">
      <c r="A590" s="1" t="s">
        <v>1172</v>
      </c>
      <c r="B590" t="s">
        <v>1173</v>
      </c>
      <c r="C590" t="s">
        <v>5</v>
      </c>
      <c r="D590">
        <v>9400</v>
      </c>
    </row>
    <row r="591" spans="1:4" x14ac:dyDescent="0.4">
      <c r="A591" s="1" t="s">
        <v>1174</v>
      </c>
      <c r="B591" t="s">
        <v>1175</v>
      </c>
      <c r="C591" t="s">
        <v>5</v>
      </c>
      <c r="D591">
        <v>10200</v>
      </c>
    </row>
    <row r="592" spans="1:4" x14ac:dyDescent="0.4">
      <c r="A592" s="1" t="s">
        <v>1176</v>
      </c>
      <c r="B592" t="s">
        <v>1177</v>
      </c>
      <c r="C592" t="s">
        <v>5</v>
      </c>
      <c r="D592">
        <v>12300</v>
      </c>
    </row>
    <row r="593" spans="1:4" x14ac:dyDescent="0.4">
      <c r="A593" s="1" t="s">
        <v>1178</v>
      </c>
      <c r="B593" t="s">
        <v>1179</v>
      </c>
      <c r="C593" t="s">
        <v>5</v>
      </c>
      <c r="D593">
        <v>27520</v>
      </c>
    </row>
    <row r="594" spans="1:4" x14ac:dyDescent="0.4">
      <c r="A594" s="1" t="s">
        <v>1180</v>
      </c>
      <c r="B594" t="s">
        <v>1181</v>
      </c>
      <c r="C594" t="s">
        <v>5</v>
      </c>
      <c r="D594">
        <v>7900</v>
      </c>
    </row>
    <row r="595" spans="1:4" x14ac:dyDescent="0.4">
      <c r="A595" s="1" t="s">
        <v>1182</v>
      </c>
      <c r="B595" t="s">
        <v>1183</v>
      </c>
      <c r="C595" t="s">
        <v>5</v>
      </c>
      <c r="D595">
        <v>10400</v>
      </c>
    </row>
    <row r="596" spans="1:4" x14ac:dyDescent="0.4">
      <c r="A596" s="1" t="s">
        <v>1184</v>
      </c>
      <c r="B596" t="s">
        <v>1185</v>
      </c>
      <c r="C596" t="s">
        <v>5</v>
      </c>
      <c r="D596">
        <v>27300</v>
      </c>
    </row>
    <row r="597" spans="1:4" x14ac:dyDescent="0.4">
      <c r="A597" s="1" t="s">
        <v>1186</v>
      </c>
      <c r="B597" t="e">
        <f>-終息-NEC PR-#REF!-12</f>
        <v>#NAME?</v>
      </c>
      <c r="C597" t="s">
        <v>5</v>
      </c>
    </row>
    <row r="598" spans="1:4" x14ac:dyDescent="0.4">
      <c r="A598" s="1" t="s">
        <v>1187</v>
      </c>
      <c r="B598" t="s">
        <v>1188</v>
      </c>
      <c r="C598" t="s">
        <v>5</v>
      </c>
      <c r="D598">
        <v>25000</v>
      </c>
    </row>
    <row r="599" spans="1:4" x14ac:dyDescent="0.4">
      <c r="A599" s="1" t="s">
        <v>1189</v>
      </c>
      <c r="B599" t="s">
        <v>1190</v>
      </c>
      <c r="C599" t="s">
        <v>5</v>
      </c>
      <c r="D599">
        <v>25600</v>
      </c>
    </row>
    <row r="600" spans="1:4" x14ac:dyDescent="0.4">
      <c r="A600" s="1" t="s">
        <v>1191</v>
      </c>
      <c r="B600" t="s">
        <v>1192</v>
      </c>
      <c r="C600" t="s">
        <v>5</v>
      </c>
      <c r="D600">
        <v>48000</v>
      </c>
    </row>
    <row r="601" spans="1:4" x14ac:dyDescent="0.4">
      <c r="A601" s="1" t="s">
        <v>1193</v>
      </c>
      <c r="B601" t="s">
        <v>1194</v>
      </c>
      <c r="C601" t="s">
        <v>5</v>
      </c>
      <c r="D601">
        <v>55100</v>
      </c>
    </row>
    <row r="602" spans="1:4" x14ac:dyDescent="0.4">
      <c r="A602" s="1" t="s">
        <v>1195</v>
      </c>
      <c r="B602" t="s">
        <v>1196</v>
      </c>
      <c r="C602" t="s">
        <v>5</v>
      </c>
    </row>
    <row r="603" spans="1:4" x14ac:dyDescent="0.4">
      <c r="A603" s="1" t="s">
        <v>1197</v>
      </c>
      <c r="B603" t="s">
        <v>1198</v>
      </c>
      <c r="C603" t="s">
        <v>5</v>
      </c>
      <c r="D603">
        <v>89100</v>
      </c>
    </row>
    <row r="604" spans="1:4" x14ac:dyDescent="0.4">
      <c r="A604" s="1" t="s">
        <v>1199</v>
      </c>
      <c r="B604" t="s">
        <v>1200</v>
      </c>
      <c r="C604" t="s">
        <v>5</v>
      </c>
      <c r="D604">
        <v>27840</v>
      </c>
    </row>
    <row r="605" spans="1:4" x14ac:dyDescent="0.4">
      <c r="A605" s="1" t="s">
        <v>1201</v>
      </c>
      <c r="B605" t="s">
        <v>1202</v>
      </c>
      <c r="C605" t="s">
        <v>5</v>
      </c>
      <c r="D605">
        <v>9600</v>
      </c>
    </row>
    <row r="606" spans="1:4" x14ac:dyDescent="0.4">
      <c r="A606" s="1" t="s">
        <v>1203</v>
      </c>
      <c r="B606" t="s">
        <v>1204</v>
      </c>
      <c r="C606" t="s">
        <v>5</v>
      </c>
      <c r="D606">
        <v>21000</v>
      </c>
    </row>
    <row r="607" spans="1:4" x14ac:dyDescent="0.4">
      <c r="A607" s="1" t="s">
        <v>1205</v>
      </c>
      <c r="B607" t="s">
        <v>1206</v>
      </c>
      <c r="C607" t="s">
        <v>5</v>
      </c>
      <c r="D607">
        <v>10200</v>
      </c>
    </row>
    <row r="608" spans="1:4" x14ac:dyDescent="0.4">
      <c r="A608" s="1" t="s">
        <v>1207</v>
      </c>
      <c r="B608" t="s">
        <v>1208</v>
      </c>
      <c r="C608" t="s">
        <v>1209</v>
      </c>
      <c r="D608">
        <v>25600</v>
      </c>
    </row>
    <row r="609" spans="1:4" x14ac:dyDescent="0.4">
      <c r="A609" s="1" t="s">
        <v>1210</v>
      </c>
      <c r="B609" t="s">
        <v>1211</v>
      </c>
      <c r="C609" t="s">
        <v>5</v>
      </c>
      <c r="D609">
        <v>41500</v>
      </c>
    </row>
    <row r="610" spans="1:4" x14ac:dyDescent="0.4">
      <c r="A610" s="1" t="s">
        <v>1212</v>
      </c>
      <c r="B610" t="s">
        <v>1213</v>
      </c>
      <c r="C610" t="s">
        <v>5</v>
      </c>
    </row>
    <row r="611" spans="1:4" x14ac:dyDescent="0.4">
      <c r="A611" s="1" t="s">
        <v>1214</v>
      </c>
      <c r="B611" t="s">
        <v>1215</v>
      </c>
      <c r="C611" t="s">
        <v>5</v>
      </c>
      <c r="D611">
        <v>51400</v>
      </c>
    </row>
    <row r="612" spans="1:4" x14ac:dyDescent="0.4">
      <c r="A612" s="1" t="s">
        <v>1216</v>
      </c>
      <c r="B612" t="s">
        <v>1217</v>
      </c>
      <c r="C612" t="s">
        <v>5</v>
      </c>
    </row>
    <row r="613" spans="1:4" x14ac:dyDescent="0.4">
      <c r="A613" s="1" t="s">
        <v>1218</v>
      </c>
      <c r="B613" t="s">
        <v>1219</v>
      </c>
      <c r="C613" t="s">
        <v>5</v>
      </c>
      <c r="D613">
        <v>13600</v>
      </c>
    </row>
    <row r="614" spans="1:4" x14ac:dyDescent="0.4">
      <c r="A614" s="1" t="s">
        <v>1220</v>
      </c>
      <c r="B614" t="s">
        <v>1221</v>
      </c>
      <c r="C614" t="s">
        <v>5</v>
      </c>
      <c r="D614">
        <v>27400</v>
      </c>
    </row>
    <row r="615" spans="1:4" x14ac:dyDescent="0.4">
      <c r="A615" s="1" t="s">
        <v>1222</v>
      </c>
      <c r="B615" t="s">
        <v>1223</v>
      </c>
      <c r="C615" t="s">
        <v>5</v>
      </c>
      <c r="D615">
        <v>21400</v>
      </c>
    </row>
    <row r="616" spans="1:4" x14ac:dyDescent="0.4">
      <c r="A616" s="1" t="s">
        <v>1224</v>
      </c>
      <c r="B616" t="s">
        <v>1225</v>
      </c>
      <c r="C616" t="s">
        <v>5</v>
      </c>
      <c r="D616">
        <v>22400</v>
      </c>
    </row>
    <row r="617" spans="1:4" x14ac:dyDescent="0.4">
      <c r="A617" s="1" t="s">
        <v>1226</v>
      </c>
      <c r="B617" t="s">
        <v>1227</v>
      </c>
      <c r="C617" t="s">
        <v>5</v>
      </c>
      <c r="D617">
        <v>44000</v>
      </c>
    </row>
    <row r="618" spans="1:4" x14ac:dyDescent="0.4">
      <c r="A618" s="1" t="s">
        <v>1228</v>
      </c>
      <c r="B618" t="s">
        <v>1229</v>
      </c>
      <c r="C618" t="s">
        <v>5</v>
      </c>
      <c r="D618">
        <v>10200</v>
      </c>
    </row>
    <row r="619" spans="1:4" x14ac:dyDescent="0.4">
      <c r="A619" s="1" t="s">
        <v>1230</v>
      </c>
      <c r="B619" t="s">
        <v>1231</v>
      </c>
      <c r="C619" t="s">
        <v>5</v>
      </c>
      <c r="D619">
        <v>28700</v>
      </c>
    </row>
    <row r="620" spans="1:4" x14ac:dyDescent="0.4">
      <c r="A620" s="1" t="s">
        <v>1232</v>
      </c>
      <c r="B620" t="s">
        <v>1233</v>
      </c>
      <c r="C620" t="s">
        <v>5</v>
      </c>
      <c r="D620">
        <v>4700</v>
      </c>
    </row>
    <row r="621" spans="1:4" x14ac:dyDescent="0.4">
      <c r="A621" s="1" t="s">
        <v>1234</v>
      </c>
      <c r="B621" t="s">
        <v>1235</v>
      </c>
      <c r="C621" t="s">
        <v>5</v>
      </c>
      <c r="D621">
        <v>4700</v>
      </c>
    </row>
    <row r="622" spans="1:4" x14ac:dyDescent="0.4">
      <c r="A622" s="1" t="s">
        <v>1236</v>
      </c>
      <c r="B622" t="s">
        <v>1237</v>
      </c>
      <c r="C622" t="s">
        <v>5</v>
      </c>
      <c r="D622">
        <v>4700</v>
      </c>
    </row>
    <row r="623" spans="1:4" x14ac:dyDescent="0.4">
      <c r="A623" s="1" t="s">
        <v>1238</v>
      </c>
      <c r="B623" t="s">
        <v>1239</v>
      </c>
      <c r="C623" t="s">
        <v>5</v>
      </c>
      <c r="D623">
        <v>3300</v>
      </c>
    </row>
    <row r="624" spans="1:4" x14ac:dyDescent="0.4">
      <c r="A624" s="1" t="s">
        <v>1240</v>
      </c>
      <c r="B624" t="s">
        <v>1241</v>
      </c>
      <c r="C624" t="s">
        <v>5</v>
      </c>
      <c r="D624">
        <v>7200</v>
      </c>
    </row>
    <row r="625" spans="1:4" x14ac:dyDescent="0.4">
      <c r="A625" s="1" t="s">
        <v>1242</v>
      </c>
      <c r="B625" t="s">
        <v>1243</v>
      </c>
      <c r="C625" t="s">
        <v>5</v>
      </c>
      <c r="D625">
        <v>7200</v>
      </c>
    </row>
    <row r="626" spans="1:4" x14ac:dyDescent="0.4">
      <c r="A626" s="1" t="s">
        <v>1244</v>
      </c>
      <c r="B626" t="s">
        <v>1245</v>
      </c>
      <c r="C626" t="s">
        <v>5</v>
      </c>
      <c r="D626">
        <v>7200</v>
      </c>
    </row>
    <row r="627" spans="1:4" x14ac:dyDescent="0.4">
      <c r="A627" s="1" t="s">
        <v>1246</v>
      </c>
      <c r="B627" t="s">
        <v>1247</v>
      </c>
      <c r="C627" t="s">
        <v>5</v>
      </c>
      <c r="D627">
        <v>6900</v>
      </c>
    </row>
    <row r="628" spans="1:4" x14ac:dyDescent="0.4">
      <c r="A628" s="1" t="s">
        <v>1248</v>
      </c>
      <c r="B628" t="s">
        <v>1249</v>
      </c>
      <c r="C628" t="s">
        <v>5</v>
      </c>
      <c r="D628">
        <v>5900</v>
      </c>
    </row>
    <row r="629" spans="1:4" x14ac:dyDescent="0.4">
      <c r="A629" s="1" t="s">
        <v>1250</v>
      </c>
      <c r="B629" t="s">
        <v>1251</v>
      </c>
      <c r="C629" t="s">
        <v>5</v>
      </c>
      <c r="D629">
        <v>5900</v>
      </c>
    </row>
    <row r="630" spans="1:4" x14ac:dyDescent="0.4">
      <c r="A630" s="1" t="s">
        <v>1252</v>
      </c>
      <c r="B630" t="s">
        <v>1253</v>
      </c>
      <c r="C630" t="s">
        <v>5</v>
      </c>
      <c r="D630">
        <v>5900</v>
      </c>
    </row>
    <row r="631" spans="1:4" x14ac:dyDescent="0.4">
      <c r="A631" s="1" t="s">
        <v>1254</v>
      </c>
      <c r="B631" t="s">
        <v>1255</v>
      </c>
      <c r="C631" t="s">
        <v>5</v>
      </c>
      <c r="D631">
        <v>2900</v>
      </c>
    </row>
    <row r="632" spans="1:4" x14ac:dyDescent="0.4">
      <c r="A632" s="1" t="s">
        <v>1256</v>
      </c>
      <c r="B632" t="s">
        <v>1257</v>
      </c>
      <c r="C632" t="s">
        <v>5</v>
      </c>
      <c r="D632">
        <v>9100</v>
      </c>
    </row>
    <row r="633" spans="1:4" x14ac:dyDescent="0.4">
      <c r="A633" s="1" t="s">
        <v>1258</v>
      </c>
      <c r="B633" t="s">
        <v>1259</v>
      </c>
      <c r="C633" t="s">
        <v>5</v>
      </c>
      <c r="D633">
        <v>9100</v>
      </c>
    </row>
    <row r="634" spans="1:4" x14ac:dyDescent="0.4">
      <c r="A634" s="1" t="s">
        <v>1260</v>
      </c>
      <c r="B634" t="s">
        <v>1261</v>
      </c>
      <c r="C634" t="s">
        <v>5</v>
      </c>
      <c r="D634">
        <v>9100</v>
      </c>
    </row>
    <row r="635" spans="1:4" x14ac:dyDescent="0.4">
      <c r="A635" s="1" t="s">
        <v>1262</v>
      </c>
      <c r="B635" t="s">
        <v>1263</v>
      </c>
      <c r="C635" t="s">
        <v>5</v>
      </c>
      <c r="D635">
        <v>4300</v>
      </c>
    </row>
    <row r="636" spans="1:4" x14ac:dyDescent="0.4">
      <c r="A636" s="1" t="s">
        <v>1264</v>
      </c>
      <c r="B636" t="s">
        <v>1265</v>
      </c>
      <c r="C636" t="s">
        <v>5</v>
      </c>
      <c r="D636">
        <v>6400</v>
      </c>
    </row>
    <row r="637" spans="1:4" x14ac:dyDescent="0.4">
      <c r="A637" s="1" t="s">
        <v>1266</v>
      </c>
      <c r="B637" t="s">
        <v>1267</v>
      </c>
      <c r="C637" t="s">
        <v>5</v>
      </c>
      <c r="D637">
        <v>21700</v>
      </c>
    </row>
    <row r="638" spans="1:4" x14ac:dyDescent="0.4">
      <c r="A638" s="1" t="s">
        <v>1268</v>
      </c>
      <c r="B638" t="s">
        <v>1269</v>
      </c>
      <c r="C638" t="s">
        <v>5</v>
      </c>
      <c r="D638">
        <v>17400</v>
      </c>
    </row>
    <row r="639" spans="1:4" x14ac:dyDescent="0.4">
      <c r="A639" s="1" t="s">
        <v>1270</v>
      </c>
      <c r="B639" t="s">
        <v>1271</v>
      </c>
      <c r="C639" t="s">
        <v>5</v>
      </c>
      <c r="D639">
        <v>1400</v>
      </c>
    </row>
    <row r="640" spans="1:4" x14ac:dyDescent="0.4">
      <c r="A640" s="1" t="s">
        <v>1272</v>
      </c>
      <c r="B640" t="s">
        <v>1273</v>
      </c>
      <c r="C640" t="s">
        <v>5</v>
      </c>
      <c r="D640">
        <v>10000</v>
      </c>
    </row>
    <row r="641" spans="1:4" x14ac:dyDescent="0.4">
      <c r="A641" s="1" t="s">
        <v>1274</v>
      </c>
      <c r="B641" t="s">
        <v>1275</v>
      </c>
      <c r="C641" t="s">
        <v>5</v>
      </c>
      <c r="D641">
        <v>10000</v>
      </c>
    </row>
    <row r="642" spans="1:4" x14ac:dyDescent="0.4">
      <c r="A642" s="1" t="s">
        <v>1276</v>
      </c>
      <c r="B642" t="s">
        <v>1277</v>
      </c>
      <c r="C642" t="s">
        <v>5</v>
      </c>
      <c r="D642">
        <v>10000</v>
      </c>
    </row>
    <row r="643" spans="1:4" x14ac:dyDescent="0.4">
      <c r="A643" s="1" t="s">
        <v>1278</v>
      </c>
      <c r="B643" t="s">
        <v>1279</v>
      </c>
      <c r="C643" t="s">
        <v>5</v>
      </c>
      <c r="D643">
        <v>7200</v>
      </c>
    </row>
    <row r="644" spans="1:4" x14ac:dyDescent="0.4">
      <c r="A644" s="1" t="s">
        <v>1280</v>
      </c>
      <c r="B644" t="s">
        <v>1281</v>
      </c>
      <c r="C644" t="s">
        <v>5</v>
      </c>
      <c r="D644">
        <v>9600</v>
      </c>
    </row>
    <row r="645" spans="1:4" x14ac:dyDescent="0.4">
      <c r="A645" s="1" t="s">
        <v>1282</v>
      </c>
      <c r="B645" t="s">
        <v>1283</v>
      </c>
      <c r="C645" t="s">
        <v>5</v>
      </c>
      <c r="D645">
        <v>9600</v>
      </c>
    </row>
    <row r="646" spans="1:4" x14ac:dyDescent="0.4">
      <c r="A646" s="1" t="s">
        <v>1284</v>
      </c>
      <c r="B646" t="s">
        <v>1285</v>
      </c>
      <c r="C646" t="s">
        <v>5</v>
      </c>
      <c r="D646">
        <v>9600</v>
      </c>
    </row>
    <row r="647" spans="1:4" x14ac:dyDescent="0.4">
      <c r="A647" s="1" t="s">
        <v>1286</v>
      </c>
      <c r="B647" t="s">
        <v>1287</v>
      </c>
      <c r="C647" t="s">
        <v>5</v>
      </c>
      <c r="D647">
        <v>9600</v>
      </c>
    </row>
    <row r="648" spans="1:4" x14ac:dyDescent="0.4">
      <c r="A648" s="1" t="s">
        <v>1288</v>
      </c>
      <c r="B648" t="s">
        <v>1289</v>
      </c>
      <c r="C648" t="s">
        <v>5</v>
      </c>
      <c r="D648">
        <v>3800</v>
      </c>
    </row>
    <row r="649" spans="1:4" x14ac:dyDescent="0.4">
      <c r="A649" s="1" t="s">
        <v>1290</v>
      </c>
      <c r="B649" t="s">
        <v>1291</v>
      </c>
      <c r="C649" t="s">
        <v>5</v>
      </c>
      <c r="D649">
        <v>14600</v>
      </c>
    </row>
    <row r="650" spans="1:4" x14ac:dyDescent="0.4">
      <c r="A650" s="1" t="s">
        <v>1292</v>
      </c>
      <c r="B650" t="s">
        <v>1293</v>
      </c>
      <c r="C650" t="s">
        <v>5</v>
      </c>
      <c r="D650">
        <v>14600</v>
      </c>
    </row>
    <row r="651" spans="1:4" x14ac:dyDescent="0.4">
      <c r="A651" s="1" t="s">
        <v>1294</v>
      </c>
      <c r="B651" t="s">
        <v>1295</v>
      </c>
      <c r="C651" t="s">
        <v>5</v>
      </c>
      <c r="D651">
        <v>14600</v>
      </c>
    </row>
    <row r="652" spans="1:4" x14ac:dyDescent="0.4">
      <c r="A652" s="1" t="s">
        <v>1296</v>
      </c>
      <c r="B652" t="s">
        <v>1297</v>
      </c>
      <c r="C652" t="s">
        <v>5</v>
      </c>
      <c r="D652">
        <v>10800</v>
      </c>
    </row>
    <row r="653" spans="1:4" x14ac:dyDescent="0.4">
      <c r="A653" s="1" t="s">
        <v>1298</v>
      </c>
      <c r="B653" t="s">
        <v>1299</v>
      </c>
      <c r="C653" t="s">
        <v>5</v>
      </c>
      <c r="D653">
        <v>24600</v>
      </c>
    </row>
    <row r="654" spans="1:4" x14ac:dyDescent="0.4">
      <c r="A654" s="1" t="s">
        <v>1300</v>
      </c>
      <c r="B654" t="s">
        <v>1301</v>
      </c>
      <c r="C654" t="s">
        <v>5</v>
      </c>
      <c r="D654">
        <v>24600</v>
      </c>
    </row>
    <row r="655" spans="1:4" x14ac:dyDescent="0.4">
      <c r="A655" s="1" t="s">
        <v>1302</v>
      </c>
      <c r="B655" t="s">
        <v>1303</v>
      </c>
      <c r="C655" t="s">
        <v>5</v>
      </c>
      <c r="D655">
        <v>24600</v>
      </c>
    </row>
    <row r="656" spans="1:4" x14ac:dyDescent="0.4">
      <c r="A656" s="1" t="s">
        <v>1304</v>
      </c>
      <c r="B656" t="s">
        <v>1305</v>
      </c>
      <c r="C656" t="s">
        <v>5</v>
      </c>
      <c r="D656">
        <v>19800</v>
      </c>
    </row>
    <row r="657" spans="1:4" x14ac:dyDescent="0.4">
      <c r="A657" s="1" t="s">
        <v>1306</v>
      </c>
      <c r="B657" t="s">
        <v>1307</v>
      </c>
      <c r="C657" t="s">
        <v>5</v>
      </c>
      <c r="D657">
        <v>21000</v>
      </c>
    </row>
    <row r="658" spans="1:4" x14ac:dyDescent="0.4">
      <c r="A658" s="1" t="s">
        <v>1308</v>
      </c>
      <c r="B658" t="s">
        <v>1309</v>
      </c>
      <c r="C658" t="s">
        <v>5</v>
      </c>
      <c r="D658">
        <v>21000</v>
      </c>
    </row>
    <row r="659" spans="1:4" x14ac:dyDescent="0.4">
      <c r="A659" s="1" t="s">
        <v>1310</v>
      </c>
      <c r="B659" t="s">
        <v>1311</v>
      </c>
      <c r="C659" t="s">
        <v>5</v>
      </c>
      <c r="D659">
        <v>21000</v>
      </c>
    </row>
    <row r="660" spans="1:4" x14ac:dyDescent="0.4">
      <c r="A660" s="1" t="s">
        <v>1312</v>
      </c>
      <c r="B660" t="s">
        <v>1313</v>
      </c>
      <c r="C660" t="s">
        <v>5</v>
      </c>
      <c r="D660">
        <v>21000</v>
      </c>
    </row>
    <row r="661" spans="1:4" x14ac:dyDescent="0.4">
      <c r="A661" s="1" t="s">
        <v>1314</v>
      </c>
      <c r="B661" t="s">
        <v>1315</v>
      </c>
      <c r="C661" t="s">
        <v>5</v>
      </c>
      <c r="D661">
        <v>40200</v>
      </c>
    </row>
    <row r="662" spans="1:4" x14ac:dyDescent="0.4">
      <c r="A662" s="1" t="s">
        <v>1316</v>
      </c>
      <c r="B662" t="s">
        <v>1317</v>
      </c>
      <c r="C662" t="s">
        <v>5</v>
      </c>
      <c r="D662">
        <v>40200</v>
      </c>
    </row>
    <row r="663" spans="1:4" x14ac:dyDescent="0.4">
      <c r="A663" s="1" t="s">
        <v>1318</v>
      </c>
      <c r="B663" t="s">
        <v>1319</v>
      </c>
      <c r="C663" t="s">
        <v>5</v>
      </c>
      <c r="D663">
        <v>40200</v>
      </c>
    </row>
    <row r="664" spans="1:4" x14ac:dyDescent="0.4">
      <c r="A664" s="1" t="s">
        <v>1320</v>
      </c>
      <c r="B664" t="s">
        <v>1321</v>
      </c>
      <c r="C664" t="s">
        <v>5</v>
      </c>
      <c r="D664">
        <v>28600</v>
      </c>
    </row>
    <row r="665" spans="1:4" x14ac:dyDescent="0.4">
      <c r="A665" s="1" t="s">
        <v>1322</v>
      </c>
      <c r="B665" t="s">
        <v>1323</v>
      </c>
      <c r="C665" t="s">
        <v>5</v>
      </c>
      <c r="D665">
        <v>48800</v>
      </c>
    </row>
    <row r="666" spans="1:4" x14ac:dyDescent="0.4">
      <c r="A666" s="1" t="s">
        <v>1324</v>
      </c>
      <c r="B666" t="s">
        <v>1325</v>
      </c>
      <c r="C666" t="s">
        <v>5</v>
      </c>
      <c r="D666">
        <v>3800</v>
      </c>
    </row>
    <row r="667" spans="1:4" x14ac:dyDescent="0.4">
      <c r="A667" s="1" t="s">
        <v>1326</v>
      </c>
      <c r="B667" t="s">
        <v>1327</v>
      </c>
      <c r="C667" t="s">
        <v>5</v>
      </c>
      <c r="D667">
        <v>65000</v>
      </c>
    </row>
    <row r="668" spans="1:4" x14ac:dyDescent="0.4">
      <c r="A668" s="1" t="s">
        <v>1328</v>
      </c>
      <c r="B668" t="s">
        <v>1329</v>
      </c>
      <c r="C668" t="s">
        <v>5</v>
      </c>
      <c r="D668">
        <v>141000</v>
      </c>
    </row>
    <row r="669" spans="1:4" x14ac:dyDescent="0.4">
      <c r="A669" s="1" t="s">
        <v>1330</v>
      </c>
      <c r="B669" t="s">
        <v>1331</v>
      </c>
      <c r="C669" t="s">
        <v>5</v>
      </c>
      <c r="D669">
        <v>16000</v>
      </c>
    </row>
    <row r="670" spans="1:4" x14ac:dyDescent="0.4">
      <c r="A670" s="1" t="s">
        <v>1332</v>
      </c>
      <c r="B670" t="s">
        <v>1333</v>
      </c>
      <c r="C670" t="s">
        <v>5</v>
      </c>
    </row>
    <row r="671" spans="1:4" x14ac:dyDescent="0.4">
      <c r="A671" s="1" t="s">
        <v>1334</v>
      </c>
      <c r="B671" t="s">
        <v>1335</v>
      </c>
      <c r="C671" t="s">
        <v>5</v>
      </c>
      <c r="D671">
        <v>73000</v>
      </c>
    </row>
    <row r="672" spans="1:4" x14ac:dyDescent="0.4">
      <c r="A672" s="1" t="s">
        <v>1336</v>
      </c>
      <c r="B672" t="s">
        <v>1337</v>
      </c>
      <c r="C672" t="s">
        <v>5</v>
      </c>
    </row>
    <row r="673" spans="1:4" x14ac:dyDescent="0.4">
      <c r="A673" s="1" t="s">
        <v>1338</v>
      </c>
      <c r="B673" t="s">
        <v>1339</v>
      </c>
      <c r="C673" t="s">
        <v>5</v>
      </c>
    </row>
    <row r="674" spans="1:4" x14ac:dyDescent="0.4">
      <c r="A674" s="1" t="s">
        <v>1340</v>
      </c>
      <c r="B674" t="s">
        <v>1341</v>
      </c>
      <c r="C674" t="s">
        <v>5</v>
      </c>
    </row>
    <row r="675" spans="1:4" x14ac:dyDescent="0.4">
      <c r="A675" s="1" t="s">
        <v>1342</v>
      </c>
      <c r="B675" t="s">
        <v>1343</v>
      </c>
      <c r="C675" t="s">
        <v>5</v>
      </c>
      <c r="D675">
        <v>3500</v>
      </c>
    </row>
    <row r="676" spans="1:4" x14ac:dyDescent="0.4">
      <c r="A676" s="1" t="s">
        <v>1344</v>
      </c>
      <c r="B676" t="s">
        <v>1345</v>
      </c>
      <c r="C676" t="s">
        <v>5</v>
      </c>
      <c r="D676">
        <v>16800</v>
      </c>
    </row>
    <row r="677" spans="1:4" x14ac:dyDescent="0.4">
      <c r="A677" s="1" t="s">
        <v>1346</v>
      </c>
      <c r="B677" t="s">
        <v>1347</v>
      </c>
      <c r="C677" t="s">
        <v>5</v>
      </c>
      <c r="D677">
        <v>16800</v>
      </c>
    </row>
    <row r="678" spans="1:4" x14ac:dyDescent="0.4">
      <c r="A678" s="1" t="s">
        <v>1348</v>
      </c>
      <c r="B678" t="s">
        <v>1349</v>
      </c>
      <c r="C678" t="s">
        <v>5</v>
      </c>
      <c r="D678">
        <v>16800</v>
      </c>
    </row>
    <row r="679" spans="1:4" x14ac:dyDescent="0.4">
      <c r="A679" s="1" t="s">
        <v>1350</v>
      </c>
      <c r="B679" t="s">
        <v>1351</v>
      </c>
      <c r="C679" t="s">
        <v>5</v>
      </c>
      <c r="D679">
        <v>17100</v>
      </c>
    </row>
    <row r="680" spans="1:4" x14ac:dyDescent="0.4">
      <c r="A680" s="1" t="s">
        <v>1352</v>
      </c>
      <c r="B680" t="s">
        <v>1353</v>
      </c>
      <c r="C680" t="s">
        <v>5</v>
      </c>
      <c r="D680">
        <v>17300</v>
      </c>
    </row>
    <row r="681" spans="1:4" x14ac:dyDescent="0.4">
      <c r="A681" s="1" t="s">
        <v>1354</v>
      </c>
      <c r="B681" t="s">
        <v>1355</v>
      </c>
      <c r="C681" t="s">
        <v>5</v>
      </c>
      <c r="D681">
        <v>3500</v>
      </c>
    </row>
    <row r="682" spans="1:4" x14ac:dyDescent="0.4">
      <c r="A682" s="1" t="s">
        <v>1356</v>
      </c>
      <c r="B682" t="s">
        <v>1357</v>
      </c>
      <c r="C682" t="s">
        <v>5</v>
      </c>
      <c r="D682">
        <v>3800</v>
      </c>
    </row>
    <row r="683" spans="1:4" x14ac:dyDescent="0.4">
      <c r="A683" s="1" t="s">
        <v>1358</v>
      </c>
      <c r="B683" t="s">
        <v>1359</v>
      </c>
      <c r="C683" t="s">
        <v>5</v>
      </c>
      <c r="D683">
        <v>18400</v>
      </c>
    </row>
    <row r="684" spans="1:4" x14ac:dyDescent="0.4">
      <c r="A684" s="1" t="s">
        <v>1360</v>
      </c>
      <c r="B684" t="s">
        <v>1361</v>
      </c>
      <c r="C684" t="s">
        <v>5</v>
      </c>
      <c r="D684">
        <v>19900</v>
      </c>
    </row>
    <row r="685" spans="1:4" x14ac:dyDescent="0.4">
      <c r="A685" s="1" t="s">
        <v>1362</v>
      </c>
      <c r="B685" t="s">
        <v>1363</v>
      </c>
      <c r="C685" t="s">
        <v>5</v>
      </c>
      <c r="D685">
        <v>3500</v>
      </c>
    </row>
    <row r="686" spans="1:4" x14ac:dyDescent="0.4">
      <c r="A686" s="1" t="s">
        <v>1364</v>
      </c>
      <c r="B686" t="s">
        <v>1365</v>
      </c>
      <c r="C686" t="s">
        <v>5</v>
      </c>
      <c r="D686">
        <v>2100</v>
      </c>
    </row>
    <row r="687" spans="1:4" x14ac:dyDescent="0.4">
      <c r="A687" s="1" t="s">
        <v>1366</v>
      </c>
      <c r="B687" t="s">
        <v>1367</v>
      </c>
      <c r="C687" t="s">
        <v>5</v>
      </c>
      <c r="D687">
        <v>2100</v>
      </c>
    </row>
    <row r="688" spans="1:4" x14ac:dyDescent="0.4">
      <c r="A688" s="1" t="s">
        <v>1368</v>
      </c>
      <c r="B688" t="s">
        <v>1369</v>
      </c>
      <c r="C688" t="s">
        <v>5</v>
      </c>
      <c r="D688">
        <v>2100</v>
      </c>
    </row>
    <row r="689" spans="1:4" x14ac:dyDescent="0.4">
      <c r="A689" s="1" t="s">
        <v>1370</v>
      </c>
      <c r="B689" t="s">
        <v>1371</v>
      </c>
      <c r="C689" t="s">
        <v>5</v>
      </c>
      <c r="D689">
        <v>14500</v>
      </c>
    </row>
    <row r="690" spans="1:4" x14ac:dyDescent="0.4">
      <c r="A690" s="1" t="s">
        <v>1372</v>
      </c>
      <c r="B690" t="s">
        <v>1373</v>
      </c>
      <c r="C690" t="s">
        <v>5</v>
      </c>
      <c r="D690">
        <v>3500</v>
      </c>
    </row>
    <row r="691" spans="1:4" x14ac:dyDescent="0.4">
      <c r="A691" s="1" t="s">
        <v>1374</v>
      </c>
      <c r="B691" t="s">
        <v>1375</v>
      </c>
      <c r="C691" t="s">
        <v>5</v>
      </c>
      <c r="D691">
        <v>224600</v>
      </c>
    </row>
    <row r="692" spans="1:4" x14ac:dyDescent="0.4">
      <c r="A692" s="1" t="s">
        <v>1376</v>
      </c>
      <c r="B692" t="s">
        <v>1377</v>
      </c>
      <c r="C692" t="s">
        <v>5</v>
      </c>
    </row>
    <row r="693" spans="1:4" x14ac:dyDescent="0.4">
      <c r="A693" s="1" t="s">
        <v>1378</v>
      </c>
      <c r="B693" t="s">
        <v>1379</v>
      </c>
      <c r="C693" t="s">
        <v>5</v>
      </c>
    </row>
    <row r="694" spans="1:4" x14ac:dyDescent="0.4">
      <c r="A694" s="1" t="s">
        <v>1380</v>
      </c>
      <c r="B694" t="s">
        <v>1381</v>
      </c>
      <c r="C694" t="s">
        <v>5</v>
      </c>
      <c r="D694">
        <v>33000</v>
      </c>
    </row>
    <row r="695" spans="1:4" x14ac:dyDescent="0.4">
      <c r="A695" s="1" t="s">
        <v>1382</v>
      </c>
      <c r="B695" t="s">
        <v>1383</v>
      </c>
      <c r="C695" t="s">
        <v>5</v>
      </c>
      <c r="D695">
        <v>30000</v>
      </c>
    </row>
    <row r="696" spans="1:4" x14ac:dyDescent="0.4">
      <c r="A696" s="1" t="s">
        <v>1384</v>
      </c>
      <c r="B696" t="s">
        <v>1385</v>
      </c>
      <c r="C696" t="s">
        <v>5</v>
      </c>
      <c r="D696">
        <v>60000</v>
      </c>
    </row>
    <row r="697" spans="1:4" x14ac:dyDescent="0.4">
      <c r="A697" s="1" t="s">
        <v>1386</v>
      </c>
      <c r="B697" t="s">
        <v>1387</v>
      </c>
      <c r="C697" t="s">
        <v>5</v>
      </c>
      <c r="D697">
        <v>42000</v>
      </c>
    </row>
    <row r="698" spans="1:4" x14ac:dyDescent="0.4">
      <c r="A698" s="1" t="s">
        <v>1388</v>
      </c>
      <c r="B698" t="s">
        <v>1389</v>
      </c>
      <c r="C698" t="s">
        <v>5</v>
      </c>
      <c r="D698">
        <v>25500</v>
      </c>
    </row>
    <row r="699" spans="1:4" x14ac:dyDescent="0.4">
      <c r="A699" s="1" t="s">
        <v>1390</v>
      </c>
      <c r="B699" t="s">
        <v>1391</v>
      </c>
      <c r="C699" t="s">
        <v>5</v>
      </c>
      <c r="D699">
        <v>25500</v>
      </c>
    </row>
    <row r="700" spans="1:4" x14ac:dyDescent="0.4">
      <c r="A700" s="1" t="s">
        <v>1392</v>
      </c>
      <c r="B700" t="s">
        <v>1393</v>
      </c>
      <c r="C700" t="s">
        <v>5</v>
      </c>
      <c r="D700">
        <v>25500</v>
      </c>
    </row>
    <row r="701" spans="1:4" x14ac:dyDescent="0.4">
      <c r="A701" s="1" t="s">
        <v>1394</v>
      </c>
      <c r="B701" t="s">
        <v>1395</v>
      </c>
      <c r="C701" t="s">
        <v>5</v>
      </c>
      <c r="D701">
        <v>15000</v>
      </c>
    </row>
    <row r="702" spans="1:4" x14ac:dyDescent="0.4">
      <c r="A702" s="1" t="s">
        <v>1396</v>
      </c>
      <c r="B702" t="s">
        <v>1397</v>
      </c>
      <c r="C702" t="s">
        <v>5</v>
      </c>
      <c r="D702">
        <v>10000</v>
      </c>
    </row>
    <row r="703" spans="1:4" x14ac:dyDescent="0.4">
      <c r="A703" s="1" t="s">
        <v>1398</v>
      </c>
      <c r="B703" t="s">
        <v>1399</v>
      </c>
      <c r="C703" t="s">
        <v>5</v>
      </c>
      <c r="D703">
        <v>30600</v>
      </c>
    </row>
    <row r="704" spans="1:4" x14ac:dyDescent="0.4">
      <c r="A704" s="1" t="s">
        <v>1400</v>
      </c>
      <c r="B704" t="s">
        <v>1401</v>
      </c>
      <c r="C704" t="s">
        <v>5</v>
      </c>
      <c r="D704">
        <v>40800</v>
      </c>
    </row>
    <row r="705" spans="1:4" x14ac:dyDescent="0.4">
      <c r="A705" s="1" t="s">
        <v>1402</v>
      </c>
      <c r="B705" t="s">
        <v>1403</v>
      </c>
      <c r="D705">
        <v>11490</v>
      </c>
    </row>
    <row r="706" spans="1:4" x14ac:dyDescent="0.4">
      <c r="A706" s="1" t="s">
        <v>1404</v>
      </c>
      <c r="B706" t="s">
        <v>1405</v>
      </c>
      <c r="C706" t="s">
        <v>5</v>
      </c>
      <c r="D706">
        <v>34800</v>
      </c>
    </row>
    <row r="707" spans="1:4" x14ac:dyDescent="0.4">
      <c r="A707" s="1" t="s">
        <v>1406</v>
      </c>
      <c r="B707" t="s">
        <v>1407</v>
      </c>
      <c r="C707" t="s">
        <v>5</v>
      </c>
      <c r="D707">
        <v>46600</v>
      </c>
    </row>
    <row r="708" spans="1:4" x14ac:dyDescent="0.4">
      <c r="A708" s="1" t="s">
        <v>1408</v>
      </c>
      <c r="B708" t="s">
        <v>1409</v>
      </c>
      <c r="C708" t="s">
        <v>5</v>
      </c>
      <c r="D708">
        <v>34800</v>
      </c>
    </row>
    <row r="709" spans="1:4" x14ac:dyDescent="0.4">
      <c r="A709" s="1" t="s">
        <v>1410</v>
      </c>
      <c r="B709" t="s">
        <v>1411</v>
      </c>
      <c r="C709" t="s">
        <v>5</v>
      </c>
      <c r="D709">
        <v>48800</v>
      </c>
    </row>
    <row r="710" spans="1:4" x14ac:dyDescent="0.4">
      <c r="A710" s="1" t="s">
        <v>1412</v>
      </c>
      <c r="B710" t="s">
        <v>1413</v>
      </c>
      <c r="C710" t="s">
        <v>5</v>
      </c>
      <c r="D710">
        <v>42000</v>
      </c>
    </row>
    <row r="711" spans="1:4" x14ac:dyDescent="0.4">
      <c r="A711" s="1" t="s">
        <v>1414</v>
      </c>
      <c r="B711" t="s">
        <v>1415</v>
      </c>
      <c r="C711" t="s">
        <v>5</v>
      </c>
      <c r="D711">
        <v>34500</v>
      </c>
    </row>
    <row r="712" spans="1:4" x14ac:dyDescent="0.4">
      <c r="A712" s="1" t="s">
        <v>1416</v>
      </c>
      <c r="B712" t="s">
        <v>1417</v>
      </c>
      <c r="C712" t="s">
        <v>5</v>
      </c>
      <c r="D712">
        <v>55200</v>
      </c>
    </row>
    <row r="713" spans="1:4" x14ac:dyDescent="0.4">
      <c r="A713" s="1" t="s">
        <v>1418</v>
      </c>
      <c r="B713" t="s">
        <v>1419</v>
      </c>
      <c r="C713" t="s">
        <v>5</v>
      </c>
      <c r="D713">
        <v>43600</v>
      </c>
    </row>
    <row r="714" spans="1:4" x14ac:dyDescent="0.4">
      <c r="A714" s="1" t="s">
        <v>1420</v>
      </c>
      <c r="B714" t="s">
        <v>1421</v>
      </c>
      <c r="C714" t="s">
        <v>5</v>
      </c>
      <c r="D714">
        <v>22400</v>
      </c>
    </row>
    <row r="715" spans="1:4" x14ac:dyDescent="0.4">
      <c r="A715" s="1" t="s">
        <v>1422</v>
      </c>
      <c r="B715" t="s">
        <v>1423</v>
      </c>
      <c r="C715" t="s">
        <v>5</v>
      </c>
      <c r="D715">
        <v>33800</v>
      </c>
    </row>
    <row r="716" spans="1:4" x14ac:dyDescent="0.4">
      <c r="A716" s="1" t="s">
        <v>1424</v>
      </c>
      <c r="B716" t="s">
        <v>1425</v>
      </c>
      <c r="C716" t="s">
        <v>5</v>
      </c>
      <c r="D716">
        <v>47000</v>
      </c>
    </row>
    <row r="717" spans="1:4" x14ac:dyDescent="0.4">
      <c r="A717" s="1" t="s">
        <v>1426</v>
      </c>
      <c r="B717" t="s">
        <v>1427</v>
      </c>
      <c r="C717" t="s">
        <v>5</v>
      </c>
      <c r="D717">
        <v>22400</v>
      </c>
    </row>
    <row r="718" spans="1:4" x14ac:dyDescent="0.4">
      <c r="A718" s="1" t="s">
        <v>1428</v>
      </c>
      <c r="B718" t="s">
        <v>1429</v>
      </c>
      <c r="C718" t="s">
        <v>1430</v>
      </c>
      <c r="D718">
        <v>7500</v>
      </c>
    </row>
    <row r="719" spans="1:4" x14ac:dyDescent="0.4">
      <c r="A719" s="1" t="s">
        <v>1431</v>
      </c>
      <c r="B719" t="s">
        <v>1432</v>
      </c>
      <c r="C719" t="s">
        <v>5</v>
      </c>
    </row>
    <row r="720" spans="1:4" x14ac:dyDescent="0.4">
      <c r="A720" s="1" t="s">
        <v>1433</v>
      </c>
      <c r="B720" t="s">
        <v>1434</v>
      </c>
      <c r="C720" t="s">
        <v>5</v>
      </c>
      <c r="D720">
        <v>64964</v>
      </c>
    </row>
    <row r="721" spans="1:4" x14ac:dyDescent="0.4">
      <c r="A721" s="1" t="s">
        <v>1435</v>
      </c>
      <c r="B721" t="s">
        <v>1436</v>
      </c>
      <c r="C721" t="s">
        <v>5</v>
      </c>
      <c r="D721">
        <v>11440</v>
      </c>
    </row>
    <row r="722" spans="1:4" x14ac:dyDescent="0.4">
      <c r="A722" s="1" t="s">
        <v>1437</v>
      </c>
      <c r="B722" t="s">
        <v>1438</v>
      </c>
      <c r="C722" t="s">
        <v>5</v>
      </c>
      <c r="D722">
        <v>17000</v>
      </c>
    </row>
    <row r="723" spans="1:4" x14ac:dyDescent="0.4">
      <c r="A723" s="1" t="s">
        <v>1439</v>
      </c>
      <c r="B723" t="s">
        <v>1440</v>
      </c>
      <c r="C723" t="s">
        <v>5</v>
      </c>
      <c r="D723">
        <v>28000</v>
      </c>
    </row>
    <row r="724" spans="1:4" x14ac:dyDescent="0.4">
      <c r="A724" s="1" t="s">
        <v>1441</v>
      </c>
      <c r="B724" t="s">
        <v>1442</v>
      </c>
      <c r="C724" t="s">
        <v>5</v>
      </c>
      <c r="D724">
        <v>17000</v>
      </c>
    </row>
    <row r="725" spans="1:4" x14ac:dyDescent="0.4">
      <c r="A725" s="1" t="s">
        <v>1443</v>
      </c>
      <c r="B725" t="s">
        <v>1444</v>
      </c>
      <c r="C725" t="s">
        <v>5</v>
      </c>
      <c r="D725">
        <v>28000</v>
      </c>
    </row>
    <row r="726" spans="1:4" x14ac:dyDescent="0.4">
      <c r="A726" s="1" t="s">
        <v>1445</v>
      </c>
      <c r="B726" t="s">
        <v>1446</v>
      </c>
      <c r="C726" t="s">
        <v>5</v>
      </c>
      <c r="D726">
        <v>17000</v>
      </c>
    </row>
    <row r="727" spans="1:4" x14ac:dyDescent="0.4">
      <c r="A727" s="1" t="s">
        <v>1447</v>
      </c>
      <c r="B727" t="s">
        <v>1448</v>
      </c>
      <c r="C727" t="s">
        <v>5</v>
      </c>
      <c r="D727">
        <v>28000</v>
      </c>
    </row>
    <row r="728" spans="1:4" x14ac:dyDescent="0.4">
      <c r="A728" s="1" t="s">
        <v>1449</v>
      </c>
      <c r="B728" t="s">
        <v>1450</v>
      </c>
      <c r="C728" t="s">
        <v>5</v>
      </c>
      <c r="D728">
        <v>16400</v>
      </c>
    </row>
    <row r="729" spans="1:4" x14ac:dyDescent="0.4">
      <c r="A729" s="1" t="s">
        <v>1451</v>
      </c>
      <c r="B729" t="s">
        <v>1452</v>
      </c>
      <c r="C729" t="s">
        <v>5</v>
      </c>
      <c r="D729">
        <v>27000</v>
      </c>
    </row>
    <row r="730" spans="1:4" x14ac:dyDescent="0.4">
      <c r="A730" s="1" t="s">
        <v>1453</v>
      </c>
      <c r="B730" t="s">
        <v>1454</v>
      </c>
      <c r="C730" t="s">
        <v>5</v>
      </c>
    </row>
    <row r="731" spans="1:4" x14ac:dyDescent="0.4">
      <c r="A731" s="1" t="s">
        <v>1455</v>
      </c>
      <c r="B731" t="s">
        <v>1456</v>
      </c>
      <c r="C731" t="s">
        <v>5</v>
      </c>
      <c r="D731">
        <v>14800</v>
      </c>
    </row>
    <row r="732" spans="1:4" x14ac:dyDescent="0.4">
      <c r="A732" s="1" t="s">
        <v>1457</v>
      </c>
      <c r="B732" t="s">
        <v>1458</v>
      </c>
      <c r="C732" t="s">
        <v>5</v>
      </c>
      <c r="D732">
        <v>24500</v>
      </c>
    </row>
    <row r="733" spans="1:4" x14ac:dyDescent="0.4">
      <c r="A733" s="1" t="s">
        <v>1459</v>
      </c>
      <c r="B733" t="s">
        <v>1460</v>
      </c>
      <c r="C733" t="s">
        <v>5</v>
      </c>
      <c r="D733">
        <v>14800</v>
      </c>
    </row>
    <row r="734" spans="1:4" x14ac:dyDescent="0.4">
      <c r="A734" s="1" t="s">
        <v>1461</v>
      </c>
      <c r="B734" t="s">
        <v>1462</v>
      </c>
      <c r="C734" t="s">
        <v>5</v>
      </c>
      <c r="D734">
        <v>24500</v>
      </c>
    </row>
    <row r="735" spans="1:4" x14ac:dyDescent="0.4">
      <c r="A735" s="1" t="s">
        <v>1463</v>
      </c>
      <c r="B735" t="s">
        <v>1464</v>
      </c>
      <c r="C735" t="s">
        <v>5</v>
      </c>
      <c r="D735">
        <v>14800</v>
      </c>
    </row>
    <row r="736" spans="1:4" x14ac:dyDescent="0.4">
      <c r="A736" s="1" t="s">
        <v>1465</v>
      </c>
      <c r="B736" t="s">
        <v>1466</v>
      </c>
      <c r="C736" t="s">
        <v>5</v>
      </c>
      <c r="D736">
        <v>24500</v>
      </c>
    </row>
    <row r="737" spans="1:4" x14ac:dyDescent="0.4">
      <c r="A737" s="1" t="s">
        <v>1467</v>
      </c>
      <c r="B737" t="s">
        <v>1468</v>
      </c>
      <c r="C737" t="s">
        <v>5</v>
      </c>
      <c r="D737">
        <v>14200</v>
      </c>
    </row>
    <row r="738" spans="1:4" x14ac:dyDescent="0.4">
      <c r="A738" s="1" t="s">
        <v>1469</v>
      </c>
      <c r="B738" t="s">
        <v>1470</v>
      </c>
      <c r="C738" t="s">
        <v>5</v>
      </c>
      <c r="D738">
        <v>23500</v>
      </c>
    </row>
    <row r="739" spans="1:4" x14ac:dyDescent="0.4">
      <c r="A739" s="1" t="s">
        <v>1471</v>
      </c>
      <c r="B739" t="s">
        <v>1472</v>
      </c>
      <c r="C739" t="s">
        <v>5</v>
      </c>
      <c r="D739">
        <v>13600</v>
      </c>
    </row>
    <row r="740" spans="1:4" x14ac:dyDescent="0.4">
      <c r="A740" s="1" t="s">
        <v>1473</v>
      </c>
      <c r="B740" t="s">
        <v>1474</v>
      </c>
      <c r="C740" t="s">
        <v>5</v>
      </c>
      <c r="D740">
        <v>3600</v>
      </c>
    </row>
    <row r="741" spans="1:4" x14ac:dyDescent="0.4">
      <c r="A741" s="1" t="s">
        <v>1475</v>
      </c>
      <c r="B741" t="s">
        <v>1476</v>
      </c>
      <c r="C741" t="s">
        <v>5</v>
      </c>
      <c r="D741">
        <v>13600</v>
      </c>
    </row>
    <row r="742" spans="1:4" x14ac:dyDescent="0.4">
      <c r="A742" s="1" t="s">
        <v>1477</v>
      </c>
      <c r="B742" t="s">
        <v>1478</v>
      </c>
      <c r="C742" t="s">
        <v>5</v>
      </c>
    </row>
    <row r="743" spans="1:4" x14ac:dyDescent="0.4">
      <c r="A743" s="1" t="s">
        <v>1479</v>
      </c>
      <c r="B743" t="s">
        <v>1480</v>
      </c>
      <c r="C743" t="s">
        <v>5</v>
      </c>
      <c r="D743">
        <v>21000</v>
      </c>
    </row>
    <row r="744" spans="1:4" x14ac:dyDescent="0.4">
      <c r="A744" s="1" t="s">
        <v>1481</v>
      </c>
      <c r="B744" t="s">
        <v>1482</v>
      </c>
      <c r="C744" t="s">
        <v>5</v>
      </c>
      <c r="D744">
        <v>31400</v>
      </c>
    </row>
    <row r="745" spans="1:4" x14ac:dyDescent="0.4">
      <c r="A745" s="1" t="s">
        <v>1483</v>
      </c>
      <c r="B745" t="s">
        <v>1484</v>
      </c>
      <c r="C745" t="s">
        <v>5</v>
      </c>
      <c r="D745">
        <v>21000</v>
      </c>
    </row>
    <row r="746" spans="1:4" x14ac:dyDescent="0.4">
      <c r="A746" s="1" t="s">
        <v>1485</v>
      </c>
      <c r="B746" t="s">
        <v>1486</v>
      </c>
      <c r="C746" t="s">
        <v>5</v>
      </c>
      <c r="D746">
        <v>31400</v>
      </c>
    </row>
    <row r="747" spans="1:4" x14ac:dyDescent="0.4">
      <c r="A747" s="1" t="s">
        <v>1487</v>
      </c>
      <c r="B747" t="s">
        <v>1488</v>
      </c>
      <c r="C747" t="s">
        <v>5</v>
      </c>
      <c r="D747">
        <v>21000</v>
      </c>
    </row>
    <row r="748" spans="1:4" x14ac:dyDescent="0.4">
      <c r="A748" s="1" t="s">
        <v>1489</v>
      </c>
      <c r="B748" t="s">
        <v>1490</v>
      </c>
      <c r="C748" t="s">
        <v>5</v>
      </c>
      <c r="D748">
        <v>31400</v>
      </c>
    </row>
    <row r="749" spans="1:4" x14ac:dyDescent="0.4">
      <c r="A749" s="1" t="s">
        <v>1491</v>
      </c>
      <c r="B749" t="s">
        <v>1492</v>
      </c>
      <c r="C749" t="s">
        <v>5</v>
      </c>
      <c r="D749">
        <v>15000</v>
      </c>
    </row>
    <row r="750" spans="1:4" x14ac:dyDescent="0.4">
      <c r="A750" s="1" t="s">
        <v>1493</v>
      </c>
      <c r="B750" t="s">
        <v>1494</v>
      </c>
      <c r="C750" t="s">
        <v>5</v>
      </c>
      <c r="D750">
        <v>24600</v>
      </c>
    </row>
    <row r="751" spans="1:4" x14ac:dyDescent="0.4">
      <c r="A751" s="1" t="s">
        <v>1495</v>
      </c>
      <c r="B751" t="s">
        <v>1496</v>
      </c>
      <c r="C751" t="s">
        <v>5</v>
      </c>
      <c r="D751">
        <v>19600</v>
      </c>
    </row>
    <row r="752" spans="1:4" x14ac:dyDescent="0.4">
      <c r="A752" s="1" t="s">
        <v>1497</v>
      </c>
      <c r="B752" t="s">
        <v>1498</v>
      </c>
      <c r="C752" t="s">
        <v>5</v>
      </c>
      <c r="D752">
        <v>19600</v>
      </c>
    </row>
    <row r="753" spans="1:4" x14ac:dyDescent="0.4">
      <c r="A753" s="1" t="s">
        <v>1499</v>
      </c>
      <c r="B753" t="s">
        <v>1500</v>
      </c>
      <c r="C753" t="s">
        <v>5</v>
      </c>
      <c r="D753">
        <v>19600</v>
      </c>
    </row>
    <row r="754" spans="1:4" x14ac:dyDescent="0.4">
      <c r="A754" s="1" t="s">
        <v>1501</v>
      </c>
      <c r="B754" t="s">
        <v>1502</v>
      </c>
      <c r="C754" t="s">
        <v>5</v>
      </c>
      <c r="D754">
        <v>21800</v>
      </c>
    </row>
    <row r="755" spans="1:4" x14ac:dyDescent="0.4">
      <c r="A755" s="1" t="s">
        <v>1503</v>
      </c>
      <c r="B755" t="s">
        <v>1504</v>
      </c>
      <c r="C755" t="s">
        <v>5</v>
      </c>
      <c r="D755">
        <v>32400</v>
      </c>
    </row>
    <row r="756" spans="1:4" x14ac:dyDescent="0.4">
      <c r="A756" s="1" t="s">
        <v>1505</v>
      </c>
      <c r="B756" t="s">
        <v>1506</v>
      </c>
      <c r="C756" t="s">
        <v>5</v>
      </c>
      <c r="D756">
        <v>32400</v>
      </c>
    </row>
    <row r="757" spans="1:4" x14ac:dyDescent="0.4">
      <c r="A757" s="1" t="s">
        <v>1507</v>
      </c>
      <c r="B757" t="s">
        <v>1508</v>
      </c>
      <c r="C757" t="s">
        <v>5</v>
      </c>
      <c r="D757">
        <v>32400</v>
      </c>
    </row>
    <row r="758" spans="1:4" x14ac:dyDescent="0.4">
      <c r="A758" s="1" t="s">
        <v>1509</v>
      </c>
      <c r="B758" t="s">
        <v>1510</v>
      </c>
      <c r="C758" t="s">
        <v>5</v>
      </c>
      <c r="D758">
        <v>37200</v>
      </c>
    </row>
    <row r="759" spans="1:4" x14ac:dyDescent="0.4">
      <c r="A759" s="1" t="s">
        <v>1511</v>
      </c>
      <c r="B759" t="s">
        <v>1512</v>
      </c>
      <c r="C759" t="s">
        <v>5</v>
      </c>
      <c r="D759">
        <v>31800</v>
      </c>
    </row>
    <row r="760" spans="1:4" x14ac:dyDescent="0.4">
      <c r="A760" s="1" t="s">
        <v>1513</v>
      </c>
      <c r="B760" t="s">
        <v>1514</v>
      </c>
      <c r="C760" t="s">
        <v>5</v>
      </c>
      <c r="D760">
        <v>3800</v>
      </c>
    </row>
    <row r="761" spans="1:4" x14ac:dyDescent="0.4">
      <c r="A761" s="1" t="s">
        <v>1515</v>
      </c>
      <c r="B761" t="s">
        <v>1516</v>
      </c>
      <c r="C761" t="s">
        <v>5</v>
      </c>
      <c r="D761">
        <v>19600</v>
      </c>
    </row>
    <row r="762" spans="1:4" x14ac:dyDescent="0.4">
      <c r="A762" s="1" t="s">
        <v>1517</v>
      </c>
      <c r="B762" t="s">
        <v>1518</v>
      </c>
      <c r="C762" t="s">
        <v>5</v>
      </c>
      <c r="D762">
        <v>19600</v>
      </c>
    </row>
    <row r="763" spans="1:4" x14ac:dyDescent="0.4">
      <c r="A763" s="1" t="s">
        <v>1519</v>
      </c>
      <c r="B763" t="s">
        <v>1520</v>
      </c>
      <c r="C763" t="s">
        <v>5</v>
      </c>
      <c r="D763">
        <v>19600</v>
      </c>
    </row>
    <row r="764" spans="1:4" x14ac:dyDescent="0.4">
      <c r="A764" s="1" t="s">
        <v>1521</v>
      </c>
      <c r="B764" t="s">
        <v>1522</v>
      </c>
      <c r="C764" t="s">
        <v>5</v>
      </c>
      <c r="D764">
        <v>21800</v>
      </c>
    </row>
    <row r="765" spans="1:4" x14ac:dyDescent="0.4">
      <c r="A765" s="1" t="s">
        <v>1523</v>
      </c>
      <c r="B765" t="s">
        <v>1524</v>
      </c>
      <c r="C765" t="s">
        <v>5</v>
      </c>
      <c r="D765">
        <v>29800</v>
      </c>
    </row>
    <row r="766" spans="1:4" x14ac:dyDescent="0.4">
      <c r="A766" s="1" t="s">
        <v>1525</v>
      </c>
      <c r="B766" t="s">
        <v>1526</v>
      </c>
      <c r="C766" t="s">
        <v>5</v>
      </c>
      <c r="D766">
        <v>29800</v>
      </c>
    </row>
    <row r="767" spans="1:4" x14ac:dyDescent="0.4">
      <c r="A767" s="1" t="s">
        <v>1527</v>
      </c>
      <c r="B767" t="s">
        <v>1528</v>
      </c>
      <c r="C767" t="s">
        <v>5</v>
      </c>
      <c r="D767">
        <v>29800</v>
      </c>
    </row>
    <row r="768" spans="1:4" x14ac:dyDescent="0.4">
      <c r="A768" s="1" t="s">
        <v>1529</v>
      </c>
      <c r="B768" t="s">
        <v>1530</v>
      </c>
      <c r="C768" t="s">
        <v>5</v>
      </c>
      <c r="D768">
        <v>39000</v>
      </c>
    </row>
    <row r="769" spans="1:4" x14ac:dyDescent="0.4">
      <c r="A769" s="1" t="s">
        <v>1531</v>
      </c>
      <c r="B769" t="s">
        <v>1532</v>
      </c>
      <c r="C769" t="s">
        <v>5</v>
      </c>
      <c r="D769">
        <v>43000</v>
      </c>
    </row>
    <row r="770" spans="1:4" x14ac:dyDescent="0.4">
      <c r="A770" s="1" t="s">
        <v>1533</v>
      </c>
      <c r="B770" t="s">
        <v>1534</v>
      </c>
      <c r="C770" t="s">
        <v>5</v>
      </c>
      <c r="D770">
        <v>31200</v>
      </c>
    </row>
    <row r="771" spans="1:4" x14ac:dyDescent="0.4">
      <c r="A771" s="1" t="s">
        <v>1535</v>
      </c>
      <c r="B771" t="s">
        <v>1536</v>
      </c>
      <c r="C771" t="s">
        <v>5</v>
      </c>
      <c r="D771">
        <v>31200</v>
      </c>
    </row>
    <row r="772" spans="1:4" x14ac:dyDescent="0.4">
      <c r="A772" s="1" t="s">
        <v>1537</v>
      </c>
      <c r="B772" t="s">
        <v>1538</v>
      </c>
      <c r="C772" t="s">
        <v>5</v>
      </c>
      <c r="D772">
        <v>31200</v>
      </c>
    </row>
    <row r="773" spans="1:4" x14ac:dyDescent="0.4">
      <c r="A773" s="1" t="s">
        <v>1539</v>
      </c>
      <c r="B773" t="s">
        <v>1540</v>
      </c>
      <c r="C773" t="s">
        <v>5</v>
      </c>
      <c r="D773">
        <v>46800</v>
      </c>
    </row>
    <row r="774" spans="1:4" x14ac:dyDescent="0.4">
      <c r="A774" s="1" t="s">
        <v>1541</v>
      </c>
      <c r="B774" t="s">
        <v>1542</v>
      </c>
      <c r="C774" t="s">
        <v>5</v>
      </c>
      <c r="D774">
        <v>55000</v>
      </c>
    </row>
    <row r="775" spans="1:4" x14ac:dyDescent="0.4">
      <c r="A775" s="1" t="s">
        <v>1543</v>
      </c>
      <c r="B775" t="s">
        <v>1544</v>
      </c>
      <c r="C775" t="s">
        <v>5</v>
      </c>
      <c r="D775">
        <v>19850</v>
      </c>
    </row>
    <row r="776" spans="1:4" x14ac:dyDescent="0.4">
      <c r="A776" s="1" t="s">
        <v>1545</v>
      </c>
      <c r="B776" t="s">
        <v>1546</v>
      </c>
      <c r="C776" t="s">
        <v>5</v>
      </c>
      <c r="D776">
        <v>23000</v>
      </c>
    </row>
    <row r="777" spans="1:4" x14ac:dyDescent="0.4">
      <c r="A777" s="1" t="s">
        <v>1547</v>
      </c>
      <c r="B777" t="s">
        <v>1548</v>
      </c>
      <c r="C777" t="s">
        <v>5</v>
      </c>
      <c r="D777">
        <v>24300</v>
      </c>
    </row>
    <row r="778" spans="1:4" x14ac:dyDescent="0.4">
      <c r="A778" s="1" t="s">
        <v>1549</v>
      </c>
      <c r="B778" t="s">
        <v>1550</v>
      </c>
      <c r="C778" t="s">
        <v>5</v>
      </c>
      <c r="D778">
        <v>25000</v>
      </c>
    </row>
    <row r="779" spans="1:4" x14ac:dyDescent="0.4">
      <c r="A779" s="1" t="s">
        <v>1551</v>
      </c>
      <c r="B779" t="s">
        <v>1552</v>
      </c>
      <c r="C779" t="s">
        <v>5</v>
      </c>
      <c r="D779">
        <v>24300</v>
      </c>
    </row>
    <row r="780" spans="1:4" x14ac:dyDescent="0.4">
      <c r="A780" s="1" t="s">
        <v>1553</v>
      </c>
      <c r="B780" t="s">
        <v>1554</v>
      </c>
      <c r="C780" t="s">
        <v>5</v>
      </c>
      <c r="D780">
        <v>25000</v>
      </c>
    </row>
    <row r="781" spans="1:4" x14ac:dyDescent="0.4">
      <c r="A781" s="1" t="s">
        <v>1555</v>
      </c>
      <c r="B781" t="s">
        <v>1556</v>
      </c>
      <c r="C781" t="s">
        <v>5</v>
      </c>
      <c r="D781">
        <v>24300</v>
      </c>
    </row>
    <row r="782" spans="1:4" x14ac:dyDescent="0.4">
      <c r="A782" s="1" t="s">
        <v>1557</v>
      </c>
      <c r="B782" t="s">
        <v>1558</v>
      </c>
      <c r="C782" t="s">
        <v>5</v>
      </c>
      <c r="D782">
        <v>25000</v>
      </c>
    </row>
    <row r="783" spans="1:4" x14ac:dyDescent="0.4">
      <c r="A783" s="1" t="s">
        <v>1559</v>
      </c>
      <c r="B783" t="s">
        <v>1560</v>
      </c>
      <c r="C783" t="s">
        <v>5</v>
      </c>
      <c r="D783">
        <v>14400</v>
      </c>
    </row>
    <row r="784" spans="1:4" x14ac:dyDescent="0.4">
      <c r="A784" s="1" t="s">
        <v>1561</v>
      </c>
      <c r="B784" t="s">
        <v>1562</v>
      </c>
      <c r="C784" t="s">
        <v>5</v>
      </c>
      <c r="D784">
        <v>16600</v>
      </c>
    </row>
    <row r="785" spans="1:4" x14ac:dyDescent="0.4">
      <c r="A785" s="1" t="s">
        <v>1563</v>
      </c>
      <c r="B785" t="s">
        <v>1564</v>
      </c>
      <c r="C785" t="s">
        <v>5</v>
      </c>
      <c r="D785">
        <v>16600</v>
      </c>
    </row>
    <row r="786" spans="1:4" x14ac:dyDescent="0.4">
      <c r="A786" s="1" t="s">
        <v>1565</v>
      </c>
      <c r="B786" t="s">
        <v>1566</v>
      </c>
      <c r="C786" t="s">
        <v>5</v>
      </c>
      <c r="D786">
        <v>16600</v>
      </c>
    </row>
    <row r="787" spans="1:4" x14ac:dyDescent="0.4">
      <c r="A787" s="1" t="s">
        <v>1567</v>
      </c>
      <c r="B787" t="s">
        <v>1568</v>
      </c>
      <c r="C787" t="s">
        <v>5</v>
      </c>
    </row>
    <row r="788" spans="1:4" x14ac:dyDescent="0.4">
      <c r="A788" s="1" t="s">
        <v>1569</v>
      </c>
      <c r="B788" t="s">
        <v>1570</v>
      </c>
      <c r="C788" t="s">
        <v>1571</v>
      </c>
    </row>
    <row r="789" spans="1:4" x14ac:dyDescent="0.4">
      <c r="A789" s="1" t="s">
        <v>1572</v>
      </c>
      <c r="B789" t="s">
        <v>1573</v>
      </c>
      <c r="C789" t="s">
        <v>1571</v>
      </c>
    </row>
    <row r="790" spans="1:4" x14ac:dyDescent="0.4">
      <c r="A790" s="1" t="s">
        <v>1574</v>
      </c>
      <c r="B790" t="s">
        <v>1575</v>
      </c>
      <c r="C790" t="s">
        <v>1571</v>
      </c>
    </row>
    <row r="791" spans="1:4" x14ac:dyDescent="0.4">
      <c r="A791" s="1" t="s">
        <v>1576</v>
      </c>
      <c r="B791" t="s">
        <v>1577</v>
      </c>
      <c r="C791" t="s">
        <v>1571</v>
      </c>
    </row>
    <row r="792" spans="1:4" x14ac:dyDescent="0.4">
      <c r="A792" s="1" t="s">
        <v>1578</v>
      </c>
      <c r="B792" t="s">
        <v>1579</v>
      </c>
      <c r="C792" t="s">
        <v>1571</v>
      </c>
    </row>
    <row r="793" spans="1:4" x14ac:dyDescent="0.4">
      <c r="A793" s="1" t="s">
        <v>1580</v>
      </c>
      <c r="B793" t="s">
        <v>1581</v>
      </c>
      <c r="C793" t="s">
        <v>1571</v>
      </c>
    </row>
    <row r="794" spans="1:4" x14ac:dyDescent="0.4">
      <c r="A794" s="1" t="s">
        <v>1582</v>
      </c>
      <c r="B794" t="s">
        <v>1583</v>
      </c>
      <c r="C794" t="s">
        <v>1571</v>
      </c>
    </row>
    <row r="795" spans="1:4" x14ac:dyDescent="0.4">
      <c r="A795" s="1" t="s">
        <v>1584</v>
      </c>
      <c r="B795" t="s">
        <v>1585</v>
      </c>
      <c r="C795" t="s">
        <v>1571</v>
      </c>
    </row>
    <row r="796" spans="1:4" x14ac:dyDescent="0.4">
      <c r="A796" s="1" t="s">
        <v>1586</v>
      </c>
      <c r="B796" t="s">
        <v>1587</v>
      </c>
      <c r="C796" t="s">
        <v>5</v>
      </c>
    </row>
    <row r="797" spans="1:4" x14ac:dyDescent="0.4">
      <c r="A797" s="1" t="s">
        <v>1588</v>
      </c>
      <c r="B797" t="e">
        <f>-在庫限り-SHARP AR-P37-B</f>
        <v>#NAME?</v>
      </c>
      <c r="C797" t="s">
        <v>5</v>
      </c>
    </row>
    <row r="798" spans="1:4" x14ac:dyDescent="0.4">
      <c r="A798" s="1" t="s">
        <v>1589</v>
      </c>
      <c r="B798" t="e">
        <f>-在庫限り-SHARP AR-P47-B</f>
        <v>#NAME?</v>
      </c>
      <c r="C798" t="s">
        <v>5</v>
      </c>
    </row>
    <row r="799" spans="1:4" x14ac:dyDescent="0.4">
      <c r="A799" s="1" t="s">
        <v>1590</v>
      </c>
      <c r="B799" t="e">
        <f>-在庫限り-SHARP AR-P49-B</f>
        <v>#NAME?</v>
      </c>
      <c r="C799" t="s">
        <v>5</v>
      </c>
    </row>
    <row r="800" spans="1:4" x14ac:dyDescent="0.4">
      <c r="A800" s="1" t="s">
        <v>1591</v>
      </c>
      <c r="B800" t="e">
        <f>-在庫限り-SHARP AR-P50-B</f>
        <v>#NAME?</v>
      </c>
      <c r="C800" t="s">
        <v>5</v>
      </c>
    </row>
    <row r="801" spans="1:4" x14ac:dyDescent="0.4">
      <c r="A801" s="1" t="s">
        <v>1592</v>
      </c>
      <c r="B801" t="e">
        <f>-在庫限り-SHARP AR-P51-B</f>
        <v>#NAME?</v>
      </c>
      <c r="C801" t="s">
        <v>5</v>
      </c>
    </row>
    <row r="802" spans="1:4" x14ac:dyDescent="0.4">
      <c r="A802" s="1" t="s">
        <v>1593</v>
      </c>
      <c r="B802" t="e">
        <f>-在庫限り-SHARP AR-P52-B</f>
        <v>#NAME?</v>
      </c>
      <c r="C802" t="s">
        <v>5</v>
      </c>
    </row>
    <row r="803" spans="1:4" x14ac:dyDescent="0.4">
      <c r="A803" s="1" t="s">
        <v>1594</v>
      </c>
      <c r="B803" t="e">
        <f>-在庫限り-SHARP AR-P53-B</f>
        <v>#NAME?</v>
      </c>
      <c r="C803" t="s">
        <v>5</v>
      </c>
    </row>
    <row r="804" spans="1:4" x14ac:dyDescent="0.4">
      <c r="A804" s="1" t="s">
        <v>1595</v>
      </c>
      <c r="B804" t="s">
        <v>1596</v>
      </c>
      <c r="C804" t="s">
        <v>5</v>
      </c>
    </row>
    <row r="805" spans="1:4" x14ac:dyDescent="0.4">
      <c r="A805" s="1" t="s">
        <v>1597</v>
      </c>
      <c r="B805" t="s">
        <v>1598</v>
      </c>
      <c r="C805" t="s">
        <v>5</v>
      </c>
    </row>
    <row r="806" spans="1:4" x14ac:dyDescent="0.4">
      <c r="A806" s="1" t="s">
        <v>1599</v>
      </c>
      <c r="B806" t="s">
        <v>1600</v>
      </c>
      <c r="C806" t="s">
        <v>5</v>
      </c>
    </row>
    <row r="807" spans="1:4" x14ac:dyDescent="0.4">
      <c r="A807" s="1" t="s">
        <v>1601</v>
      </c>
      <c r="B807" t="e">
        <f>-在庫限り-SHARP AR-PY42-B</f>
        <v>#NAME?</v>
      </c>
      <c r="C807" t="s">
        <v>5</v>
      </c>
    </row>
    <row r="808" spans="1:4" x14ac:dyDescent="0.4">
      <c r="A808" s="1" t="s">
        <v>1602</v>
      </c>
      <c r="B808" t="e">
        <f>-在庫限り-SHARP AR-PY43-B</f>
        <v>#NAME?</v>
      </c>
      <c r="C808" t="s">
        <v>5</v>
      </c>
    </row>
    <row r="809" spans="1:4" x14ac:dyDescent="0.4">
      <c r="A809" s="1" t="s">
        <v>1603</v>
      </c>
      <c r="B809" t="e">
        <f>-在庫限り-SHARP AR-PY45-B</f>
        <v>#NAME?</v>
      </c>
      <c r="C809" t="s">
        <v>5</v>
      </c>
    </row>
    <row r="810" spans="1:4" x14ac:dyDescent="0.4">
      <c r="A810" s="1" t="s">
        <v>1604</v>
      </c>
      <c r="B810" t="s">
        <v>1605</v>
      </c>
      <c r="C810" t="s">
        <v>5</v>
      </c>
    </row>
    <row r="811" spans="1:4" x14ac:dyDescent="0.4">
      <c r="A811" s="1" t="s">
        <v>1606</v>
      </c>
      <c r="B811" t="s">
        <v>1607</v>
      </c>
    </row>
    <row r="812" spans="1:4" x14ac:dyDescent="0.4">
      <c r="A812" s="1" t="s">
        <v>1608</v>
      </c>
      <c r="B812" t="s">
        <v>1609</v>
      </c>
    </row>
    <row r="813" spans="1:4" x14ac:dyDescent="0.4">
      <c r="A813" s="1" t="s">
        <v>1610</v>
      </c>
      <c r="B813" t="s">
        <v>1611</v>
      </c>
      <c r="C813" t="s">
        <v>5</v>
      </c>
      <c r="D813">
        <v>55900</v>
      </c>
    </row>
    <row r="814" spans="1:4" x14ac:dyDescent="0.4">
      <c r="A814" s="1" t="s">
        <v>1612</v>
      </c>
      <c r="B814" t="s">
        <v>1613</v>
      </c>
      <c r="C814" t="s">
        <v>5</v>
      </c>
      <c r="D814">
        <v>12100</v>
      </c>
    </row>
    <row r="815" spans="1:4" x14ac:dyDescent="0.4">
      <c r="A815" s="1" t="s">
        <v>1614</v>
      </c>
      <c r="B815" t="s">
        <v>1615</v>
      </c>
      <c r="C815" t="s">
        <v>5</v>
      </c>
      <c r="D815">
        <v>12100</v>
      </c>
    </row>
    <row r="816" spans="1:4" x14ac:dyDescent="0.4">
      <c r="A816" s="1" t="s">
        <v>1616</v>
      </c>
      <c r="B816" t="s">
        <v>1617</v>
      </c>
      <c r="C816" t="s">
        <v>5</v>
      </c>
      <c r="D816">
        <v>12100</v>
      </c>
    </row>
    <row r="817" spans="1:4" x14ac:dyDescent="0.4">
      <c r="A817" s="1" t="s">
        <v>1618</v>
      </c>
      <c r="B817" t="s">
        <v>1619</v>
      </c>
      <c r="C817" t="s">
        <v>5</v>
      </c>
      <c r="D817">
        <v>5709</v>
      </c>
    </row>
    <row r="818" spans="1:4" x14ac:dyDescent="0.4">
      <c r="A818" s="1" t="s">
        <v>1620</v>
      </c>
      <c r="B818" t="s">
        <v>1621</v>
      </c>
      <c r="C818" t="s">
        <v>5</v>
      </c>
      <c r="D818">
        <v>41391</v>
      </c>
    </row>
    <row r="819" spans="1:4" x14ac:dyDescent="0.4">
      <c r="A819" s="1" t="s">
        <v>1622</v>
      </c>
      <c r="B819" t="s">
        <v>1623</v>
      </c>
      <c r="C819" t="s">
        <v>5</v>
      </c>
      <c r="D819">
        <v>3545</v>
      </c>
    </row>
    <row r="820" spans="1:4" x14ac:dyDescent="0.4">
      <c r="A820" s="1" t="s">
        <v>1624</v>
      </c>
      <c r="B820" t="s">
        <v>1625</v>
      </c>
      <c r="C820" t="s">
        <v>5</v>
      </c>
      <c r="D820">
        <v>41900</v>
      </c>
    </row>
    <row r="821" spans="1:4" x14ac:dyDescent="0.4">
      <c r="A821" s="1" t="s">
        <v>1626</v>
      </c>
      <c r="B821" t="s">
        <v>1627</v>
      </c>
      <c r="C821" t="s">
        <v>5</v>
      </c>
      <c r="D821">
        <v>41900</v>
      </c>
    </row>
    <row r="822" spans="1:4" x14ac:dyDescent="0.4">
      <c r="A822" s="1" t="s">
        <v>1628</v>
      </c>
      <c r="B822" t="s">
        <v>1629</v>
      </c>
      <c r="C822" t="s">
        <v>5</v>
      </c>
      <c r="D822">
        <v>41900</v>
      </c>
    </row>
    <row r="823" spans="1:4" x14ac:dyDescent="0.4">
      <c r="A823" s="1" t="s">
        <v>1630</v>
      </c>
      <c r="B823" t="s">
        <v>1631</v>
      </c>
      <c r="C823" t="s">
        <v>5</v>
      </c>
      <c r="D823">
        <v>41900</v>
      </c>
    </row>
    <row r="824" spans="1:4" x14ac:dyDescent="0.4">
      <c r="A824" s="1" t="s">
        <v>1632</v>
      </c>
      <c r="B824" t="s">
        <v>1633</v>
      </c>
      <c r="C824" t="s">
        <v>5</v>
      </c>
      <c r="D824">
        <v>41900</v>
      </c>
    </row>
    <row r="825" spans="1:4" x14ac:dyDescent="0.4">
      <c r="A825" s="1" t="s">
        <v>1634</v>
      </c>
      <c r="B825" t="e">
        <f>-終息-CASIO 一般ﾄﾅｰ B88-TDS-N</f>
        <v>#NAME?</v>
      </c>
      <c r="C825" t="s">
        <v>5</v>
      </c>
      <c r="D825">
        <v>60000</v>
      </c>
    </row>
    <row r="826" spans="1:4" x14ac:dyDescent="0.4">
      <c r="A826" s="1" t="s">
        <v>1635</v>
      </c>
      <c r="B826" t="s">
        <v>1636</v>
      </c>
      <c r="C826" t="s">
        <v>5</v>
      </c>
    </row>
    <row r="827" spans="1:4" x14ac:dyDescent="0.4">
      <c r="A827" s="1" t="s">
        <v>1637</v>
      </c>
      <c r="B827" t="s">
        <v>1638</v>
      </c>
      <c r="C827" t="s">
        <v>5</v>
      </c>
    </row>
    <row r="828" spans="1:4" x14ac:dyDescent="0.4">
      <c r="A828" s="1" t="s">
        <v>1639</v>
      </c>
      <c r="B828" t="s">
        <v>1640</v>
      </c>
      <c r="C828" t="s">
        <v>5</v>
      </c>
    </row>
    <row r="829" spans="1:4" x14ac:dyDescent="0.4">
      <c r="A829" s="1" t="s">
        <v>1641</v>
      </c>
      <c r="B829" t="s">
        <v>1642</v>
      </c>
      <c r="C829" t="s">
        <v>5</v>
      </c>
    </row>
    <row r="830" spans="1:4" x14ac:dyDescent="0.4">
      <c r="A830" s="1" t="s">
        <v>1643</v>
      </c>
      <c r="B830" t="s">
        <v>1644</v>
      </c>
      <c r="C830" t="s">
        <v>5</v>
      </c>
    </row>
    <row r="831" spans="1:4" x14ac:dyDescent="0.4">
      <c r="A831" s="1" t="s">
        <v>1645</v>
      </c>
      <c r="B831" t="s">
        <v>1646</v>
      </c>
      <c r="C831" t="s">
        <v>5</v>
      </c>
    </row>
    <row r="832" spans="1:4" x14ac:dyDescent="0.4">
      <c r="A832" s="1" t="s">
        <v>1647</v>
      </c>
      <c r="B832" t="s">
        <v>1648</v>
      </c>
      <c r="C832" t="s">
        <v>5</v>
      </c>
    </row>
    <row r="833" spans="1:3" x14ac:dyDescent="0.4">
      <c r="A833" s="1" t="s">
        <v>1649</v>
      </c>
      <c r="B833" t="s">
        <v>1650</v>
      </c>
      <c r="C833" t="s">
        <v>5</v>
      </c>
    </row>
    <row r="834" spans="1:3" x14ac:dyDescent="0.4">
      <c r="A834" s="1" t="s">
        <v>1651</v>
      </c>
      <c r="B834" t="s">
        <v>1652</v>
      </c>
      <c r="C834" t="s">
        <v>5</v>
      </c>
    </row>
    <row r="835" spans="1:3" x14ac:dyDescent="0.4">
      <c r="A835" s="1" t="s">
        <v>1653</v>
      </c>
      <c r="B835" t="s">
        <v>1654</v>
      </c>
      <c r="C835" t="s">
        <v>5</v>
      </c>
    </row>
    <row r="836" spans="1:3" x14ac:dyDescent="0.4">
      <c r="A836" s="1" t="s">
        <v>1655</v>
      </c>
      <c r="B836" t="s">
        <v>1656</v>
      </c>
      <c r="C836" t="s">
        <v>5</v>
      </c>
    </row>
    <row r="837" spans="1:3" x14ac:dyDescent="0.4">
      <c r="A837" s="1" t="s">
        <v>1657</v>
      </c>
      <c r="B837" t="s">
        <v>1658</v>
      </c>
      <c r="C837" t="s">
        <v>5</v>
      </c>
    </row>
    <row r="838" spans="1:3" x14ac:dyDescent="0.4">
      <c r="A838" s="1" t="s">
        <v>1659</v>
      </c>
      <c r="B838" t="s">
        <v>1660</v>
      </c>
      <c r="C838" t="s">
        <v>5</v>
      </c>
    </row>
    <row r="839" spans="1:3" x14ac:dyDescent="0.4">
      <c r="A839" s="1" t="s">
        <v>1661</v>
      </c>
      <c r="B839" t="s">
        <v>1662</v>
      </c>
      <c r="C839" t="s">
        <v>5</v>
      </c>
    </row>
    <row r="840" spans="1:3" x14ac:dyDescent="0.4">
      <c r="A840" s="1" t="s">
        <v>1663</v>
      </c>
      <c r="B840" t="s">
        <v>1664</v>
      </c>
      <c r="C840" t="s">
        <v>5</v>
      </c>
    </row>
    <row r="841" spans="1:3" x14ac:dyDescent="0.4">
      <c r="A841" s="1" t="s">
        <v>1665</v>
      </c>
      <c r="B841" t="s">
        <v>1666</v>
      </c>
      <c r="C841" t="s">
        <v>5</v>
      </c>
    </row>
    <row r="842" spans="1:3" x14ac:dyDescent="0.4">
      <c r="A842" s="1" t="s">
        <v>1667</v>
      </c>
      <c r="B842" t="s">
        <v>1668</v>
      </c>
      <c r="C842" t="s">
        <v>5</v>
      </c>
    </row>
    <row r="843" spans="1:3" x14ac:dyDescent="0.4">
      <c r="A843" s="1" t="s">
        <v>1669</v>
      </c>
      <c r="B843" t="s">
        <v>1670</v>
      </c>
      <c r="C843" t="s">
        <v>5</v>
      </c>
    </row>
    <row r="844" spans="1:3" x14ac:dyDescent="0.4">
      <c r="A844" s="1" t="s">
        <v>1671</v>
      </c>
      <c r="B844" t="s">
        <v>1672</v>
      </c>
      <c r="C844" t="s">
        <v>5</v>
      </c>
    </row>
    <row r="845" spans="1:3" x14ac:dyDescent="0.4">
      <c r="A845" s="1" t="s">
        <v>1673</v>
      </c>
      <c r="B845" t="s">
        <v>1674</v>
      </c>
      <c r="C845" t="s">
        <v>5</v>
      </c>
    </row>
    <row r="846" spans="1:3" x14ac:dyDescent="0.4">
      <c r="A846" s="1" t="s">
        <v>1675</v>
      </c>
      <c r="B846" t="s">
        <v>1676</v>
      </c>
      <c r="C846" t="s">
        <v>5</v>
      </c>
    </row>
    <row r="847" spans="1:3" x14ac:dyDescent="0.4">
      <c r="A847" s="1" t="s">
        <v>1677</v>
      </c>
      <c r="B847" t="s">
        <v>1678</v>
      </c>
      <c r="C847" t="s">
        <v>5</v>
      </c>
    </row>
    <row r="848" spans="1:3" x14ac:dyDescent="0.4">
      <c r="A848" s="1" t="s">
        <v>1679</v>
      </c>
      <c r="B848" t="s">
        <v>1680</v>
      </c>
      <c r="C848" t="s">
        <v>5</v>
      </c>
    </row>
    <row r="849" spans="1:3" x14ac:dyDescent="0.4">
      <c r="A849" s="1" t="s">
        <v>1681</v>
      </c>
      <c r="B849" t="s">
        <v>1682</v>
      </c>
      <c r="C849" t="s">
        <v>5</v>
      </c>
    </row>
    <row r="850" spans="1:3" x14ac:dyDescent="0.4">
      <c r="A850" s="1" t="s">
        <v>1683</v>
      </c>
      <c r="B850" t="s">
        <v>1684</v>
      </c>
      <c r="C850" t="s">
        <v>5</v>
      </c>
    </row>
    <row r="851" spans="1:3" x14ac:dyDescent="0.4">
      <c r="A851" s="1" t="s">
        <v>1685</v>
      </c>
      <c r="B851" t="s">
        <v>1686</v>
      </c>
      <c r="C851" t="s">
        <v>5</v>
      </c>
    </row>
    <row r="852" spans="1:3" x14ac:dyDescent="0.4">
      <c r="A852" s="1" t="s">
        <v>1687</v>
      </c>
      <c r="B852" t="s">
        <v>1688</v>
      </c>
      <c r="C852" t="s">
        <v>5</v>
      </c>
    </row>
    <row r="853" spans="1:3" x14ac:dyDescent="0.4">
      <c r="A853" s="1" t="s">
        <v>1689</v>
      </c>
      <c r="B853" t="s">
        <v>1690</v>
      </c>
      <c r="C853" t="s">
        <v>5</v>
      </c>
    </row>
    <row r="854" spans="1:3" x14ac:dyDescent="0.4">
      <c r="A854" s="1" t="s">
        <v>1691</v>
      </c>
      <c r="B854" t="s">
        <v>1692</v>
      </c>
      <c r="C854" t="s">
        <v>5</v>
      </c>
    </row>
    <row r="855" spans="1:3" x14ac:dyDescent="0.4">
      <c r="A855" s="1" t="s">
        <v>1693</v>
      </c>
      <c r="B855" t="s">
        <v>1694</v>
      </c>
      <c r="C855" t="s">
        <v>5</v>
      </c>
    </row>
    <row r="856" spans="1:3" x14ac:dyDescent="0.4">
      <c r="A856" s="1" t="s">
        <v>1695</v>
      </c>
      <c r="B856" t="s">
        <v>1696</v>
      </c>
      <c r="C856" t="s">
        <v>5</v>
      </c>
    </row>
    <row r="857" spans="1:3" x14ac:dyDescent="0.4">
      <c r="A857" s="1" t="s">
        <v>1697</v>
      </c>
      <c r="B857" t="s">
        <v>1698</v>
      </c>
      <c r="C857" t="s">
        <v>5</v>
      </c>
    </row>
    <row r="858" spans="1:3" x14ac:dyDescent="0.4">
      <c r="A858" s="1" t="s">
        <v>1699</v>
      </c>
      <c r="B858" t="s">
        <v>1700</v>
      </c>
      <c r="C858" t="s">
        <v>5</v>
      </c>
    </row>
    <row r="859" spans="1:3" x14ac:dyDescent="0.4">
      <c r="A859" s="1" t="s">
        <v>1701</v>
      </c>
      <c r="B859" t="s">
        <v>1702</v>
      </c>
      <c r="C859" t="s">
        <v>5</v>
      </c>
    </row>
    <row r="860" spans="1:3" x14ac:dyDescent="0.4">
      <c r="A860" s="1" t="s">
        <v>1703</v>
      </c>
      <c r="B860" t="s">
        <v>1704</v>
      </c>
      <c r="C860" t="s">
        <v>5</v>
      </c>
    </row>
    <row r="861" spans="1:3" x14ac:dyDescent="0.4">
      <c r="A861" s="1" t="s">
        <v>1705</v>
      </c>
      <c r="B861" t="s">
        <v>1706</v>
      </c>
      <c r="C861" t="s">
        <v>5</v>
      </c>
    </row>
    <row r="862" spans="1:3" x14ac:dyDescent="0.4">
      <c r="A862" s="1" t="s">
        <v>1707</v>
      </c>
      <c r="B862" t="s">
        <v>1708</v>
      </c>
      <c r="C862" t="s">
        <v>5</v>
      </c>
    </row>
    <row r="863" spans="1:3" x14ac:dyDescent="0.4">
      <c r="A863" s="1" t="s">
        <v>1709</v>
      </c>
      <c r="B863" t="s">
        <v>1710</v>
      </c>
      <c r="C863" t="s">
        <v>5</v>
      </c>
    </row>
    <row r="864" spans="1:3" x14ac:dyDescent="0.4">
      <c r="A864" s="1" t="s">
        <v>1711</v>
      </c>
      <c r="B864" t="s">
        <v>1712</v>
      </c>
      <c r="C864" t="s">
        <v>5</v>
      </c>
    </row>
    <row r="865" spans="1:4" x14ac:dyDescent="0.4">
      <c r="A865" s="1" t="s">
        <v>1713</v>
      </c>
      <c r="B865" t="s">
        <v>1714</v>
      </c>
      <c r="C865" t="s">
        <v>5</v>
      </c>
    </row>
    <row r="866" spans="1:4" x14ac:dyDescent="0.4">
      <c r="A866" s="1" t="s">
        <v>1715</v>
      </c>
      <c r="B866" t="s">
        <v>1716</v>
      </c>
      <c r="C866" t="s">
        <v>5</v>
      </c>
    </row>
    <row r="867" spans="1:4" x14ac:dyDescent="0.4">
      <c r="A867" s="1" t="s">
        <v>1717</v>
      </c>
      <c r="B867" t="s">
        <v>1718</v>
      </c>
      <c r="C867" t="s">
        <v>5</v>
      </c>
    </row>
    <row r="868" spans="1:4" x14ac:dyDescent="0.4">
      <c r="A868" s="1" t="s">
        <v>1719</v>
      </c>
      <c r="B868" t="s">
        <v>1720</v>
      </c>
      <c r="C868" t="s">
        <v>5</v>
      </c>
    </row>
    <row r="869" spans="1:4" x14ac:dyDescent="0.4">
      <c r="A869" s="1" t="s">
        <v>1721</v>
      </c>
      <c r="B869" t="s">
        <v>1722</v>
      </c>
      <c r="C869" t="s">
        <v>5</v>
      </c>
    </row>
    <row r="870" spans="1:4" x14ac:dyDescent="0.4">
      <c r="A870" s="1" t="s">
        <v>1723</v>
      </c>
      <c r="B870" t="s">
        <v>1724</v>
      </c>
      <c r="C870" t="s">
        <v>5</v>
      </c>
    </row>
    <row r="871" spans="1:4" x14ac:dyDescent="0.4">
      <c r="A871" s="1" t="s">
        <v>1725</v>
      </c>
      <c r="B871" t="s">
        <v>1726</v>
      </c>
      <c r="C871" t="s">
        <v>5</v>
      </c>
    </row>
    <row r="872" spans="1:4" x14ac:dyDescent="0.4">
      <c r="A872" s="1" t="s">
        <v>1727</v>
      </c>
      <c r="B872" t="s">
        <v>1728</v>
      </c>
      <c r="C872" t="s">
        <v>5</v>
      </c>
    </row>
    <row r="873" spans="1:4" x14ac:dyDescent="0.4">
      <c r="A873" s="1" t="s">
        <v>1729</v>
      </c>
      <c r="B873" t="s">
        <v>1730</v>
      </c>
      <c r="C873" t="s">
        <v>5</v>
      </c>
    </row>
    <row r="874" spans="1:4" x14ac:dyDescent="0.4">
      <c r="A874" s="1" t="s">
        <v>1731</v>
      </c>
      <c r="B874" t="s">
        <v>1732</v>
      </c>
      <c r="C874" t="s">
        <v>5</v>
      </c>
    </row>
    <row r="875" spans="1:4" x14ac:dyDescent="0.4">
      <c r="A875" s="1" t="s">
        <v>1733</v>
      </c>
      <c r="B875" t="s">
        <v>1734</v>
      </c>
      <c r="C875" t="s">
        <v>5</v>
      </c>
    </row>
    <row r="876" spans="1:4" x14ac:dyDescent="0.4">
      <c r="A876" s="1" t="s">
        <v>1735</v>
      </c>
      <c r="B876" t="s">
        <v>1736</v>
      </c>
      <c r="C876" t="s">
        <v>5</v>
      </c>
    </row>
    <row r="877" spans="1:4" x14ac:dyDescent="0.4">
      <c r="A877" s="1" t="s">
        <v>1737</v>
      </c>
      <c r="B877" t="s">
        <v>1738</v>
      </c>
      <c r="C877" t="s">
        <v>5</v>
      </c>
    </row>
    <row r="878" spans="1:4" x14ac:dyDescent="0.4">
      <c r="A878" s="1" t="s">
        <v>1739</v>
      </c>
      <c r="B878" t="s">
        <v>1740</v>
      </c>
      <c r="C878" t="s">
        <v>5</v>
      </c>
    </row>
    <row r="879" spans="1:4" x14ac:dyDescent="0.4">
      <c r="A879" s="1" t="s">
        <v>1741</v>
      </c>
      <c r="B879" t="s">
        <v>1742</v>
      </c>
      <c r="C879" t="s">
        <v>5</v>
      </c>
      <c r="D879">
        <v>3500</v>
      </c>
    </row>
    <row r="880" spans="1:4" x14ac:dyDescent="0.4">
      <c r="A880" s="1" t="s">
        <v>1743</v>
      </c>
      <c r="B880" t="s">
        <v>1744</v>
      </c>
      <c r="C880" t="s">
        <v>5</v>
      </c>
      <c r="D880">
        <v>11600</v>
      </c>
    </row>
    <row r="881" spans="1:4" x14ac:dyDescent="0.4">
      <c r="A881" s="1" t="s">
        <v>1745</v>
      </c>
      <c r="B881" t="s">
        <v>1746</v>
      </c>
      <c r="C881" t="s">
        <v>5</v>
      </c>
      <c r="D881">
        <v>3500</v>
      </c>
    </row>
    <row r="882" spans="1:4" x14ac:dyDescent="0.4">
      <c r="A882" s="1" t="s">
        <v>1747</v>
      </c>
      <c r="B882" t="s">
        <v>1748</v>
      </c>
      <c r="C882" t="s">
        <v>5</v>
      </c>
      <c r="D882">
        <v>11600</v>
      </c>
    </row>
    <row r="883" spans="1:4" x14ac:dyDescent="0.4">
      <c r="A883" s="1" t="s">
        <v>1749</v>
      </c>
      <c r="B883" t="s">
        <v>1750</v>
      </c>
      <c r="C883" t="s">
        <v>5</v>
      </c>
      <c r="D883">
        <v>3500</v>
      </c>
    </row>
    <row r="884" spans="1:4" x14ac:dyDescent="0.4">
      <c r="A884" s="1" t="s">
        <v>1751</v>
      </c>
      <c r="B884" t="s">
        <v>1752</v>
      </c>
      <c r="C884" t="s">
        <v>5</v>
      </c>
      <c r="D884">
        <v>11600</v>
      </c>
    </row>
    <row r="885" spans="1:4" x14ac:dyDescent="0.4">
      <c r="A885" s="1" t="s">
        <v>1753</v>
      </c>
      <c r="B885" t="s">
        <v>1754</v>
      </c>
      <c r="C885" t="s">
        <v>5</v>
      </c>
      <c r="D885">
        <v>3500</v>
      </c>
    </row>
    <row r="886" spans="1:4" x14ac:dyDescent="0.4">
      <c r="A886" s="1" t="s">
        <v>1755</v>
      </c>
      <c r="B886" t="s">
        <v>1756</v>
      </c>
      <c r="C886" t="s">
        <v>5</v>
      </c>
      <c r="D886">
        <v>11600</v>
      </c>
    </row>
    <row r="887" spans="1:4" x14ac:dyDescent="0.4">
      <c r="A887" s="1" t="s">
        <v>1757</v>
      </c>
      <c r="B887" t="s">
        <v>1758</v>
      </c>
      <c r="C887" t="s">
        <v>5</v>
      </c>
      <c r="D887">
        <v>8500</v>
      </c>
    </row>
    <row r="888" spans="1:4" x14ac:dyDescent="0.4">
      <c r="A888" s="1" t="s">
        <v>1759</v>
      </c>
      <c r="B888" t="s">
        <v>1760</v>
      </c>
      <c r="C888" t="s">
        <v>5</v>
      </c>
      <c r="D888">
        <v>8500</v>
      </c>
    </row>
    <row r="889" spans="1:4" x14ac:dyDescent="0.4">
      <c r="A889" s="1" t="s">
        <v>1761</v>
      </c>
      <c r="B889" t="s">
        <v>1762</v>
      </c>
      <c r="C889" t="s">
        <v>5</v>
      </c>
      <c r="D889">
        <v>8500</v>
      </c>
    </row>
    <row r="890" spans="1:4" x14ac:dyDescent="0.4">
      <c r="A890" s="1" t="s">
        <v>1763</v>
      </c>
      <c r="B890" t="s">
        <v>1764</v>
      </c>
      <c r="C890" t="s">
        <v>5</v>
      </c>
      <c r="D890">
        <v>8500</v>
      </c>
    </row>
    <row r="891" spans="1:4" x14ac:dyDescent="0.4">
      <c r="A891" s="1" t="s">
        <v>1765</v>
      </c>
      <c r="B891" t="s">
        <v>1766</v>
      </c>
      <c r="C891" t="s">
        <v>5</v>
      </c>
      <c r="D891">
        <v>8500</v>
      </c>
    </row>
    <row r="892" spans="1:4" x14ac:dyDescent="0.4">
      <c r="A892" s="1" t="s">
        <v>1767</v>
      </c>
      <c r="B892" t="s">
        <v>1768</v>
      </c>
      <c r="C892" t="s">
        <v>5</v>
      </c>
      <c r="D892">
        <v>15800</v>
      </c>
    </row>
    <row r="893" spans="1:4" x14ac:dyDescent="0.4">
      <c r="A893" s="1" t="s">
        <v>1769</v>
      </c>
      <c r="B893" t="s">
        <v>1770</v>
      </c>
      <c r="C893" t="s">
        <v>5</v>
      </c>
      <c r="D893">
        <v>15800</v>
      </c>
    </row>
    <row r="894" spans="1:4" x14ac:dyDescent="0.4">
      <c r="A894" s="1" t="s">
        <v>1771</v>
      </c>
      <c r="B894" t="s">
        <v>1772</v>
      </c>
      <c r="C894" t="s">
        <v>5</v>
      </c>
      <c r="D894">
        <v>15800</v>
      </c>
    </row>
    <row r="895" spans="1:4" x14ac:dyDescent="0.4">
      <c r="A895" s="1" t="s">
        <v>1773</v>
      </c>
      <c r="B895" t="s">
        <v>1774</v>
      </c>
      <c r="C895" t="s">
        <v>5</v>
      </c>
      <c r="D895">
        <v>15800</v>
      </c>
    </row>
    <row r="896" spans="1:4" x14ac:dyDescent="0.4">
      <c r="A896" s="1" t="s">
        <v>1775</v>
      </c>
      <c r="B896" t="s">
        <v>1776</v>
      </c>
      <c r="C896" t="s">
        <v>5</v>
      </c>
      <c r="D896">
        <v>15800</v>
      </c>
    </row>
    <row r="897" spans="1:4" x14ac:dyDescent="0.4">
      <c r="A897" s="1" t="s">
        <v>1777</v>
      </c>
      <c r="B897" t="s">
        <v>1778</v>
      </c>
      <c r="C897" t="s">
        <v>5</v>
      </c>
      <c r="D897">
        <v>16800</v>
      </c>
    </row>
    <row r="898" spans="1:4" x14ac:dyDescent="0.4">
      <c r="A898" s="1" t="s">
        <v>1779</v>
      </c>
      <c r="B898" t="s">
        <v>1780</v>
      </c>
      <c r="C898" t="s">
        <v>5</v>
      </c>
      <c r="D898">
        <v>16800</v>
      </c>
    </row>
    <row r="899" spans="1:4" x14ac:dyDescent="0.4">
      <c r="A899" s="1" t="s">
        <v>1781</v>
      </c>
      <c r="B899" t="s">
        <v>1782</v>
      </c>
      <c r="C899" t="s">
        <v>5</v>
      </c>
      <c r="D899">
        <v>16800</v>
      </c>
    </row>
    <row r="900" spans="1:4" x14ac:dyDescent="0.4">
      <c r="A900" s="1" t="s">
        <v>1783</v>
      </c>
      <c r="B900" t="s">
        <v>1784</v>
      </c>
      <c r="C900" t="s">
        <v>5</v>
      </c>
      <c r="D900">
        <v>16800</v>
      </c>
    </row>
    <row r="901" spans="1:4" x14ac:dyDescent="0.4">
      <c r="A901" s="1" t="s">
        <v>1785</v>
      </c>
      <c r="B901" t="s">
        <v>1786</v>
      </c>
      <c r="C901" t="s">
        <v>5</v>
      </c>
      <c r="D901">
        <v>40000</v>
      </c>
    </row>
    <row r="902" spans="1:4" x14ac:dyDescent="0.4">
      <c r="A902" s="1" t="s">
        <v>1787</v>
      </c>
      <c r="B902" t="s">
        <v>1788</v>
      </c>
      <c r="C902" t="s">
        <v>5</v>
      </c>
      <c r="D902">
        <v>40000</v>
      </c>
    </row>
    <row r="903" spans="1:4" x14ac:dyDescent="0.4">
      <c r="A903" s="1" t="s">
        <v>1789</v>
      </c>
      <c r="B903" t="s">
        <v>1790</v>
      </c>
      <c r="C903" t="s">
        <v>5</v>
      </c>
      <c r="D903">
        <v>33000</v>
      </c>
    </row>
    <row r="904" spans="1:4" x14ac:dyDescent="0.4">
      <c r="A904" s="1" t="s">
        <v>1791</v>
      </c>
      <c r="B904" t="s">
        <v>1792</v>
      </c>
      <c r="C904" t="s">
        <v>5</v>
      </c>
      <c r="D904">
        <v>33000</v>
      </c>
    </row>
    <row r="905" spans="1:4" x14ac:dyDescent="0.4">
      <c r="A905" s="1" t="s">
        <v>1793</v>
      </c>
      <c r="B905" t="s">
        <v>1794</v>
      </c>
      <c r="C905" t="s">
        <v>5</v>
      </c>
      <c r="D905">
        <v>20000</v>
      </c>
    </row>
    <row r="906" spans="1:4" x14ac:dyDescent="0.4">
      <c r="A906" s="1" t="s">
        <v>1795</v>
      </c>
      <c r="B906" t="s">
        <v>1796</v>
      </c>
      <c r="C906" t="s">
        <v>5</v>
      </c>
      <c r="D906">
        <v>20000</v>
      </c>
    </row>
    <row r="907" spans="1:4" x14ac:dyDescent="0.4">
      <c r="A907" s="1" t="s">
        <v>1797</v>
      </c>
      <c r="B907" t="s">
        <v>1798</v>
      </c>
      <c r="C907" t="s">
        <v>5</v>
      </c>
      <c r="D907">
        <v>33000</v>
      </c>
    </row>
    <row r="908" spans="1:4" x14ac:dyDescent="0.4">
      <c r="A908" s="1" t="s">
        <v>1799</v>
      </c>
      <c r="B908" t="s">
        <v>1800</v>
      </c>
      <c r="C908" t="s">
        <v>5</v>
      </c>
      <c r="D908">
        <v>33000</v>
      </c>
    </row>
    <row r="909" spans="1:4" x14ac:dyDescent="0.4">
      <c r="A909" s="1" t="s">
        <v>1801</v>
      </c>
      <c r="B909" t="s">
        <v>1802</v>
      </c>
      <c r="C909" t="s">
        <v>5</v>
      </c>
      <c r="D909">
        <v>8800</v>
      </c>
    </row>
    <row r="910" spans="1:4" x14ac:dyDescent="0.4">
      <c r="A910" s="1" t="s">
        <v>1803</v>
      </c>
      <c r="B910" t="s">
        <v>1804</v>
      </c>
      <c r="C910" t="s">
        <v>5</v>
      </c>
      <c r="D910">
        <v>40000</v>
      </c>
    </row>
    <row r="911" spans="1:4" x14ac:dyDescent="0.4">
      <c r="A911" s="1" t="s">
        <v>1805</v>
      </c>
      <c r="B911" t="s">
        <v>1806</v>
      </c>
      <c r="C911" t="s">
        <v>5</v>
      </c>
      <c r="D911">
        <v>50000</v>
      </c>
    </row>
    <row r="912" spans="1:4" x14ac:dyDescent="0.4">
      <c r="A912" s="1" t="s">
        <v>1807</v>
      </c>
      <c r="B912" t="s">
        <v>1808</v>
      </c>
      <c r="C912" t="s">
        <v>5</v>
      </c>
      <c r="D912">
        <v>40000</v>
      </c>
    </row>
    <row r="913" spans="1:4" x14ac:dyDescent="0.4">
      <c r="A913" s="1" t="s">
        <v>1809</v>
      </c>
      <c r="B913" t="s">
        <v>1810</v>
      </c>
      <c r="C913" t="s">
        <v>5</v>
      </c>
      <c r="D913">
        <v>33000</v>
      </c>
    </row>
    <row r="914" spans="1:4" x14ac:dyDescent="0.4">
      <c r="A914" s="1" t="s">
        <v>1811</v>
      </c>
      <c r="B914" t="s">
        <v>1812</v>
      </c>
      <c r="C914" t="s">
        <v>5</v>
      </c>
    </row>
    <row r="915" spans="1:4" x14ac:dyDescent="0.4">
      <c r="A915" s="1" t="s">
        <v>1813</v>
      </c>
      <c r="B915" t="s">
        <v>1814</v>
      </c>
      <c r="C915" t="s">
        <v>5</v>
      </c>
    </row>
    <row r="916" spans="1:4" x14ac:dyDescent="0.4">
      <c r="A916" s="1" t="s">
        <v>1815</v>
      </c>
      <c r="B916" t="s">
        <v>1816</v>
      </c>
      <c r="C916" t="s">
        <v>5</v>
      </c>
    </row>
    <row r="917" spans="1:4" x14ac:dyDescent="0.4">
      <c r="A917" s="1" t="s">
        <v>1817</v>
      </c>
      <c r="B917" t="s">
        <v>1818</v>
      </c>
      <c r="C917" t="s">
        <v>5</v>
      </c>
    </row>
    <row r="918" spans="1:4" x14ac:dyDescent="0.4">
      <c r="A918" s="1" t="s">
        <v>1819</v>
      </c>
      <c r="B918" t="s">
        <v>1820</v>
      </c>
      <c r="C918" t="s">
        <v>5</v>
      </c>
    </row>
    <row r="919" spans="1:4" x14ac:dyDescent="0.4">
      <c r="A919" s="1" t="s">
        <v>1821</v>
      </c>
      <c r="B919" t="s">
        <v>1822</v>
      </c>
      <c r="C919" t="s">
        <v>5</v>
      </c>
    </row>
    <row r="920" spans="1:4" x14ac:dyDescent="0.4">
      <c r="A920" s="1" t="s">
        <v>1823</v>
      </c>
      <c r="B920" t="s">
        <v>1824</v>
      </c>
      <c r="C920" t="s">
        <v>5</v>
      </c>
    </row>
    <row r="921" spans="1:4" x14ac:dyDescent="0.4">
      <c r="A921" s="1" t="s">
        <v>1825</v>
      </c>
      <c r="B921" t="s">
        <v>1826</v>
      </c>
      <c r="C921" t="s">
        <v>5</v>
      </c>
    </row>
    <row r="922" spans="1:4" x14ac:dyDescent="0.4">
      <c r="A922" s="1" t="s">
        <v>1827</v>
      </c>
      <c r="B922" t="s">
        <v>1828</v>
      </c>
      <c r="C922" t="s">
        <v>5</v>
      </c>
    </row>
    <row r="923" spans="1:4" x14ac:dyDescent="0.4">
      <c r="A923" s="1" t="s">
        <v>1829</v>
      </c>
      <c r="B923" t="s">
        <v>1830</v>
      </c>
      <c r="C923" t="s">
        <v>5</v>
      </c>
    </row>
    <row r="924" spans="1:4" x14ac:dyDescent="0.4">
      <c r="A924" s="1" t="s">
        <v>1831</v>
      </c>
      <c r="B924" t="s">
        <v>1832</v>
      </c>
      <c r="C924" t="s">
        <v>5</v>
      </c>
    </row>
    <row r="925" spans="1:4" x14ac:dyDescent="0.4">
      <c r="A925" s="1" t="s">
        <v>1833</v>
      </c>
      <c r="B925" t="s">
        <v>1834</v>
      </c>
      <c r="C925" t="s">
        <v>5</v>
      </c>
    </row>
    <row r="926" spans="1:4" x14ac:dyDescent="0.4">
      <c r="A926" s="1" t="s">
        <v>1835</v>
      </c>
      <c r="B926" t="s">
        <v>1836</v>
      </c>
      <c r="C926" t="s">
        <v>5</v>
      </c>
    </row>
    <row r="927" spans="1:4" x14ac:dyDescent="0.4">
      <c r="A927" s="1" t="s">
        <v>1837</v>
      </c>
      <c r="B927" t="s">
        <v>1838</v>
      </c>
      <c r="C927" t="s">
        <v>5</v>
      </c>
    </row>
    <row r="928" spans="1:4" x14ac:dyDescent="0.4">
      <c r="A928" s="1" t="s">
        <v>1839</v>
      </c>
      <c r="B928" t="s">
        <v>1840</v>
      </c>
      <c r="C928" t="s">
        <v>5</v>
      </c>
    </row>
    <row r="929" spans="1:3" x14ac:dyDescent="0.4">
      <c r="A929" s="1" t="s">
        <v>1841</v>
      </c>
      <c r="B929" t="s">
        <v>1842</v>
      </c>
      <c r="C929" t="s">
        <v>5</v>
      </c>
    </row>
    <row r="930" spans="1:3" x14ac:dyDescent="0.4">
      <c r="A930" s="1" t="s">
        <v>1843</v>
      </c>
      <c r="B930" t="s">
        <v>1844</v>
      </c>
      <c r="C930" t="s">
        <v>5</v>
      </c>
    </row>
    <row r="931" spans="1:3" x14ac:dyDescent="0.4">
      <c r="A931" s="1" t="s">
        <v>1845</v>
      </c>
      <c r="B931" t="s">
        <v>1846</v>
      </c>
      <c r="C931" t="s">
        <v>5</v>
      </c>
    </row>
    <row r="932" spans="1:3" x14ac:dyDescent="0.4">
      <c r="A932" s="1" t="s">
        <v>1847</v>
      </c>
      <c r="B932" t="s">
        <v>1848</v>
      </c>
      <c r="C932" t="s">
        <v>5</v>
      </c>
    </row>
    <row r="933" spans="1:3" x14ac:dyDescent="0.4">
      <c r="A933" s="1" t="s">
        <v>1849</v>
      </c>
      <c r="B933" t="s">
        <v>1850</v>
      </c>
      <c r="C933" t="s">
        <v>5</v>
      </c>
    </row>
    <row r="934" spans="1:3" x14ac:dyDescent="0.4">
      <c r="A934" s="1" t="s">
        <v>1851</v>
      </c>
      <c r="B934" t="s">
        <v>1852</v>
      </c>
      <c r="C934" t="s">
        <v>5</v>
      </c>
    </row>
    <row r="935" spans="1:3" x14ac:dyDescent="0.4">
      <c r="A935" s="1" t="s">
        <v>1853</v>
      </c>
      <c r="B935" t="s">
        <v>1854</v>
      </c>
      <c r="C935" t="s">
        <v>5</v>
      </c>
    </row>
    <row r="936" spans="1:3" x14ac:dyDescent="0.4">
      <c r="A936" s="1" t="s">
        <v>1855</v>
      </c>
      <c r="B936" t="s">
        <v>1856</v>
      </c>
      <c r="C936" t="s">
        <v>5</v>
      </c>
    </row>
    <row r="937" spans="1:3" x14ac:dyDescent="0.4">
      <c r="A937" s="1" t="s">
        <v>1857</v>
      </c>
      <c r="B937" t="s">
        <v>1858</v>
      </c>
      <c r="C937" t="s">
        <v>5</v>
      </c>
    </row>
    <row r="938" spans="1:3" x14ac:dyDescent="0.4">
      <c r="A938" s="1" t="s">
        <v>1859</v>
      </c>
      <c r="B938" t="s">
        <v>1860</v>
      </c>
      <c r="C938" t="s">
        <v>5</v>
      </c>
    </row>
    <row r="939" spans="1:3" x14ac:dyDescent="0.4">
      <c r="A939" s="1" t="s">
        <v>1861</v>
      </c>
      <c r="B939" t="s">
        <v>1862</v>
      </c>
      <c r="C939" t="s">
        <v>5</v>
      </c>
    </row>
    <row r="940" spans="1:3" x14ac:dyDescent="0.4">
      <c r="A940" s="1" t="s">
        <v>1863</v>
      </c>
      <c r="B940" t="s">
        <v>1864</v>
      </c>
      <c r="C940" t="s">
        <v>5</v>
      </c>
    </row>
    <row r="941" spans="1:3" x14ac:dyDescent="0.4">
      <c r="A941" s="1" t="s">
        <v>1865</v>
      </c>
      <c r="B941" t="s">
        <v>1866</v>
      </c>
      <c r="C941" t="s">
        <v>5</v>
      </c>
    </row>
    <row r="942" spans="1:3" x14ac:dyDescent="0.4">
      <c r="A942" s="1" t="s">
        <v>1867</v>
      </c>
      <c r="B942" t="s">
        <v>1868</v>
      </c>
      <c r="C942" t="s">
        <v>5</v>
      </c>
    </row>
    <row r="943" spans="1:3" x14ac:dyDescent="0.4">
      <c r="A943" s="1" t="s">
        <v>1869</v>
      </c>
      <c r="B943" t="s">
        <v>1870</v>
      </c>
      <c r="C943" t="s">
        <v>5</v>
      </c>
    </row>
    <row r="944" spans="1:3" x14ac:dyDescent="0.4">
      <c r="A944" s="1" t="s">
        <v>1871</v>
      </c>
      <c r="B944" t="s">
        <v>1872</v>
      </c>
      <c r="C944" t="s">
        <v>5</v>
      </c>
    </row>
    <row r="945" spans="1:3" x14ac:dyDescent="0.4">
      <c r="A945" s="1" t="s">
        <v>1873</v>
      </c>
      <c r="B945" t="s">
        <v>1874</v>
      </c>
      <c r="C945" t="s">
        <v>5</v>
      </c>
    </row>
    <row r="946" spans="1:3" x14ac:dyDescent="0.4">
      <c r="A946" s="1" t="s">
        <v>1875</v>
      </c>
      <c r="B946" t="s">
        <v>1876</v>
      </c>
      <c r="C946" t="s">
        <v>5</v>
      </c>
    </row>
    <row r="947" spans="1:3" x14ac:dyDescent="0.4">
      <c r="A947" s="1" t="s">
        <v>1877</v>
      </c>
      <c r="B947" t="s">
        <v>1878</v>
      </c>
      <c r="C947" t="s">
        <v>5</v>
      </c>
    </row>
    <row r="948" spans="1:3" x14ac:dyDescent="0.4">
      <c r="A948" s="1" t="s">
        <v>1879</v>
      </c>
      <c r="B948" t="s">
        <v>1880</v>
      </c>
      <c r="C948" t="s">
        <v>5</v>
      </c>
    </row>
    <row r="949" spans="1:3" x14ac:dyDescent="0.4">
      <c r="A949" s="1" t="s">
        <v>1881</v>
      </c>
      <c r="B949" t="s">
        <v>1882</v>
      </c>
      <c r="C949" t="s">
        <v>5</v>
      </c>
    </row>
    <row r="950" spans="1:3" x14ac:dyDescent="0.4">
      <c r="A950" s="1" t="s">
        <v>1883</v>
      </c>
      <c r="B950" t="s">
        <v>1884</v>
      </c>
      <c r="C950" t="s">
        <v>5</v>
      </c>
    </row>
    <row r="951" spans="1:3" x14ac:dyDescent="0.4">
      <c r="A951" s="1" t="s">
        <v>1885</v>
      </c>
      <c r="B951" t="s">
        <v>1886</v>
      </c>
      <c r="C951" t="s">
        <v>5</v>
      </c>
    </row>
    <row r="952" spans="1:3" x14ac:dyDescent="0.4">
      <c r="A952" s="1" t="s">
        <v>1887</v>
      </c>
      <c r="B952" t="s">
        <v>1888</v>
      </c>
      <c r="C952" t="s">
        <v>5</v>
      </c>
    </row>
    <row r="953" spans="1:3" x14ac:dyDescent="0.4">
      <c r="A953" s="1" t="s">
        <v>1889</v>
      </c>
      <c r="B953" t="s">
        <v>1890</v>
      </c>
      <c r="C953" t="s">
        <v>5</v>
      </c>
    </row>
    <row r="954" spans="1:3" x14ac:dyDescent="0.4">
      <c r="A954" s="1" t="s">
        <v>1891</v>
      </c>
      <c r="B954" t="s">
        <v>1892</v>
      </c>
      <c r="C954" t="s">
        <v>5</v>
      </c>
    </row>
    <row r="955" spans="1:3" x14ac:dyDescent="0.4">
      <c r="A955" s="1" t="s">
        <v>1893</v>
      </c>
      <c r="B955" t="s">
        <v>1894</v>
      </c>
      <c r="C955" t="s">
        <v>5</v>
      </c>
    </row>
    <row r="956" spans="1:3" x14ac:dyDescent="0.4">
      <c r="A956" s="1" t="s">
        <v>1895</v>
      </c>
      <c r="B956" t="s">
        <v>1896</v>
      </c>
      <c r="C956" t="s">
        <v>5</v>
      </c>
    </row>
    <row r="957" spans="1:3" x14ac:dyDescent="0.4">
      <c r="A957" s="1" t="s">
        <v>1897</v>
      </c>
      <c r="B957" t="s">
        <v>1898</v>
      </c>
      <c r="C957" t="s">
        <v>5</v>
      </c>
    </row>
    <row r="958" spans="1:3" x14ac:dyDescent="0.4">
      <c r="A958" s="1" t="s">
        <v>1899</v>
      </c>
      <c r="B958" t="s">
        <v>1900</v>
      </c>
      <c r="C958" t="s">
        <v>5</v>
      </c>
    </row>
    <row r="959" spans="1:3" x14ac:dyDescent="0.4">
      <c r="A959" s="1" t="s">
        <v>1901</v>
      </c>
      <c r="B959" t="s">
        <v>1902</v>
      </c>
      <c r="C959" t="s">
        <v>5</v>
      </c>
    </row>
    <row r="960" spans="1:3" x14ac:dyDescent="0.4">
      <c r="A960" s="1" t="s">
        <v>1903</v>
      </c>
      <c r="B960" t="s">
        <v>1904</v>
      </c>
      <c r="C960" t="s">
        <v>5</v>
      </c>
    </row>
    <row r="961" spans="1:4" x14ac:dyDescent="0.4">
      <c r="A961" s="1" t="s">
        <v>1905</v>
      </c>
      <c r="B961" t="s">
        <v>1906</v>
      </c>
      <c r="C961" t="s">
        <v>5</v>
      </c>
    </row>
    <row r="962" spans="1:4" x14ac:dyDescent="0.4">
      <c r="A962" s="1" t="s">
        <v>1907</v>
      </c>
      <c r="B962" t="s">
        <v>1908</v>
      </c>
      <c r="C962" t="s">
        <v>5</v>
      </c>
      <c r="D962">
        <v>25000</v>
      </c>
    </row>
    <row r="963" spans="1:4" x14ac:dyDescent="0.4">
      <c r="A963" s="1" t="s">
        <v>1909</v>
      </c>
      <c r="B963" t="s">
        <v>1910</v>
      </c>
      <c r="C963" t="s">
        <v>5</v>
      </c>
      <c r="D963">
        <v>25000</v>
      </c>
    </row>
    <row r="964" spans="1:4" x14ac:dyDescent="0.4">
      <c r="A964" s="1" t="s">
        <v>1911</v>
      </c>
      <c r="B964" t="s">
        <v>1912</v>
      </c>
      <c r="C964" t="s">
        <v>5</v>
      </c>
      <c r="D964">
        <v>25000</v>
      </c>
    </row>
    <row r="965" spans="1:4" x14ac:dyDescent="0.4">
      <c r="A965" s="1" t="s">
        <v>1913</v>
      </c>
      <c r="B965" t="s">
        <v>1914</v>
      </c>
      <c r="C965" t="s">
        <v>5</v>
      </c>
      <c r="D965">
        <v>25000</v>
      </c>
    </row>
    <row r="966" spans="1:4" x14ac:dyDescent="0.4">
      <c r="A966" s="1" t="s">
        <v>1915</v>
      </c>
      <c r="B966" t="s">
        <v>1916</v>
      </c>
      <c r="C966" t="s">
        <v>5</v>
      </c>
      <c r="D966">
        <v>25000</v>
      </c>
    </row>
    <row r="967" spans="1:4" x14ac:dyDescent="0.4">
      <c r="A967" s="1" t="s">
        <v>1917</v>
      </c>
      <c r="B967" t="s">
        <v>1918</v>
      </c>
      <c r="C967" t="s">
        <v>5</v>
      </c>
      <c r="D967">
        <v>25000</v>
      </c>
    </row>
    <row r="968" spans="1:4" x14ac:dyDescent="0.4">
      <c r="A968" s="1" t="s">
        <v>1919</v>
      </c>
      <c r="B968" t="s">
        <v>1920</v>
      </c>
      <c r="C968" t="s">
        <v>5</v>
      </c>
      <c r="D968">
        <v>15000</v>
      </c>
    </row>
    <row r="969" spans="1:4" x14ac:dyDescent="0.4">
      <c r="A969" s="1" t="s">
        <v>1921</v>
      </c>
      <c r="B969" t="s">
        <v>1922</v>
      </c>
      <c r="C969" t="s">
        <v>5</v>
      </c>
      <c r="D969">
        <v>15750</v>
      </c>
    </row>
    <row r="970" spans="1:4" x14ac:dyDescent="0.4">
      <c r="A970" s="1" t="s">
        <v>1923</v>
      </c>
      <c r="B970" t="s">
        <v>1924</v>
      </c>
      <c r="C970" t="s">
        <v>5</v>
      </c>
      <c r="D970">
        <v>34400</v>
      </c>
    </row>
    <row r="971" spans="1:4" x14ac:dyDescent="0.4">
      <c r="A971" s="1" t="s">
        <v>1925</v>
      </c>
      <c r="B971" t="s">
        <v>1926</v>
      </c>
      <c r="C971" t="s">
        <v>5</v>
      </c>
      <c r="D971">
        <v>10200</v>
      </c>
    </row>
    <row r="972" spans="1:4" x14ac:dyDescent="0.4">
      <c r="A972" s="1" t="s">
        <v>1927</v>
      </c>
      <c r="B972" t="s">
        <v>1928</v>
      </c>
      <c r="C972" t="s">
        <v>5</v>
      </c>
      <c r="D972">
        <v>25500</v>
      </c>
    </row>
    <row r="973" spans="1:4" x14ac:dyDescent="0.4">
      <c r="A973" s="1" t="s">
        <v>1929</v>
      </c>
      <c r="B973" t="s">
        <v>1930</v>
      </c>
      <c r="C973" t="s">
        <v>5</v>
      </c>
      <c r="D973">
        <v>10200</v>
      </c>
    </row>
    <row r="974" spans="1:4" x14ac:dyDescent="0.4">
      <c r="A974" s="1" t="s">
        <v>1931</v>
      </c>
      <c r="B974" t="s">
        <v>1932</v>
      </c>
      <c r="C974" t="s">
        <v>5</v>
      </c>
      <c r="D974">
        <v>10200</v>
      </c>
    </row>
    <row r="975" spans="1:4" x14ac:dyDescent="0.4">
      <c r="A975" s="1" t="s">
        <v>1933</v>
      </c>
      <c r="B975" t="s">
        <v>1934</v>
      </c>
      <c r="C975" t="s">
        <v>5</v>
      </c>
      <c r="D975">
        <v>11900</v>
      </c>
    </row>
    <row r="976" spans="1:4" x14ac:dyDescent="0.4">
      <c r="A976" s="1" t="s">
        <v>1935</v>
      </c>
      <c r="B976" t="s">
        <v>1936</v>
      </c>
      <c r="C976" t="s">
        <v>5</v>
      </c>
      <c r="D976">
        <v>25500</v>
      </c>
    </row>
    <row r="977" spans="1:4" x14ac:dyDescent="0.4">
      <c r="A977" s="1" t="s">
        <v>1937</v>
      </c>
      <c r="B977" t="s">
        <v>1938</v>
      </c>
      <c r="C977" t="s">
        <v>5</v>
      </c>
      <c r="D977">
        <v>11900</v>
      </c>
    </row>
    <row r="978" spans="1:4" x14ac:dyDescent="0.4">
      <c r="A978" s="1" t="s">
        <v>1939</v>
      </c>
      <c r="B978" t="s">
        <v>1940</v>
      </c>
      <c r="C978" t="s">
        <v>5</v>
      </c>
      <c r="D978">
        <v>11900</v>
      </c>
    </row>
    <row r="979" spans="1:4" x14ac:dyDescent="0.4">
      <c r="A979" s="1" t="s">
        <v>1941</v>
      </c>
      <c r="B979" t="s">
        <v>1942</v>
      </c>
      <c r="C979" t="s">
        <v>5</v>
      </c>
      <c r="D979">
        <v>61909</v>
      </c>
    </row>
    <row r="980" spans="1:4" x14ac:dyDescent="0.4">
      <c r="A980" s="1" t="s">
        <v>1943</v>
      </c>
      <c r="B980" t="s">
        <v>1944</v>
      </c>
      <c r="C980" t="s">
        <v>5</v>
      </c>
      <c r="D980">
        <v>27400</v>
      </c>
    </row>
    <row r="981" spans="1:4" x14ac:dyDescent="0.4">
      <c r="A981" s="1" t="s">
        <v>1945</v>
      </c>
      <c r="B981" t="s">
        <v>1946</v>
      </c>
      <c r="C981" t="s">
        <v>5</v>
      </c>
      <c r="D981">
        <v>13400</v>
      </c>
    </row>
    <row r="982" spans="1:4" x14ac:dyDescent="0.4">
      <c r="A982" s="1" t="s">
        <v>1947</v>
      </c>
      <c r="B982" t="s">
        <v>1948</v>
      </c>
      <c r="C982" t="s">
        <v>5</v>
      </c>
      <c r="D982">
        <v>13400</v>
      </c>
    </row>
    <row r="983" spans="1:4" x14ac:dyDescent="0.4">
      <c r="A983" s="1" t="s">
        <v>1949</v>
      </c>
      <c r="B983" t="s">
        <v>1950</v>
      </c>
      <c r="C983" t="s">
        <v>5</v>
      </c>
      <c r="D983">
        <v>13400</v>
      </c>
    </row>
    <row r="984" spans="1:4" x14ac:dyDescent="0.4">
      <c r="A984" s="1" t="s">
        <v>1951</v>
      </c>
      <c r="B984" t="s">
        <v>1952</v>
      </c>
      <c r="C984" t="s">
        <v>5</v>
      </c>
      <c r="D984">
        <v>29300</v>
      </c>
    </row>
    <row r="985" spans="1:4" x14ac:dyDescent="0.4">
      <c r="A985" s="1" t="s">
        <v>1953</v>
      </c>
      <c r="B985" t="s">
        <v>1954</v>
      </c>
      <c r="C985" t="s">
        <v>5</v>
      </c>
      <c r="D985">
        <v>7900</v>
      </c>
    </row>
    <row r="986" spans="1:4" x14ac:dyDescent="0.4">
      <c r="A986" s="1" t="s">
        <v>1955</v>
      </c>
      <c r="B986" t="s">
        <v>1956</v>
      </c>
      <c r="C986" t="s">
        <v>5</v>
      </c>
      <c r="D986">
        <v>9400</v>
      </c>
    </row>
    <row r="987" spans="1:4" x14ac:dyDescent="0.4">
      <c r="A987" s="1" t="s">
        <v>1957</v>
      </c>
      <c r="B987" t="s">
        <v>1958</v>
      </c>
      <c r="C987" t="s">
        <v>5</v>
      </c>
      <c r="D987">
        <v>9400</v>
      </c>
    </row>
    <row r="988" spans="1:4" x14ac:dyDescent="0.4">
      <c r="A988" s="1" t="s">
        <v>1959</v>
      </c>
      <c r="B988" t="s">
        <v>1960</v>
      </c>
      <c r="C988" t="s">
        <v>5</v>
      </c>
      <c r="D988">
        <v>9400</v>
      </c>
    </row>
    <row r="989" spans="1:4" x14ac:dyDescent="0.4">
      <c r="A989" s="1" t="s">
        <v>1961</v>
      </c>
      <c r="B989" t="s">
        <v>1962</v>
      </c>
      <c r="C989" t="s">
        <v>5</v>
      </c>
      <c r="D989">
        <v>5000</v>
      </c>
    </row>
    <row r="990" spans="1:4" x14ac:dyDescent="0.4">
      <c r="A990" s="1" t="s">
        <v>1963</v>
      </c>
      <c r="B990" t="s">
        <v>1964</v>
      </c>
      <c r="C990" t="s">
        <v>5</v>
      </c>
      <c r="D990">
        <v>3000</v>
      </c>
    </row>
    <row r="991" spans="1:4" x14ac:dyDescent="0.4">
      <c r="A991" s="1" t="s">
        <v>1965</v>
      </c>
      <c r="B991" t="s">
        <v>1966</v>
      </c>
      <c r="C991" t="s">
        <v>5</v>
      </c>
      <c r="D991">
        <v>3000</v>
      </c>
    </row>
    <row r="992" spans="1:4" x14ac:dyDescent="0.4">
      <c r="A992" s="1" t="s">
        <v>1967</v>
      </c>
      <c r="B992" t="s">
        <v>1968</v>
      </c>
      <c r="C992" t="s">
        <v>5</v>
      </c>
      <c r="D992">
        <v>3000</v>
      </c>
    </row>
    <row r="993" spans="1:4" x14ac:dyDescent="0.4">
      <c r="A993" s="1" t="s">
        <v>1969</v>
      </c>
      <c r="B993" t="s">
        <v>1970</v>
      </c>
      <c r="C993" t="s">
        <v>5</v>
      </c>
      <c r="D993">
        <v>5000</v>
      </c>
    </row>
    <row r="994" spans="1:4" x14ac:dyDescent="0.4">
      <c r="A994" s="1" t="s">
        <v>1971</v>
      </c>
      <c r="B994" t="s">
        <v>1972</v>
      </c>
      <c r="C994" t="s">
        <v>5</v>
      </c>
      <c r="D994">
        <v>3000</v>
      </c>
    </row>
    <row r="995" spans="1:4" x14ac:dyDescent="0.4">
      <c r="A995" s="1" t="s">
        <v>1973</v>
      </c>
      <c r="B995" t="s">
        <v>1974</v>
      </c>
      <c r="C995" t="s">
        <v>5</v>
      </c>
      <c r="D995">
        <v>3000</v>
      </c>
    </row>
    <row r="996" spans="1:4" x14ac:dyDescent="0.4">
      <c r="A996" s="1" t="s">
        <v>1975</v>
      </c>
      <c r="B996" t="s">
        <v>1976</v>
      </c>
      <c r="C996" t="s">
        <v>5</v>
      </c>
      <c r="D996">
        <v>3000</v>
      </c>
    </row>
    <row r="997" spans="1:4" x14ac:dyDescent="0.4">
      <c r="A997" s="1" t="s">
        <v>1977</v>
      </c>
      <c r="B997" t="s">
        <v>1978</v>
      </c>
      <c r="C997" t="s">
        <v>5</v>
      </c>
      <c r="D997">
        <v>8700</v>
      </c>
    </row>
    <row r="998" spans="1:4" x14ac:dyDescent="0.4">
      <c r="A998" s="1" t="s">
        <v>1979</v>
      </c>
      <c r="B998" t="s">
        <v>1980</v>
      </c>
      <c r="C998" t="s">
        <v>5</v>
      </c>
      <c r="D998">
        <v>10400</v>
      </c>
    </row>
    <row r="999" spans="1:4" x14ac:dyDescent="0.4">
      <c r="A999" s="1" t="s">
        <v>1981</v>
      </c>
      <c r="B999" t="s">
        <v>1982</v>
      </c>
      <c r="C999" t="s">
        <v>5</v>
      </c>
      <c r="D999">
        <v>3400</v>
      </c>
    </row>
    <row r="1000" spans="1:4" x14ac:dyDescent="0.4">
      <c r="A1000" s="1" t="s">
        <v>1983</v>
      </c>
      <c r="B1000" t="s">
        <v>1984</v>
      </c>
      <c r="C1000" t="s">
        <v>5</v>
      </c>
      <c r="D1000">
        <v>10400</v>
      </c>
    </row>
    <row r="1001" spans="1:4" x14ac:dyDescent="0.4">
      <c r="A1001" s="1" t="s">
        <v>1985</v>
      </c>
      <c r="B1001" t="s">
        <v>1986</v>
      </c>
      <c r="C1001" t="s">
        <v>5</v>
      </c>
      <c r="D1001">
        <v>10400</v>
      </c>
    </row>
    <row r="1002" spans="1:4" x14ac:dyDescent="0.4">
      <c r="A1002" s="1" t="s">
        <v>1987</v>
      </c>
      <c r="B1002" t="s">
        <v>1988</v>
      </c>
      <c r="C1002" t="s">
        <v>5</v>
      </c>
    </row>
    <row r="1003" spans="1:4" x14ac:dyDescent="0.4">
      <c r="A1003" s="1" t="s">
        <v>1989</v>
      </c>
      <c r="B1003" t="s">
        <v>1990</v>
      </c>
    </row>
    <row r="1004" spans="1:4" x14ac:dyDescent="0.4">
      <c r="A1004" s="1" t="s">
        <v>1991</v>
      </c>
      <c r="B1004" t="s">
        <v>1992</v>
      </c>
      <c r="C1004" t="s">
        <v>5</v>
      </c>
      <c r="D1004">
        <v>6000</v>
      </c>
    </row>
    <row r="1005" spans="1:4" x14ac:dyDescent="0.4">
      <c r="A1005" s="1" t="s">
        <v>1993</v>
      </c>
      <c r="B1005" t="s">
        <v>1994</v>
      </c>
      <c r="C1005" t="s">
        <v>5</v>
      </c>
      <c r="D1005">
        <v>77882</v>
      </c>
    </row>
    <row r="1006" spans="1:4" x14ac:dyDescent="0.4">
      <c r="A1006" s="1" t="s">
        <v>1995</v>
      </c>
      <c r="B1006" t="s">
        <v>1996</v>
      </c>
      <c r="C1006" t="s">
        <v>5</v>
      </c>
    </row>
    <row r="1007" spans="1:4" x14ac:dyDescent="0.4">
      <c r="A1007" s="1" t="s">
        <v>1997</v>
      </c>
      <c r="B1007" t="s">
        <v>1998</v>
      </c>
      <c r="C1007" t="s">
        <v>5</v>
      </c>
    </row>
    <row r="1008" spans="1:4" x14ac:dyDescent="0.4">
      <c r="A1008" s="1" t="s">
        <v>1999</v>
      </c>
      <c r="B1008" t="s">
        <v>2000</v>
      </c>
      <c r="C1008" t="s">
        <v>5</v>
      </c>
    </row>
    <row r="1009" spans="1:4" x14ac:dyDescent="0.4">
      <c r="A1009" s="1" t="s">
        <v>2001</v>
      </c>
      <c r="B1009" t="s">
        <v>2002</v>
      </c>
      <c r="C1009" t="s">
        <v>5</v>
      </c>
    </row>
    <row r="1010" spans="1:4" x14ac:dyDescent="0.4">
      <c r="A1010" s="1" t="s">
        <v>2003</v>
      </c>
      <c r="B1010" t="s">
        <v>2004</v>
      </c>
      <c r="C1010" t="s">
        <v>5</v>
      </c>
    </row>
    <row r="1011" spans="1:4" x14ac:dyDescent="0.4">
      <c r="A1011" s="1" t="s">
        <v>2005</v>
      </c>
      <c r="B1011" t="s">
        <v>2006</v>
      </c>
      <c r="C1011" t="s">
        <v>5</v>
      </c>
    </row>
    <row r="1012" spans="1:4" x14ac:dyDescent="0.4">
      <c r="A1012" s="1" t="s">
        <v>2007</v>
      </c>
      <c r="B1012" t="s">
        <v>2008</v>
      </c>
      <c r="C1012" t="s">
        <v>5</v>
      </c>
    </row>
    <row r="1013" spans="1:4" x14ac:dyDescent="0.4">
      <c r="A1013" s="1" t="s">
        <v>2009</v>
      </c>
      <c r="B1013" t="s">
        <v>2010</v>
      </c>
      <c r="C1013" t="s">
        <v>5</v>
      </c>
    </row>
    <row r="1014" spans="1:4" x14ac:dyDescent="0.4">
      <c r="A1014" s="1" t="s">
        <v>2011</v>
      </c>
      <c r="B1014" t="s">
        <v>2012</v>
      </c>
      <c r="C1014" t="s">
        <v>5</v>
      </c>
    </row>
    <row r="1015" spans="1:4" x14ac:dyDescent="0.4">
      <c r="A1015" s="1" t="s">
        <v>2013</v>
      </c>
      <c r="B1015" t="s">
        <v>2014</v>
      </c>
      <c r="C1015" t="s">
        <v>5</v>
      </c>
      <c r="D1015">
        <v>20000</v>
      </c>
    </row>
    <row r="1016" spans="1:4" x14ac:dyDescent="0.4">
      <c r="A1016" s="1" t="s">
        <v>2015</v>
      </c>
      <c r="B1016" t="s">
        <v>2016</v>
      </c>
      <c r="C1016" t="s">
        <v>5</v>
      </c>
      <c r="D1016">
        <v>5000</v>
      </c>
    </row>
    <row r="1017" spans="1:4" x14ac:dyDescent="0.4">
      <c r="A1017" s="1" t="s">
        <v>2017</v>
      </c>
      <c r="B1017" t="s">
        <v>2018</v>
      </c>
      <c r="C1017" t="s">
        <v>5</v>
      </c>
      <c r="D1017">
        <v>5000</v>
      </c>
    </row>
    <row r="1018" spans="1:4" x14ac:dyDescent="0.4">
      <c r="A1018" s="1" t="s">
        <v>2019</v>
      </c>
      <c r="B1018" t="s">
        <v>2020</v>
      </c>
      <c r="C1018" t="s">
        <v>5</v>
      </c>
      <c r="D1018">
        <v>5000</v>
      </c>
    </row>
    <row r="1019" spans="1:4" x14ac:dyDescent="0.4">
      <c r="A1019" s="1" t="s">
        <v>2021</v>
      </c>
      <c r="B1019" t="s">
        <v>2022</v>
      </c>
      <c r="C1019" t="s">
        <v>5</v>
      </c>
      <c r="D1019">
        <v>11300</v>
      </c>
    </row>
    <row r="1020" spans="1:4" x14ac:dyDescent="0.4">
      <c r="A1020" s="1" t="s">
        <v>2023</v>
      </c>
      <c r="B1020" t="s">
        <v>2024</v>
      </c>
      <c r="C1020" t="s">
        <v>5</v>
      </c>
      <c r="D1020">
        <v>9400</v>
      </c>
    </row>
    <row r="1021" spans="1:4" x14ac:dyDescent="0.4">
      <c r="A1021" s="1" t="s">
        <v>2025</v>
      </c>
      <c r="B1021" t="s">
        <v>2026</v>
      </c>
      <c r="C1021" t="s">
        <v>5</v>
      </c>
      <c r="D1021">
        <v>11300</v>
      </c>
    </row>
    <row r="1022" spans="1:4" x14ac:dyDescent="0.4">
      <c r="A1022" s="1" t="s">
        <v>2027</v>
      </c>
      <c r="B1022" t="s">
        <v>2028</v>
      </c>
      <c r="C1022" t="s">
        <v>5</v>
      </c>
      <c r="D1022">
        <v>11300</v>
      </c>
    </row>
    <row r="1023" spans="1:4" x14ac:dyDescent="0.4">
      <c r="A1023" s="1" t="s">
        <v>2029</v>
      </c>
      <c r="B1023" t="s">
        <v>2030</v>
      </c>
      <c r="C1023" t="s">
        <v>5</v>
      </c>
    </row>
    <row r="1024" spans="1:4" x14ac:dyDescent="0.4">
      <c r="A1024" s="1" t="s">
        <v>2031</v>
      </c>
      <c r="B1024" t="s">
        <v>2032</v>
      </c>
      <c r="C1024" t="s">
        <v>5</v>
      </c>
    </row>
    <row r="1025" spans="1:4" x14ac:dyDescent="0.4">
      <c r="A1025" s="1" t="s">
        <v>2033</v>
      </c>
      <c r="B1025" t="s">
        <v>2034</v>
      </c>
      <c r="C1025" t="s">
        <v>5</v>
      </c>
    </row>
    <row r="1026" spans="1:4" x14ac:dyDescent="0.4">
      <c r="A1026" s="1" t="s">
        <v>2035</v>
      </c>
      <c r="B1026" t="s">
        <v>2036</v>
      </c>
      <c r="C1026" t="s">
        <v>5</v>
      </c>
    </row>
    <row r="1027" spans="1:4" x14ac:dyDescent="0.4">
      <c r="A1027" s="1" t="s">
        <v>2037</v>
      </c>
      <c r="B1027" t="s">
        <v>2038</v>
      </c>
      <c r="C1027" t="s">
        <v>5</v>
      </c>
    </row>
    <row r="1028" spans="1:4" x14ac:dyDescent="0.4">
      <c r="A1028" s="1" t="s">
        <v>2039</v>
      </c>
      <c r="B1028" t="s">
        <v>2040</v>
      </c>
      <c r="C1028" t="s">
        <v>5</v>
      </c>
    </row>
    <row r="1029" spans="1:4" x14ac:dyDescent="0.4">
      <c r="A1029" s="1" t="s">
        <v>2041</v>
      </c>
      <c r="B1029" t="s">
        <v>2042</v>
      </c>
      <c r="C1029" t="s">
        <v>5</v>
      </c>
    </row>
    <row r="1030" spans="1:4" x14ac:dyDescent="0.4">
      <c r="A1030" s="1" t="s">
        <v>2043</v>
      </c>
      <c r="B1030" t="s">
        <v>2044</v>
      </c>
      <c r="C1030" t="s">
        <v>5</v>
      </c>
    </row>
    <row r="1031" spans="1:4" x14ac:dyDescent="0.4">
      <c r="A1031" s="1" t="s">
        <v>2045</v>
      </c>
      <c r="B1031" t="s">
        <v>2046</v>
      </c>
      <c r="C1031" t="s">
        <v>5</v>
      </c>
    </row>
    <row r="1032" spans="1:4" x14ac:dyDescent="0.4">
      <c r="A1032" s="1" t="s">
        <v>2047</v>
      </c>
      <c r="B1032" t="s">
        <v>2048</v>
      </c>
      <c r="C1032" t="s">
        <v>5</v>
      </c>
      <c r="D1032">
        <v>8300</v>
      </c>
    </row>
    <row r="1033" spans="1:4" x14ac:dyDescent="0.4">
      <c r="A1033" s="1" t="s">
        <v>2049</v>
      </c>
      <c r="B1033" t="s">
        <v>2050</v>
      </c>
      <c r="C1033" t="s">
        <v>5</v>
      </c>
      <c r="D1033">
        <v>10000</v>
      </c>
    </row>
    <row r="1034" spans="1:4" x14ac:dyDescent="0.4">
      <c r="A1034" s="1" t="s">
        <v>2051</v>
      </c>
      <c r="B1034" t="s">
        <v>2052</v>
      </c>
      <c r="D1034">
        <v>89800</v>
      </c>
    </row>
    <row r="1035" spans="1:4" x14ac:dyDescent="0.4">
      <c r="A1035" s="1" t="s">
        <v>2053</v>
      </c>
      <c r="B1035" t="s">
        <v>2054</v>
      </c>
      <c r="C1035" t="s">
        <v>5</v>
      </c>
      <c r="D1035">
        <v>16600</v>
      </c>
    </row>
    <row r="1036" spans="1:4" x14ac:dyDescent="0.4">
      <c r="A1036" s="1" t="s">
        <v>2055</v>
      </c>
      <c r="B1036" t="s">
        <v>2056</v>
      </c>
      <c r="C1036" t="s">
        <v>5</v>
      </c>
      <c r="D1036">
        <v>3400</v>
      </c>
    </row>
    <row r="1037" spans="1:4" x14ac:dyDescent="0.4">
      <c r="A1037" s="1" t="s">
        <v>2057</v>
      </c>
      <c r="B1037" t="s">
        <v>2058</v>
      </c>
      <c r="C1037" t="s">
        <v>5</v>
      </c>
      <c r="D1037">
        <v>16100</v>
      </c>
    </row>
    <row r="1038" spans="1:4" x14ac:dyDescent="0.4">
      <c r="A1038" s="1" t="s">
        <v>2059</v>
      </c>
      <c r="B1038" t="s">
        <v>2060</v>
      </c>
      <c r="C1038" t="s">
        <v>5</v>
      </c>
      <c r="D1038">
        <v>16600</v>
      </c>
    </row>
    <row r="1039" spans="1:4" x14ac:dyDescent="0.4">
      <c r="A1039" s="1" t="s">
        <v>2061</v>
      </c>
      <c r="B1039" t="s">
        <v>2062</v>
      </c>
      <c r="C1039" t="s">
        <v>5</v>
      </c>
      <c r="D1039">
        <v>16600</v>
      </c>
    </row>
    <row r="1040" spans="1:4" x14ac:dyDescent="0.4">
      <c r="A1040" s="1" t="s">
        <v>2063</v>
      </c>
      <c r="B1040" t="s">
        <v>2064</v>
      </c>
      <c r="C1040" t="s">
        <v>5</v>
      </c>
      <c r="D1040">
        <v>10000</v>
      </c>
    </row>
    <row r="1041" spans="1:4" x14ac:dyDescent="0.4">
      <c r="A1041" s="1" t="s">
        <v>2065</v>
      </c>
      <c r="B1041" t="s">
        <v>2066</v>
      </c>
      <c r="C1041" t="s">
        <v>5</v>
      </c>
    </row>
    <row r="1042" spans="1:4" x14ac:dyDescent="0.4">
      <c r="A1042" s="1" t="s">
        <v>2067</v>
      </c>
      <c r="B1042" t="s">
        <v>2068</v>
      </c>
      <c r="C1042" t="s">
        <v>5</v>
      </c>
    </row>
    <row r="1043" spans="1:4" x14ac:dyDescent="0.4">
      <c r="A1043" s="1" t="s">
        <v>2069</v>
      </c>
      <c r="B1043" t="s">
        <v>2070</v>
      </c>
      <c r="C1043" t="s">
        <v>5</v>
      </c>
    </row>
    <row r="1044" spans="1:4" x14ac:dyDescent="0.4">
      <c r="A1044" s="1" t="s">
        <v>2071</v>
      </c>
      <c r="B1044" t="s">
        <v>2072</v>
      </c>
      <c r="C1044" t="s">
        <v>5</v>
      </c>
    </row>
    <row r="1045" spans="1:4" x14ac:dyDescent="0.4">
      <c r="A1045" s="1" t="s">
        <v>2073</v>
      </c>
      <c r="B1045" t="s">
        <v>2074</v>
      </c>
      <c r="C1045" t="s">
        <v>5</v>
      </c>
      <c r="D1045">
        <v>10000</v>
      </c>
    </row>
    <row r="1046" spans="1:4" x14ac:dyDescent="0.4">
      <c r="A1046" s="1" t="s">
        <v>2075</v>
      </c>
      <c r="B1046" t="s">
        <v>2076</v>
      </c>
      <c r="C1046" t="s">
        <v>5</v>
      </c>
    </row>
    <row r="1047" spans="1:4" x14ac:dyDescent="0.4">
      <c r="A1047" s="1" t="s">
        <v>2077</v>
      </c>
      <c r="B1047" t="s">
        <v>2078</v>
      </c>
      <c r="C1047" t="s">
        <v>5</v>
      </c>
    </row>
    <row r="1048" spans="1:4" x14ac:dyDescent="0.4">
      <c r="A1048" s="1" t="s">
        <v>2079</v>
      </c>
      <c r="B1048" t="s">
        <v>2080</v>
      </c>
      <c r="C1048" t="s">
        <v>5</v>
      </c>
      <c r="D1048">
        <v>5000</v>
      </c>
    </row>
    <row r="1049" spans="1:4" x14ac:dyDescent="0.4">
      <c r="A1049" s="1" t="s">
        <v>2081</v>
      </c>
      <c r="B1049" t="s">
        <v>2082</v>
      </c>
      <c r="C1049" t="s">
        <v>5</v>
      </c>
      <c r="D1049">
        <v>20000</v>
      </c>
    </row>
    <row r="1050" spans="1:4" x14ac:dyDescent="0.4">
      <c r="A1050" s="1" t="s">
        <v>2083</v>
      </c>
      <c r="B1050" t="s">
        <v>2084</v>
      </c>
      <c r="C1050" t="s">
        <v>5</v>
      </c>
      <c r="D1050">
        <v>5000</v>
      </c>
    </row>
    <row r="1051" spans="1:4" x14ac:dyDescent="0.4">
      <c r="A1051" s="1" t="s">
        <v>2085</v>
      </c>
      <c r="B1051" t="s">
        <v>2086</v>
      </c>
      <c r="C1051" t="s">
        <v>5</v>
      </c>
      <c r="D1051">
        <v>5000</v>
      </c>
    </row>
    <row r="1052" spans="1:4" x14ac:dyDescent="0.4">
      <c r="A1052" s="1" t="s">
        <v>2087</v>
      </c>
      <c r="B1052" t="s">
        <v>2088</v>
      </c>
      <c r="C1052" t="s">
        <v>5</v>
      </c>
      <c r="D1052">
        <v>21000</v>
      </c>
    </row>
    <row r="1053" spans="1:4" x14ac:dyDescent="0.4">
      <c r="A1053" s="1" t="s">
        <v>2089</v>
      </c>
      <c r="B1053" t="s">
        <v>2090</v>
      </c>
      <c r="C1053" t="s">
        <v>5</v>
      </c>
      <c r="D1053">
        <v>6000</v>
      </c>
    </row>
    <row r="1054" spans="1:4" x14ac:dyDescent="0.4">
      <c r="A1054" s="1" t="s">
        <v>2091</v>
      </c>
      <c r="B1054" t="s">
        <v>2092</v>
      </c>
      <c r="C1054" t="s">
        <v>5</v>
      </c>
      <c r="D1054">
        <v>6000</v>
      </c>
    </row>
    <row r="1055" spans="1:4" x14ac:dyDescent="0.4">
      <c r="A1055" s="1" t="s">
        <v>2093</v>
      </c>
      <c r="B1055" t="s">
        <v>2094</v>
      </c>
      <c r="C1055" t="s">
        <v>5</v>
      </c>
      <c r="D1055">
        <v>6000</v>
      </c>
    </row>
    <row r="1056" spans="1:4" x14ac:dyDescent="0.4">
      <c r="A1056" s="1" t="s">
        <v>2095</v>
      </c>
      <c r="B1056" t="s">
        <v>2096</v>
      </c>
      <c r="C1056" t="s">
        <v>5</v>
      </c>
      <c r="D1056">
        <v>26000</v>
      </c>
    </row>
    <row r="1057" spans="1:4" x14ac:dyDescent="0.4">
      <c r="A1057" s="1" t="s">
        <v>2097</v>
      </c>
      <c r="B1057" t="s">
        <v>2098</v>
      </c>
      <c r="C1057" t="s">
        <v>5</v>
      </c>
      <c r="D1057">
        <v>6000</v>
      </c>
    </row>
    <row r="1058" spans="1:4" x14ac:dyDescent="0.4">
      <c r="A1058" s="1" t="s">
        <v>2099</v>
      </c>
      <c r="B1058" t="s">
        <v>2100</v>
      </c>
      <c r="C1058" t="s">
        <v>5</v>
      </c>
      <c r="D1058">
        <v>6000</v>
      </c>
    </row>
    <row r="1059" spans="1:4" x14ac:dyDescent="0.4">
      <c r="A1059" s="1" t="s">
        <v>2101</v>
      </c>
      <c r="B1059" t="s">
        <v>2102</v>
      </c>
      <c r="C1059" t="s">
        <v>5</v>
      </c>
      <c r="D1059">
        <v>6000</v>
      </c>
    </row>
    <row r="1060" spans="1:4" x14ac:dyDescent="0.4">
      <c r="A1060" s="1" t="s">
        <v>2103</v>
      </c>
      <c r="B1060" t="s">
        <v>2104</v>
      </c>
      <c r="C1060" t="s">
        <v>5</v>
      </c>
    </row>
    <row r="1061" spans="1:4" x14ac:dyDescent="0.4">
      <c r="A1061" s="1" t="s">
        <v>2105</v>
      </c>
      <c r="B1061" t="s">
        <v>2106</v>
      </c>
      <c r="C1061" t="s">
        <v>5</v>
      </c>
      <c r="D1061">
        <v>6000</v>
      </c>
    </row>
    <row r="1062" spans="1:4" x14ac:dyDescent="0.4">
      <c r="A1062" s="1" t="s">
        <v>2107</v>
      </c>
      <c r="B1062" t="s">
        <v>2108</v>
      </c>
      <c r="C1062" t="s">
        <v>5</v>
      </c>
      <c r="D1062">
        <v>28000</v>
      </c>
    </row>
    <row r="1063" spans="1:4" x14ac:dyDescent="0.4">
      <c r="A1063" s="1" t="s">
        <v>2109</v>
      </c>
      <c r="B1063" t="s">
        <v>2110</v>
      </c>
      <c r="C1063" t="s">
        <v>5</v>
      </c>
      <c r="D1063">
        <v>6000</v>
      </c>
    </row>
    <row r="1064" spans="1:4" x14ac:dyDescent="0.4">
      <c r="A1064" s="1" t="s">
        <v>2111</v>
      </c>
      <c r="B1064" t="s">
        <v>2112</v>
      </c>
      <c r="C1064" t="s">
        <v>5</v>
      </c>
      <c r="D1064">
        <v>6000</v>
      </c>
    </row>
    <row r="1065" spans="1:4" x14ac:dyDescent="0.4">
      <c r="A1065" s="1" t="s">
        <v>2113</v>
      </c>
      <c r="B1065" t="s">
        <v>2114</v>
      </c>
      <c r="C1065" t="s">
        <v>5</v>
      </c>
      <c r="D1065">
        <v>9500</v>
      </c>
    </row>
    <row r="1066" spans="1:4" x14ac:dyDescent="0.4">
      <c r="A1066" s="1" t="s">
        <v>2115</v>
      </c>
      <c r="B1066" t="s">
        <v>2116</v>
      </c>
      <c r="C1066" t="s">
        <v>5</v>
      </c>
      <c r="D1066">
        <v>9400</v>
      </c>
    </row>
    <row r="1067" spans="1:4" x14ac:dyDescent="0.4">
      <c r="A1067" s="1" t="s">
        <v>2117</v>
      </c>
      <c r="B1067" t="s">
        <v>2118</v>
      </c>
      <c r="C1067" t="s">
        <v>5</v>
      </c>
      <c r="D1067">
        <v>12200</v>
      </c>
    </row>
    <row r="1068" spans="1:4" x14ac:dyDescent="0.4">
      <c r="A1068" s="1" t="s">
        <v>2119</v>
      </c>
      <c r="B1068" t="s">
        <v>2120</v>
      </c>
      <c r="C1068" t="s">
        <v>5</v>
      </c>
      <c r="D1068">
        <v>33100</v>
      </c>
    </row>
    <row r="1069" spans="1:4" x14ac:dyDescent="0.4">
      <c r="A1069" s="1" t="s">
        <v>2121</v>
      </c>
      <c r="B1069" t="s">
        <v>2122</v>
      </c>
      <c r="C1069" t="s">
        <v>5</v>
      </c>
      <c r="D1069">
        <v>16600</v>
      </c>
    </row>
    <row r="1070" spans="1:4" x14ac:dyDescent="0.4">
      <c r="A1070" s="1" t="s">
        <v>2123</v>
      </c>
      <c r="B1070" t="s">
        <v>2124</v>
      </c>
      <c r="C1070" t="s">
        <v>5</v>
      </c>
      <c r="D1070">
        <v>13700</v>
      </c>
    </row>
    <row r="1071" spans="1:4" x14ac:dyDescent="0.4">
      <c r="A1071" s="1" t="s">
        <v>2125</v>
      </c>
      <c r="B1071" t="s">
        <v>2126</v>
      </c>
      <c r="C1071" t="s">
        <v>5</v>
      </c>
      <c r="D1071">
        <v>1400</v>
      </c>
    </row>
    <row r="1072" spans="1:4" x14ac:dyDescent="0.4">
      <c r="A1072" s="1" t="s">
        <v>2127</v>
      </c>
      <c r="B1072" t="s">
        <v>2128</v>
      </c>
      <c r="C1072" t="s">
        <v>5</v>
      </c>
      <c r="D1072">
        <v>13700</v>
      </c>
    </row>
    <row r="1073" spans="1:4" x14ac:dyDescent="0.4">
      <c r="A1073" s="1" t="s">
        <v>2129</v>
      </c>
      <c r="B1073" t="s">
        <v>2130</v>
      </c>
      <c r="C1073" t="s">
        <v>5</v>
      </c>
      <c r="D1073">
        <v>13700</v>
      </c>
    </row>
    <row r="1074" spans="1:4" x14ac:dyDescent="0.4">
      <c r="A1074" s="1" t="s">
        <v>2131</v>
      </c>
      <c r="B1074" t="s">
        <v>2132</v>
      </c>
      <c r="C1074" t="s">
        <v>5</v>
      </c>
      <c r="D1074">
        <v>9400</v>
      </c>
    </row>
    <row r="1075" spans="1:4" x14ac:dyDescent="0.4">
      <c r="A1075" s="1" t="s">
        <v>2133</v>
      </c>
      <c r="B1075" t="s">
        <v>2134</v>
      </c>
      <c r="C1075" t="s">
        <v>5</v>
      </c>
      <c r="D1075">
        <v>9400</v>
      </c>
    </row>
    <row r="1076" spans="1:4" x14ac:dyDescent="0.4">
      <c r="A1076" s="1" t="s">
        <v>2135</v>
      </c>
      <c r="B1076" t="s">
        <v>2136</v>
      </c>
      <c r="C1076" t="s">
        <v>5</v>
      </c>
      <c r="D1076">
        <v>203000</v>
      </c>
    </row>
    <row r="1077" spans="1:4" x14ac:dyDescent="0.4">
      <c r="A1077" s="1" t="s">
        <v>2137</v>
      </c>
      <c r="B1077" t="s">
        <v>2138</v>
      </c>
      <c r="D1077">
        <v>228000</v>
      </c>
    </row>
    <row r="1078" spans="1:4" x14ac:dyDescent="0.4">
      <c r="A1078" s="1" t="s">
        <v>2139</v>
      </c>
      <c r="B1078" t="s">
        <v>2140</v>
      </c>
      <c r="C1078" t="s">
        <v>5</v>
      </c>
      <c r="D1078">
        <v>273600</v>
      </c>
    </row>
    <row r="1079" spans="1:4" x14ac:dyDescent="0.4">
      <c r="A1079" s="1" t="s">
        <v>2141</v>
      </c>
      <c r="B1079" t="s">
        <v>2142</v>
      </c>
      <c r="C1079" t="s">
        <v>5</v>
      </c>
      <c r="D1079">
        <v>249000</v>
      </c>
    </row>
    <row r="1080" spans="1:4" x14ac:dyDescent="0.4">
      <c r="A1080" s="1" t="s">
        <v>2143</v>
      </c>
      <c r="B1080" t="s">
        <v>2144</v>
      </c>
      <c r="C1080" t="s">
        <v>5</v>
      </c>
      <c r="D1080">
        <v>17000</v>
      </c>
    </row>
    <row r="1081" spans="1:4" x14ac:dyDescent="0.4">
      <c r="A1081" s="1" t="s">
        <v>2145</v>
      </c>
      <c r="B1081" t="s">
        <v>2146</v>
      </c>
      <c r="C1081" t="s">
        <v>5</v>
      </c>
      <c r="D1081">
        <v>23000</v>
      </c>
    </row>
    <row r="1082" spans="1:4" x14ac:dyDescent="0.4">
      <c r="A1082" s="1" t="s">
        <v>2147</v>
      </c>
      <c r="B1082" t="s">
        <v>2148</v>
      </c>
      <c r="C1082" t="s">
        <v>5</v>
      </c>
      <c r="D1082">
        <v>17000</v>
      </c>
    </row>
    <row r="1083" spans="1:4" x14ac:dyDescent="0.4">
      <c r="A1083" s="1" t="s">
        <v>2149</v>
      </c>
      <c r="B1083" t="s">
        <v>2150</v>
      </c>
      <c r="C1083" t="s">
        <v>5</v>
      </c>
      <c r="D1083">
        <v>17000</v>
      </c>
    </row>
    <row r="1084" spans="1:4" x14ac:dyDescent="0.4">
      <c r="A1084" s="1" t="s">
        <v>2151</v>
      </c>
      <c r="B1084" t="s">
        <v>2152</v>
      </c>
      <c r="C1084" t="s">
        <v>5</v>
      </c>
      <c r="D1084">
        <v>23000</v>
      </c>
    </row>
    <row r="1085" spans="1:4" x14ac:dyDescent="0.4">
      <c r="A1085" s="1" t="s">
        <v>2153</v>
      </c>
      <c r="B1085" t="s">
        <v>2154</v>
      </c>
      <c r="C1085" t="s">
        <v>5</v>
      </c>
      <c r="D1085">
        <v>17000</v>
      </c>
    </row>
    <row r="1086" spans="1:4" x14ac:dyDescent="0.4">
      <c r="A1086" s="1" t="s">
        <v>2155</v>
      </c>
      <c r="B1086" t="s">
        <v>2156</v>
      </c>
      <c r="C1086" t="s">
        <v>5</v>
      </c>
      <c r="D1086">
        <v>17000</v>
      </c>
    </row>
    <row r="1087" spans="1:4" x14ac:dyDescent="0.4">
      <c r="A1087" s="1" t="s">
        <v>2157</v>
      </c>
      <c r="B1087" t="s">
        <v>2158</v>
      </c>
      <c r="C1087" t="s">
        <v>5</v>
      </c>
    </row>
    <row r="1088" spans="1:4" x14ac:dyDescent="0.4">
      <c r="A1088" s="1" t="s">
        <v>2159</v>
      </c>
      <c r="B1088" t="s">
        <v>2160</v>
      </c>
      <c r="C1088" t="s">
        <v>5</v>
      </c>
    </row>
    <row r="1089" spans="1:4" x14ac:dyDescent="0.4">
      <c r="A1089" s="1" t="s">
        <v>2161</v>
      </c>
      <c r="B1089" t="s">
        <v>2162</v>
      </c>
      <c r="C1089" t="s">
        <v>5</v>
      </c>
    </row>
    <row r="1090" spans="1:4" x14ac:dyDescent="0.4">
      <c r="A1090" s="1" t="s">
        <v>2163</v>
      </c>
      <c r="B1090" t="s">
        <v>2164</v>
      </c>
      <c r="C1090" t="s">
        <v>5</v>
      </c>
    </row>
    <row r="1091" spans="1:4" x14ac:dyDescent="0.4">
      <c r="A1091" s="1" t="s">
        <v>2165</v>
      </c>
      <c r="B1091" t="s">
        <v>2166</v>
      </c>
      <c r="C1091" t="s">
        <v>5</v>
      </c>
      <c r="D1091">
        <v>17000</v>
      </c>
    </row>
    <row r="1092" spans="1:4" x14ac:dyDescent="0.4">
      <c r="A1092" s="1" t="s">
        <v>2167</v>
      </c>
      <c r="B1092" t="s">
        <v>2168</v>
      </c>
      <c r="C1092" t="s">
        <v>5</v>
      </c>
      <c r="D1092">
        <v>24000</v>
      </c>
    </row>
    <row r="1093" spans="1:4" x14ac:dyDescent="0.4">
      <c r="A1093" s="1" t="s">
        <v>2169</v>
      </c>
      <c r="B1093" t="s">
        <v>2170</v>
      </c>
      <c r="C1093" t="s">
        <v>5</v>
      </c>
      <c r="D1093">
        <v>18000</v>
      </c>
    </row>
    <row r="1094" spans="1:4" x14ac:dyDescent="0.4">
      <c r="A1094" s="1" t="s">
        <v>2171</v>
      </c>
      <c r="B1094" t="s">
        <v>2172</v>
      </c>
      <c r="C1094" t="s">
        <v>5</v>
      </c>
      <c r="D1094">
        <v>29000</v>
      </c>
    </row>
    <row r="1095" spans="1:4" x14ac:dyDescent="0.4">
      <c r="A1095" s="1" t="s">
        <v>2173</v>
      </c>
      <c r="B1095" t="s">
        <v>2174</v>
      </c>
      <c r="C1095" t="s">
        <v>5</v>
      </c>
      <c r="D1095">
        <v>19000</v>
      </c>
    </row>
    <row r="1096" spans="1:4" x14ac:dyDescent="0.4">
      <c r="A1096" s="1" t="s">
        <v>2175</v>
      </c>
      <c r="B1096" t="s">
        <v>2176</v>
      </c>
      <c r="C1096" t="s">
        <v>5</v>
      </c>
      <c r="D1096">
        <v>19000</v>
      </c>
    </row>
    <row r="1097" spans="1:4" x14ac:dyDescent="0.4">
      <c r="A1097" s="1" t="s">
        <v>2177</v>
      </c>
      <c r="B1097" t="s">
        <v>2178</v>
      </c>
      <c r="C1097" t="s">
        <v>5</v>
      </c>
      <c r="D1097">
        <v>19000</v>
      </c>
    </row>
    <row r="1098" spans="1:4" x14ac:dyDescent="0.4">
      <c r="A1098" s="1" t="s">
        <v>2179</v>
      </c>
      <c r="B1098" t="s">
        <v>2180</v>
      </c>
      <c r="C1098" t="s">
        <v>5</v>
      </c>
      <c r="D1098">
        <v>294100</v>
      </c>
    </row>
    <row r="1099" spans="1:4" x14ac:dyDescent="0.4">
      <c r="A1099" s="1" t="s">
        <v>2181</v>
      </c>
      <c r="B1099" t="s">
        <v>2182</v>
      </c>
      <c r="C1099" t="s">
        <v>5</v>
      </c>
      <c r="D1099">
        <v>18000</v>
      </c>
    </row>
    <row r="1100" spans="1:4" x14ac:dyDescent="0.4">
      <c r="A1100" s="1" t="s">
        <v>2183</v>
      </c>
      <c r="B1100" t="s">
        <v>2184</v>
      </c>
      <c r="C1100" t="s">
        <v>5</v>
      </c>
      <c r="D1100">
        <v>18000</v>
      </c>
    </row>
    <row r="1101" spans="1:4" x14ac:dyDescent="0.4">
      <c r="A1101" s="1" t="s">
        <v>2185</v>
      </c>
      <c r="B1101" t="s">
        <v>2186</v>
      </c>
      <c r="C1101" t="s">
        <v>5</v>
      </c>
      <c r="D1101">
        <v>534000</v>
      </c>
    </row>
    <row r="1102" spans="1:4" x14ac:dyDescent="0.4">
      <c r="A1102" s="1" t="s">
        <v>2187</v>
      </c>
      <c r="B1102" t="s">
        <v>2188</v>
      </c>
      <c r="C1102" t="s">
        <v>5</v>
      </c>
      <c r="D1102">
        <v>31000</v>
      </c>
    </row>
    <row r="1103" spans="1:4" x14ac:dyDescent="0.4">
      <c r="A1103" s="1" t="s">
        <v>2189</v>
      </c>
      <c r="B1103" t="s">
        <v>2190</v>
      </c>
      <c r="C1103" t="s">
        <v>5</v>
      </c>
      <c r="D1103">
        <v>19000</v>
      </c>
    </row>
    <row r="1104" spans="1:4" x14ac:dyDescent="0.4">
      <c r="A1104" s="1" t="s">
        <v>2191</v>
      </c>
      <c r="B1104" t="s">
        <v>2192</v>
      </c>
      <c r="C1104" t="s">
        <v>5</v>
      </c>
      <c r="D1104">
        <v>19000</v>
      </c>
    </row>
    <row r="1105" spans="1:4" x14ac:dyDescent="0.4">
      <c r="A1105" s="1" t="s">
        <v>2193</v>
      </c>
      <c r="B1105" t="s">
        <v>2194</v>
      </c>
      <c r="C1105" t="s">
        <v>5</v>
      </c>
      <c r="D1105">
        <v>19000</v>
      </c>
    </row>
    <row r="1106" spans="1:4" x14ac:dyDescent="0.4">
      <c r="A1106" s="1" t="s">
        <v>2195</v>
      </c>
      <c r="B1106" t="s">
        <v>2196</v>
      </c>
      <c r="D1106">
        <v>178000</v>
      </c>
    </row>
    <row r="1107" spans="1:4" x14ac:dyDescent="0.4">
      <c r="A1107" s="1" t="s">
        <v>2197</v>
      </c>
      <c r="B1107" t="s">
        <v>2198</v>
      </c>
      <c r="C1107" t="s">
        <v>5</v>
      </c>
      <c r="D1107">
        <v>16300</v>
      </c>
    </row>
    <row r="1108" spans="1:4" x14ac:dyDescent="0.4">
      <c r="A1108" s="1" t="s">
        <v>2199</v>
      </c>
      <c r="B1108" t="s">
        <v>2200</v>
      </c>
      <c r="C1108" t="s">
        <v>5</v>
      </c>
      <c r="D1108">
        <v>13300</v>
      </c>
    </row>
    <row r="1109" spans="1:4" x14ac:dyDescent="0.4">
      <c r="A1109" s="1" t="s">
        <v>2201</v>
      </c>
      <c r="B1109" t="s">
        <v>2202</v>
      </c>
      <c r="C1109" t="s">
        <v>5</v>
      </c>
      <c r="D1109">
        <v>38700</v>
      </c>
    </row>
    <row r="1110" spans="1:4" x14ac:dyDescent="0.4">
      <c r="A1110" s="1" t="s">
        <v>2203</v>
      </c>
      <c r="B1110" t="s">
        <v>2204</v>
      </c>
      <c r="C1110" t="s">
        <v>5</v>
      </c>
      <c r="D1110">
        <v>16300</v>
      </c>
    </row>
    <row r="1111" spans="1:4" x14ac:dyDescent="0.4">
      <c r="A1111" s="1" t="s">
        <v>2205</v>
      </c>
      <c r="B1111" t="s">
        <v>2206</v>
      </c>
      <c r="C1111" t="s">
        <v>5</v>
      </c>
      <c r="D1111">
        <v>16300</v>
      </c>
    </row>
    <row r="1112" spans="1:4" x14ac:dyDescent="0.4">
      <c r="A1112" s="1" t="s">
        <v>2207</v>
      </c>
      <c r="B1112" t="s">
        <v>2208</v>
      </c>
      <c r="C1112" t="s">
        <v>5</v>
      </c>
      <c r="D1112">
        <v>16300</v>
      </c>
    </row>
    <row r="1113" spans="1:4" x14ac:dyDescent="0.4">
      <c r="A1113" s="1" t="s">
        <v>2209</v>
      </c>
      <c r="B1113" t="s">
        <v>2210</v>
      </c>
      <c r="C1113" t="s">
        <v>5</v>
      </c>
      <c r="D1113">
        <v>9400</v>
      </c>
    </row>
    <row r="1114" spans="1:4" x14ac:dyDescent="0.4">
      <c r="A1114" s="1" t="s">
        <v>2211</v>
      </c>
      <c r="B1114" t="s">
        <v>2212</v>
      </c>
      <c r="C1114" t="s">
        <v>5</v>
      </c>
      <c r="D1114">
        <v>8900</v>
      </c>
    </row>
    <row r="1115" spans="1:4" x14ac:dyDescent="0.4">
      <c r="A1115" s="1" t="s">
        <v>2213</v>
      </c>
      <c r="B1115" t="s">
        <v>2214</v>
      </c>
      <c r="C1115" t="s">
        <v>5</v>
      </c>
      <c r="D1115">
        <v>24300</v>
      </c>
    </row>
    <row r="1116" spans="1:4" x14ac:dyDescent="0.4">
      <c r="A1116" s="1" t="s">
        <v>2215</v>
      </c>
      <c r="B1116" t="s">
        <v>2216</v>
      </c>
      <c r="C1116" t="s">
        <v>5</v>
      </c>
      <c r="D1116">
        <v>72800</v>
      </c>
    </row>
    <row r="1117" spans="1:4" x14ac:dyDescent="0.4">
      <c r="A1117" s="1" t="s">
        <v>2217</v>
      </c>
      <c r="B1117" t="s">
        <v>2218</v>
      </c>
      <c r="C1117" t="s">
        <v>5</v>
      </c>
      <c r="D1117">
        <v>21000</v>
      </c>
    </row>
    <row r="1118" spans="1:4" x14ac:dyDescent="0.4">
      <c r="A1118" s="1" t="s">
        <v>2219</v>
      </c>
      <c r="B1118" t="s">
        <v>2220</v>
      </c>
      <c r="C1118" t="s">
        <v>5</v>
      </c>
      <c r="D1118">
        <v>19100</v>
      </c>
    </row>
    <row r="1119" spans="1:4" x14ac:dyDescent="0.4">
      <c r="A1119" s="1" t="s">
        <v>2221</v>
      </c>
      <c r="B1119" t="s">
        <v>2222</v>
      </c>
      <c r="C1119" t="s">
        <v>5</v>
      </c>
      <c r="D1119">
        <v>1200</v>
      </c>
    </row>
    <row r="1120" spans="1:4" x14ac:dyDescent="0.4">
      <c r="A1120" s="1" t="s">
        <v>2223</v>
      </c>
      <c r="B1120" t="s">
        <v>2224</v>
      </c>
      <c r="C1120" t="s">
        <v>5</v>
      </c>
      <c r="D1120">
        <v>19100</v>
      </c>
    </row>
    <row r="1121" spans="1:4" x14ac:dyDescent="0.4">
      <c r="A1121" s="1" t="s">
        <v>2225</v>
      </c>
      <c r="B1121" t="s">
        <v>2226</v>
      </c>
      <c r="C1121" t="s">
        <v>5</v>
      </c>
      <c r="D1121">
        <v>19100</v>
      </c>
    </row>
    <row r="1122" spans="1:4" x14ac:dyDescent="0.4">
      <c r="A1122" s="1" t="s">
        <v>2227</v>
      </c>
      <c r="B1122" t="s">
        <v>2228</v>
      </c>
      <c r="C1122" t="s">
        <v>5</v>
      </c>
      <c r="D1122">
        <v>8900</v>
      </c>
    </row>
    <row r="1123" spans="1:4" x14ac:dyDescent="0.4">
      <c r="A1123" s="1" t="s">
        <v>2229</v>
      </c>
      <c r="B1123" t="s">
        <v>2230</v>
      </c>
      <c r="C1123" t="s">
        <v>5</v>
      </c>
      <c r="D1123">
        <v>8900</v>
      </c>
    </row>
    <row r="1124" spans="1:4" x14ac:dyDescent="0.4">
      <c r="A1124" s="1" t="s">
        <v>2231</v>
      </c>
      <c r="B1124" t="s">
        <v>2232</v>
      </c>
      <c r="C1124" t="s">
        <v>5</v>
      </c>
      <c r="D1124">
        <v>9400</v>
      </c>
    </row>
    <row r="1125" spans="1:4" x14ac:dyDescent="0.4">
      <c r="A1125" s="1" t="s">
        <v>2233</v>
      </c>
      <c r="B1125" t="s">
        <v>2234</v>
      </c>
      <c r="C1125" t="s">
        <v>5</v>
      </c>
      <c r="D1125">
        <v>8300</v>
      </c>
    </row>
    <row r="1126" spans="1:4" x14ac:dyDescent="0.4">
      <c r="A1126" s="1" t="s">
        <v>2235</v>
      </c>
      <c r="B1126" t="s">
        <v>2236</v>
      </c>
      <c r="C1126" t="s">
        <v>5</v>
      </c>
      <c r="D1126">
        <v>18800</v>
      </c>
    </row>
    <row r="1127" spans="1:4" x14ac:dyDescent="0.4">
      <c r="A1127" s="1" t="s">
        <v>2237</v>
      </c>
      <c r="B1127" t="s">
        <v>2238</v>
      </c>
      <c r="C1127" t="s">
        <v>5</v>
      </c>
      <c r="D1127">
        <v>56300</v>
      </c>
    </row>
    <row r="1128" spans="1:4" x14ac:dyDescent="0.4">
      <c r="A1128" s="1" t="s">
        <v>2239</v>
      </c>
      <c r="B1128" t="s">
        <v>2240</v>
      </c>
      <c r="C1128" t="s">
        <v>5</v>
      </c>
      <c r="D1128">
        <v>18800</v>
      </c>
    </row>
    <row r="1129" spans="1:4" x14ac:dyDescent="0.4">
      <c r="A1129" s="1" t="s">
        <v>2241</v>
      </c>
      <c r="B1129" t="s">
        <v>2242</v>
      </c>
      <c r="C1129" t="s">
        <v>5</v>
      </c>
      <c r="D1129">
        <v>16800</v>
      </c>
    </row>
    <row r="1130" spans="1:4" x14ac:dyDescent="0.4">
      <c r="A1130" s="1" t="s">
        <v>2243</v>
      </c>
      <c r="B1130" t="s">
        <v>2244</v>
      </c>
      <c r="C1130" t="s">
        <v>5</v>
      </c>
      <c r="D1130">
        <v>16800</v>
      </c>
    </row>
    <row r="1131" spans="1:4" x14ac:dyDescent="0.4">
      <c r="A1131" s="1" t="s">
        <v>2245</v>
      </c>
      <c r="B1131" t="s">
        <v>2246</v>
      </c>
      <c r="C1131" t="s">
        <v>5</v>
      </c>
      <c r="D1131">
        <v>16800</v>
      </c>
    </row>
    <row r="1132" spans="1:4" x14ac:dyDescent="0.4">
      <c r="A1132" s="1" t="s">
        <v>2247</v>
      </c>
      <c r="B1132" t="s">
        <v>2248</v>
      </c>
      <c r="C1132" t="s">
        <v>5</v>
      </c>
      <c r="D1132">
        <v>8300</v>
      </c>
    </row>
    <row r="1133" spans="1:4" x14ac:dyDescent="0.4">
      <c r="A1133" s="1" t="s">
        <v>2249</v>
      </c>
      <c r="B1133" t="s">
        <v>2250</v>
      </c>
      <c r="C1133" t="s">
        <v>5</v>
      </c>
      <c r="D1133">
        <v>8300</v>
      </c>
    </row>
    <row r="1134" spans="1:4" x14ac:dyDescent="0.4">
      <c r="A1134" s="1" t="s">
        <v>2251</v>
      </c>
      <c r="B1134" t="s">
        <v>2252</v>
      </c>
      <c r="C1134" t="s">
        <v>5</v>
      </c>
      <c r="D1134">
        <v>50000</v>
      </c>
    </row>
    <row r="1135" spans="1:4" x14ac:dyDescent="0.4">
      <c r="A1135" s="1" t="s">
        <v>2253</v>
      </c>
      <c r="B1135" t="s">
        <v>2254</v>
      </c>
      <c r="C1135" t="s">
        <v>5</v>
      </c>
      <c r="D1135">
        <v>27100</v>
      </c>
    </row>
    <row r="1136" spans="1:4" x14ac:dyDescent="0.4">
      <c r="A1136" s="1" t="s">
        <v>2255</v>
      </c>
      <c r="B1136" t="s">
        <v>2256</v>
      </c>
      <c r="C1136" t="s">
        <v>5</v>
      </c>
      <c r="D1136">
        <v>59800</v>
      </c>
    </row>
    <row r="1137" spans="1:4" x14ac:dyDescent="0.4">
      <c r="A1137" s="1" t="s">
        <v>2257</v>
      </c>
      <c r="B1137" t="s">
        <v>2258</v>
      </c>
      <c r="C1137" t="s">
        <v>5</v>
      </c>
      <c r="D1137">
        <v>20000</v>
      </c>
    </row>
    <row r="1138" spans="1:4" x14ac:dyDescent="0.4">
      <c r="A1138" s="1" t="s">
        <v>2259</v>
      </c>
      <c r="B1138" t="s">
        <v>2260</v>
      </c>
      <c r="C1138" t="s">
        <v>5</v>
      </c>
      <c r="D1138">
        <v>2500</v>
      </c>
    </row>
    <row r="1139" spans="1:4" x14ac:dyDescent="0.4">
      <c r="A1139" s="1" t="s">
        <v>2261</v>
      </c>
      <c r="B1139" t="s">
        <v>2262</v>
      </c>
      <c r="C1139" t="s">
        <v>5</v>
      </c>
      <c r="D1139">
        <v>42600</v>
      </c>
    </row>
    <row r="1140" spans="1:4" x14ac:dyDescent="0.4">
      <c r="A1140" s="1" t="s">
        <v>2263</v>
      </c>
      <c r="B1140" t="s">
        <v>2264</v>
      </c>
      <c r="C1140" t="s">
        <v>5</v>
      </c>
      <c r="D1140">
        <v>45000</v>
      </c>
    </row>
    <row r="1141" spans="1:4" x14ac:dyDescent="0.4">
      <c r="A1141" s="1" t="s">
        <v>2265</v>
      </c>
      <c r="B1141" t="s">
        <v>2266</v>
      </c>
      <c r="C1141" t="s">
        <v>5</v>
      </c>
      <c r="D1141">
        <v>42600</v>
      </c>
    </row>
    <row r="1142" spans="1:4" x14ac:dyDescent="0.4">
      <c r="A1142" s="1" t="s">
        <v>2267</v>
      </c>
      <c r="B1142" t="s">
        <v>2268</v>
      </c>
      <c r="C1142" t="s">
        <v>5</v>
      </c>
      <c r="D1142">
        <v>42600</v>
      </c>
    </row>
    <row r="1143" spans="1:4" x14ac:dyDescent="0.4">
      <c r="A1143" s="1" t="s">
        <v>2269</v>
      </c>
      <c r="B1143" t="s">
        <v>2270</v>
      </c>
      <c r="C1143" t="s">
        <v>5</v>
      </c>
      <c r="D1143">
        <v>27600</v>
      </c>
    </row>
    <row r="1144" spans="1:4" x14ac:dyDescent="0.4">
      <c r="A1144" s="1" t="s">
        <v>2271</v>
      </c>
      <c r="B1144" t="s">
        <v>2272</v>
      </c>
      <c r="C1144" t="s">
        <v>5</v>
      </c>
      <c r="D1144">
        <v>27100</v>
      </c>
    </row>
    <row r="1145" spans="1:4" x14ac:dyDescent="0.4">
      <c r="A1145" s="1" t="s">
        <v>2273</v>
      </c>
      <c r="B1145" t="s">
        <v>2274</v>
      </c>
      <c r="C1145" t="s">
        <v>5</v>
      </c>
      <c r="D1145">
        <v>27100</v>
      </c>
    </row>
    <row r="1146" spans="1:4" x14ac:dyDescent="0.4">
      <c r="A1146" s="1" t="s">
        <v>2275</v>
      </c>
      <c r="B1146" t="s">
        <v>2276</v>
      </c>
      <c r="C1146" t="s">
        <v>5</v>
      </c>
      <c r="D1146">
        <v>29200</v>
      </c>
    </row>
    <row r="1147" spans="1:4" x14ac:dyDescent="0.4">
      <c r="A1147" s="1" t="s">
        <v>2277</v>
      </c>
      <c r="B1147" t="s">
        <v>2278</v>
      </c>
      <c r="C1147" t="s">
        <v>5</v>
      </c>
      <c r="D1147">
        <v>28600</v>
      </c>
    </row>
    <row r="1148" spans="1:4" x14ac:dyDescent="0.4">
      <c r="A1148" s="1" t="s">
        <v>2279</v>
      </c>
      <c r="B1148" t="s">
        <v>2280</v>
      </c>
      <c r="C1148" t="s">
        <v>5</v>
      </c>
      <c r="D1148">
        <v>22000</v>
      </c>
    </row>
    <row r="1149" spans="1:4" x14ac:dyDescent="0.4">
      <c r="A1149" s="1" t="s">
        <v>2281</v>
      </c>
      <c r="B1149" t="s">
        <v>2282</v>
      </c>
      <c r="C1149" t="s">
        <v>5</v>
      </c>
      <c r="D1149">
        <v>63200</v>
      </c>
    </row>
    <row r="1150" spans="1:4" x14ac:dyDescent="0.4">
      <c r="A1150" s="1" t="s">
        <v>2283</v>
      </c>
      <c r="B1150" t="s">
        <v>2284</v>
      </c>
      <c r="C1150" t="s">
        <v>5</v>
      </c>
      <c r="D1150">
        <v>47500</v>
      </c>
    </row>
    <row r="1151" spans="1:4" x14ac:dyDescent="0.4">
      <c r="A1151" s="1" t="s">
        <v>2285</v>
      </c>
      <c r="B1151" t="s">
        <v>2286</v>
      </c>
      <c r="C1151" t="s">
        <v>5</v>
      </c>
      <c r="D1151">
        <v>45000</v>
      </c>
    </row>
    <row r="1152" spans="1:4" x14ac:dyDescent="0.4">
      <c r="A1152" s="1" t="s">
        <v>2287</v>
      </c>
      <c r="B1152" t="s">
        <v>2288</v>
      </c>
      <c r="C1152" t="s">
        <v>5</v>
      </c>
      <c r="D1152">
        <v>45000</v>
      </c>
    </row>
    <row r="1153" spans="1:4" x14ac:dyDescent="0.4">
      <c r="A1153" s="1" t="s">
        <v>2289</v>
      </c>
      <c r="B1153" t="s">
        <v>2290</v>
      </c>
      <c r="C1153" t="s">
        <v>5</v>
      </c>
      <c r="D1153">
        <v>45000</v>
      </c>
    </row>
    <row r="1154" spans="1:4" x14ac:dyDescent="0.4">
      <c r="A1154" s="1" t="s">
        <v>2291</v>
      </c>
      <c r="B1154" t="s">
        <v>2292</v>
      </c>
      <c r="C1154" t="s">
        <v>5</v>
      </c>
      <c r="D1154">
        <v>28600</v>
      </c>
    </row>
    <row r="1155" spans="1:4" x14ac:dyDescent="0.4">
      <c r="A1155" s="1" t="s">
        <v>2293</v>
      </c>
      <c r="B1155" t="s">
        <v>2294</v>
      </c>
      <c r="C1155" t="s">
        <v>5</v>
      </c>
      <c r="D1155">
        <v>28600</v>
      </c>
    </row>
    <row r="1156" spans="1:4" x14ac:dyDescent="0.4">
      <c r="A1156" s="1" t="s">
        <v>2295</v>
      </c>
      <c r="B1156" t="s">
        <v>2296</v>
      </c>
      <c r="C1156" t="s">
        <v>5</v>
      </c>
      <c r="D1156">
        <v>26500</v>
      </c>
    </row>
    <row r="1157" spans="1:4" x14ac:dyDescent="0.4">
      <c r="A1157" s="1" t="s">
        <v>2297</v>
      </c>
      <c r="B1157" t="s">
        <v>2298</v>
      </c>
      <c r="C1157" t="s">
        <v>5</v>
      </c>
      <c r="D1157">
        <v>26000</v>
      </c>
    </row>
    <row r="1158" spans="1:4" x14ac:dyDescent="0.4">
      <c r="A1158" s="1" t="s">
        <v>2299</v>
      </c>
      <c r="B1158" t="s">
        <v>2300</v>
      </c>
      <c r="C1158" t="s">
        <v>5</v>
      </c>
      <c r="D1158">
        <v>29900</v>
      </c>
    </row>
    <row r="1159" spans="1:4" x14ac:dyDescent="0.4">
      <c r="A1159" s="1" t="s">
        <v>2301</v>
      </c>
      <c r="B1159" t="s">
        <v>2302</v>
      </c>
      <c r="C1159" t="s">
        <v>5</v>
      </c>
      <c r="D1159">
        <v>86000</v>
      </c>
    </row>
    <row r="1160" spans="1:4" x14ac:dyDescent="0.4">
      <c r="A1160" s="1" t="s">
        <v>2303</v>
      </c>
      <c r="B1160" t="s">
        <v>2304</v>
      </c>
      <c r="C1160" t="s">
        <v>5</v>
      </c>
      <c r="D1160">
        <v>43100</v>
      </c>
    </row>
    <row r="1161" spans="1:4" x14ac:dyDescent="0.4">
      <c r="A1161" s="1" t="s">
        <v>2305</v>
      </c>
      <c r="B1161" t="s">
        <v>2306</v>
      </c>
      <c r="C1161" t="s">
        <v>5</v>
      </c>
      <c r="D1161">
        <v>40900</v>
      </c>
    </row>
    <row r="1162" spans="1:4" x14ac:dyDescent="0.4">
      <c r="A1162" s="1" t="s">
        <v>2307</v>
      </c>
      <c r="B1162" t="s">
        <v>2308</v>
      </c>
      <c r="C1162" t="s">
        <v>5</v>
      </c>
      <c r="D1162">
        <v>2300</v>
      </c>
    </row>
    <row r="1163" spans="1:4" x14ac:dyDescent="0.4">
      <c r="A1163" s="1" t="s">
        <v>2309</v>
      </c>
      <c r="B1163" t="s">
        <v>2310</v>
      </c>
      <c r="C1163" t="s">
        <v>5</v>
      </c>
      <c r="D1163">
        <v>40900</v>
      </c>
    </row>
    <row r="1164" spans="1:4" x14ac:dyDescent="0.4">
      <c r="A1164" s="1" t="s">
        <v>2311</v>
      </c>
      <c r="B1164" t="s">
        <v>2312</v>
      </c>
      <c r="C1164" t="s">
        <v>5</v>
      </c>
      <c r="D1164">
        <v>40900</v>
      </c>
    </row>
    <row r="1165" spans="1:4" x14ac:dyDescent="0.4">
      <c r="A1165" s="1" t="s">
        <v>2313</v>
      </c>
      <c r="B1165" t="s">
        <v>2314</v>
      </c>
      <c r="C1165" t="s">
        <v>5</v>
      </c>
      <c r="D1165">
        <v>26000</v>
      </c>
    </row>
    <row r="1166" spans="1:4" x14ac:dyDescent="0.4">
      <c r="A1166" s="1" t="s">
        <v>2315</v>
      </c>
      <c r="B1166" t="s">
        <v>2316</v>
      </c>
      <c r="C1166" t="s">
        <v>5</v>
      </c>
      <c r="D1166">
        <v>26000</v>
      </c>
    </row>
    <row r="1167" spans="1:4" x14ac:dyDescent="0.4">
      <c r="A1167" s="1" t="s">
        <v>2317</v>
      </c>
      <c r="B1167" t="s">
        <v>2318</v>
      </c>
      <c r="C1167" t="s">
        <v>5</v>
      </c>
      <c r="D1167">
        <v>26500</v>
      </c>
    </row>
    <row r="1168" spans="1:4" x14ac:dyDescent="0.4">
      <c r="A1168" s="1" t="s">
        <v>2319</v>
      </c>
      <c r="B1168" t="s">
        <v>2320</v>
      </c>
      <c r="C1168" t="s">
        <v>5</v>
      </c>
      <c r="D1168">
        <v>26000</v>
      </c>
    </row>
    <row r="1169" spans="1:4" x14ac:dyDescent="0.4">
      <c r="A1169" s="1" t="s">
        <v>2321</v>
      </c>
      <c r="B1169" t="s">
        <v>2322</v>
      </c>
      <c r="C1169" t="s">
        <v>5</v>
      </c>
      <c r="D1169">
        <v>26000</v>
      </c>
    </row>
    <row r="1170" spans="1:4" x14ac:dyDescent="0.4">
      <c r="A1170" s="1" t="s">
        <v>2323</v>
      </c>
      <c r="B1170" t="s">
        <v>2324</v>
      </c>
      <c r="C1170" t="s">
        <v>5</v>
      </c>
      <c r="D1170">
        <v>86000</v>
      </c>
    </row>
    <row r="1171" spans="1:4" x14ac:dyDescent="0.4">
      <c r="A1171" s="1" t="s">
        <v>2325</v>
      </c>
      <c r="B1171" t="s">
        <v>2326</v>
      </c>
      <c r="C1171" t="s">
        <v>5</v>
      </c>
      <c r="D1171">
        <v>29900</v>
      </c>
    </row>
    <row r="1172" spans="1:4" x14ac:dyDescent="0.4">
      <c r="A1172" s="1" t="s">
        <v>2327</v>
      </c>
      <c r="B1172" t="s">
        <v>2328</v>
      </c>
      <c r="C1172" t="s">
        <v>5</v>
      </c>
      <c r="D1172">
        <v>86000</v>
      </c>
    </row>
    <row r="1173" spans="1:4" x14ac:dyDescent="0.4">
      <c r="A1173" s="1" t="s">
        <v>2329</v>
      </c>
      <c r="B1173" t="s">
        <v>2330</v>
      </c>
      <c r="C1173" t="s">
        <v>5</v>
      </c>
      <c r="D1173">
        <v>29800</v>
      </c>
    </row>
    <row r="1174" spans="1:4" x14ac:dyDescent="0.4">
      <c r="A1174" s="1" t="s">
        <v>2331</v>
      </c>
      <c r="B1174" t="s">
        <v>2332</v>
      </c>
      <c r="C1174" t="s">
        <v>5</v>
      </c>
      <c r="D1174">
        <v>40900</v>
      </c>
    </row>
    <row r="1175" spans="1:4" x14ac:dyDescent="0.4">
      <c r="A1175" s="1" t="s">
        <v>2333</v>
      </c>
      <c r="B1175" t="s">
        <v>2334</v>
      </c>
      <c r="C1175" t="s">
        <v>5</v>
      </c>
      <c r="D1175">
        <v>2300</v>
      </c>
    </row>
    <row r="1176" spans="1:4" x14ac:dyDescent="0.4">
      <c r="A1176" s="1" t="s">
        <v>2335</v>
      </c>
      <c r="B1176" t="s">
        <v>2336</v>
      </c>
      <c r="C1176" t="s">
        <v>5</v>
      </c>
      <c r="D1176">
        <v>43100</v>
      </c>
    </row>
    <row r="1177" spans="1:4" x14ac:dyDescent="0.4">
      <c r="A1177" s="1" t="s">
        <v>2337</v>
      </c>
      <c r="B1177" t="s">
        <v>2338</v>
      </c>
      <c r="C1177" t="s">
        <v>5</v>
      </c>
      <c r="D1177">
        <v>40900</v>
      </c>
    </row>
    <row r="1178" spans="1:4" x14ac:dyDescent="0.4">
      <c r="A1178" s="1" t="s">
        <v>2339</v>
      </c>
      <c r="B1178" t="s">
        <v>2340</v>
      </c>
      <c r="C1178" t="s">
        <v>5</v>
      </c>
      <c r="D1178">
        <v>49000</v>
      </c>
    </row>
    <row r="1179" spans="1:4" x14ac:dyDescent="0.4">
      <c r="A1179" s="1" t="s">
        <v>2341</v>
      </c>
      <c r="B1179" t="s">
        <v>2342</v>
      </c>
      <c r="C1179" t="s">
        <v>5</v>
      </c>
      <c r="D1179">
        <v>46500</v>
      </c>
    </row>
    <row r="1180" spans="1:4" x14ac:dyDescent="0.4">
      <c r="A1180" s="1" t="s">
        <v>2343</v>
      </c>
      <c r="B1180" t="s">
        <v>2344</v>
      </c>
      <c r="C1180" t="s">
        <v>5</v>
      </c>
      <c r="D1180">
        <v>49000</v>
      </c>
    </row>
    <row r="1181" spans="1:4" x14ac:dyDescent="0.4">
      <c r="A1181" s="1" t="s">
        <v>2345</v>
      </c>
      <c r="B1181" t="s">
        <v>2346</v>
      </c>
      <c r="C1181" t="s">
        <v>5</v>
      </c>
      <c r="D1181">
        <v>49000</v>
      </c>
    </row>
    <row r="1182" spans="1:4" x14ac:dyDescent="0.4">
      <c r="A1182" s="1" t="s">
        <v>2347</v>
      </c>
      <c r="B1182" t="s">
        <v>2348</v>
      </c>
      <c r="C1182" t="s">
        <v>5</v>
      </c>
      <c r="D1182">
        <v>40900</v>
      </c>
    </row>
    <row r="1183" spans="1:4" x14ac:dyDescent="0.4">
      <c r="A1183" s="1" t="s">
        <v>2349</v>
      </c>
      <c r="B1183" t="s">
        <v>2350</v>
      </c>
      <c r="C1183" t="s">
        <v>5</v>
      </c>
      <c r="D1183">
        <v>28700</v>
      </c>
    </row>
    <row r="1184" spans="1:4" x14ac:dyDescent="0.4">
      <c r="A1184" s="1" t="s">
        <v>2351</v>
      </c>
      <c r="B1184" t="s">
        <v>2352</v>
      </c>
      <c r="C1184" t="s">
        <v>5</v>
      </c>
      <c r="D1184">
        <v>26000</v>
      </c>
    </row>
    <row r="1185" spans="1:4" x14ac:dyDescent="0.4">
      <c r="A1185" s="1" t="s">
        <v>2353</v>
      </c>
      <c r="B1185" t="s">
        <v>2354</v>
      </c>
      <c r="C1185" t="s">
        <v>5</v>
      </c>
      <c r="D1185">
        <v>26000</v>
      </c>
    </row>
    <row r="1186" spans="1:4" x14ac:dyDescent="0.4">
      <c r="A1186" s="1" t="s">
        <v>2355</v>
      </c>
      <c r="B1186" t="s">
        <v>2356</v>
      </c>
      <c r="C1186" t="s">
        <v>5</v>
      </c>
      <c r="D1186">
        <v>26000</v>
      </c>
    </row>
    <row r="1187" spans="1:4" x14ac:dyDescent="0.4">
      <c r="A1187" s="1" t="s">
        <v>2357</v>
      </c>
      <c r="B1187" t="s">
        <v>2358</v>
      </c>
      <c r="C1187" t="s">
        <v>5</v>
      </c>
      <c r="D1187">
        <v>26000</v>
      </c>
    </row>
    <row r="1188" spans="1:4" x14ac:dyDescent="0.4">
      <c r="A1188" s="1" t="s">
        <v>2359</v>
      </c>
      <c r="B1188" t="s">
        <v>2360</v>
      </c>
      <c r="C1188" t="s">
        <v>5</v>
      </c>
      <c r="D1188">
        <v>58627</v>
      </c>
    </row>
    <row r="1189" spans="1:4" x14ac:dyDescent="0.4">
      <c r="A1189" s="1" t="s">
        <v>2361</v>
      </c>
      <c r="B1189" t="s">
        <v>2362</v>
      </c>
      <c r="C1189" t="s">
        <v>5</v>
      </c>
      <c r="D1189">
        <v>25000</v>
      </c>
    </row>
    <row r="1190" spans="1:4" x14ac:dyDescent="0.4">
      <c r="A1190" s="1" t="s">
        <v>2363</v>
      </c>
      <c r="B1190" t="s">
        <v>2364</v>
      </c>
      <c r="C1190" t="s">
        <v>5</v>
      </c>
      <c r="D1190">
        <v>44000</v>
      </c>
    </row>
    <row r="1191" spans="1:4" x14ac:dyDescent="0.4">
      <c r="A1191" s="1" t="s">
        <v>2365</v>
      </c>
      <c r="B1191" t="s">
        <v>2366</v>
      </c>
      <c r="C1191" t="s">
        <v>5</v>
      </c>
      <c r="D1191">
        <v>44000</v>
      </c>
    </row>
    <row r="1192" spans="1:4" x14ac:dyDescent="0.4">
      <c r="A1192" s="1" t="s">
        <v>2367</v>
      </c>
      <c r="B1192" t="s">
        <v>2368</v>
      </c>
      <c r="C1192" t="s">
        <v>5</v>
      </c>
      <c r="D1192">
        <v>44000</v>
      </c>
    </row>
    <row r="1193" spans="1:4" x14ac:dyDescent="0.4">
      <c r="A1193" s="1" t="s">
        <v>2369</v>
      </c>
      <c r="B1193" t="s">
        <v>2370</v>
      </c>
      <c r="C1193" t="s">
        <v>5</v>
      </c>
      <c r="D1193">
        <v>10900</v>
      </c>
    </row>
    <row r="1194" spans="1:4" x14ac:dyDescent="0.4">
      <c r="A1194" s="1" t="s">
        <v>2371</v>
      </c>
      <c r="B1194" t="s">
        <v>2372</v>
      </c>
      <c r="C1194" t="s">
        <v>5</v>
      </c>
      <c r="D1194">
        <v>10900</v>
      </c>
    </row>
    <row r="1195" spans="1:4" x14ac:dyDescent="0.4">
      <c r="A1195" s="1" t="s">
        <v>2373</v>
      </c>
      <c r="B1195" t="s">
        <v>2374</v>
      </c>
      <c r="C1195" t="s">
        <v>5</v>
      </c>
      <c r="D1195">
        <v>10900</v>
      </c>
    </row>
    <row r="1196" spans="1:4" x14ac:dyDescent="0.4">
      <c r="A1196" s="1" t="s">
        <v>2375</v>
      </c>
      <c r="B1196" t="s">
        <v>2376</v>
      </c>
      <c r="C1196" t="s">
        <v>5</v>
      </c>
      <c r="D1196">
        <v>12700</v>
      </c>
    </row>
    <row r="1197" spans="1:4" x14ac:dyDescent="0.4">
      <c r="A1197" s="1" t="s">
        <v>2377</v>
      </c>
      <c r="B1197" t="s">
        <v>2378</v>
      </c>
      <c r="C1197" t="s">
        <v>5</v>
      </c>
      <c r="D1197">
        <v>12700</v>
      </c>
    </row>
    <row r="1198" spans="1:4" x14ac:dyDescent="0.4">
      <c r="A1198" s="1" t="s">
        <v>2379</v>
      </c>
      <c r="B1198" t="s">
        <v>2380</v>
      </c>
      <c r="C1198" t="s">
        <v>5</v>
      </c>
      <c r="D1198">
        <v>12700</v>
      </c>
    </row>
    <row r="1199" spans="1:4" x14ac:dyDescent="0.4">
      <c r="A1199" s="1" t="s">
        <v>2381</v>
      </c>
      <c r="B1199" t="s">
        <v>2382</v>
      </c>
      <c r="C1199" t="s">
        <v>5</v>
      </c>
      <c r="D1199">
        <v>11800</v>
      </c>
    </row>
    <row r="1200" spans="1:4" x14ac:dyDescent="0.4">
      <c r="A1200" s="1" t="s">
        <v>2383</v>
      </c>
      <c r="B1200" t="s">
        <v>2384</v>
      </c>
      <c r="C1200" t="s">
        <v>5</v>
      </c>
      <c r="D1200">
        <v>9900</v>
      </c>
    </row>
    <row r="1201" spans="1:4" x14ac:dyDescent="0.4">
      <c r="A1201" s="1" t="s">
        <v>2385</v>
      </c>
      <c r="B1201" t="s">
        <v>2386</v>
      </c>
      <c r="C1201" t="s">
        <v>5</v>
      </c>
      <c r="D1201">
        <v>9900</v>
      </c>
    </row>
    <row r="1202" spans="1:4" x14ac:dyDescent="0.4">
      <c r="A1202" s="1" t="s">
        <v>2387</v>
      </c>
      <c r="B1202" t="s">
        <v>2388</v>
      </c>
      <c r="C1202" t="s">
        <v>5</v>
      </c>
      <c r="D1202">
        <v>9900</v>
      </c>
    </row>
    <row r="1203" spans="1:4" x14ac:dyDescent="0.4">
      <c r="A1203" s="1" t="s">
        <v>2389</v>
      </c>
      <c r="B1203" t="s">
        <v>2390</v>
      </c>
      <c r="C1203" t="s">
        <v>5</v>
      </c>
      <c r="D1203">
        <v>9900</v>
      </c>
    </row>
    <row r="1204" spans="1:4" x14ac:dyDescent="0.4">
      <c r="A1204" s="1" t="s">
        <v>2391</v>
      </c>
      <c r="B1204" t="s">
        <v>2392</v>
      </c>
      <c r="C1204" t="s">
        <v>5</v>
      </c>
      <c r="D1204">
        <v>9900</v>
      </c>
    </row>
    <row r="1205" spans="1:4" x14ac:dyDescent="0.4">
      <c r="A1205" s="1" t="s">
        <v>2393</v>
      </c>
      <c r="B1205" t="s">
        <v>2394</v>
      </c>
      <c r="C1205" t="s">
        <v>5</v>
      </c>
      <c r="D1205">
        <v>9900</v>
      </c>
    </row>
    <row r="1206" spans="1:4" x14ac:dyDescent="0.4">
      <c r="A1206" s="1" t="s">
        <v>2395</v>
      </c>
      <c r="B1206" t="s">
        <v>2396</v>
      </c>
      <c r="C1206" t="s">
        <v>5</v>
      </c>
      <c r="D1206">
        <v>11800</v>
      </c>
    </row>
    <row r="1207" spans="1:4" x14ac:dyDescent="0.4">
      <c r="A1207" s="1" t="s">
        <v>2397</v>
      </c>
      <c r="B1207" t="s">
        <v>2398</v>
      </c>
      <c r="C1207" t="s">
        <v>5</v>
      </c>
      <c r="D1207">
        <v>11800</v>
      </c>
    </row>
    <row r="1208" spans="1:4" x14ac:dyDescent="0.4">
      <c r="A1208" s="1" t="s">
        <v>2399</v>
      </c>
      <c r="B1208" t="s">
        <v>2400</v>
      </c>
      <c r="C1208" t="s">
        <v>5</v>
      </c>
      <c r="D1208">
        <v>11800</v>
      </c>
    </row>
    <row r="1209" spans="1:4" x14ac:dyDescent="0.4">
      <c r="A1209" s="1" t="s">
        <v>2401</v>
      </c>
      <c r="B1209" t="s">
        <v>2402</v>
      </c>
      <c r="C1209" t="s">
        <v>5</v>
      </c>
      <c r="D1209">
        <v>11800</v>
      </c>
    </row>
    <row r="1210" spans="1:4" x14ac:dyDescent="0.4">
      <c r="A1210" s="1" t="s">
        <v>2403</v>
      </c>
      <c r="B1210" t="s">
        <v>2404</v>
      </c>
      <c r="C1210" t="s">
        <v>5</v>
      </c>
      <c r="D1210">
        <v>11800</v>
      </c>
    </row>
    <row r="1211" spans="1:4" x14ac:dyDescent="0.4">
      <c r="A1211" s="1" t="s">
        <v>2405</v>
      </c>
      <c r="B1211" t="s">
        <v>2406</v>
      </c>
      <c r="C1211" t="s">
        <v>5</v>
      </c>
      <c r="D1211">
        <v>11800</v>
      </c>
    </row>
    <row r="1212" spans="1:4" x14ac:dyDescent="0.4">
      <c r="A1212" s="1" t="s">
        <v>2407</v>
      </c>
      <c r="B1212" t="s">
        <v>2408</v>
      </c>
      <c r="C1212" t="s">
        <v>5</v>
      </c>
      <c r="D1212">
        <v>11800</v>
      </c>
    </row>
    <row r="1213" spans="1:4" x14ac:dyDescent="0.4">
      <c r="A1213" s="1" t="s">
        <v>2409</v>
      </c>
      <c r="B1213" t="s">
        <v>2410</v>
      </c>
      <c r="C1213" t="s">
        <v>5</v>
      </c>
      <c r="D1213">
        <v>11800</v>
      </c>
    </row>
    <row r="1214" spans="1:4" x14ac:dyDescent="0.4">
      <c r="A1214" s="1" t="s">
        <v>2411</v>
      </c>
      <c r="B1214" t="s">
        <v>2412</v>
      </c>
      <c r="C1214" t="s">
        <v>5</v>
      </c>
      <c r="D1214">
        <v>11800</v>
      </c>
    </row>
    <row r="1215" spans="1:4" x14ac:dyDescent="0.4">
      <c r="A1215" s="1" t="s">
        <v>2413</v>
      </c>
      <c r="B1215" t="s">
        <v>2414</v>
      </c>
      <c r="C1215" t="s">
        <v>5</v>
      </c>
      <c r="D1215">
        <v>11800</v>
      </c>
    </row>
    <row r="1216" spans="1:4" x14ac:dyDescent="0.4">
      <c r="A1216" s="1" t="s">
        <v>2415</v>
      </c>
      <c r="B1216" t="s">
        <v>2416</v>
      </c>
      <c r="C1216" t="s">
        <v>5</v>
      </c>
      <c r="D1216">
        <v>8700</v>
      </c>
    </row>
    <row r="1217" spans="1:4" x14ac:dyDescent="0.4">
      <c r="A1217" s="1" t="s">
        <v>2417</v>
      </c>
      <c r="B1217" t="s">
        <v>2418</v>
      </c>
      <c r="C1217" t="s">
        <v>5</v>
      </c>
      <c r="D1217">
        <v>7900</v>
      </c>
    </row>
    <row r="1218" spans="1:4" x14ac:dyDescent="0.4">
      <c r="A1218" s="1" t="s">
        <v>2419</v>
      </c>
      <c r="B1218" t="s">
        <v>2420</v>
      </c>
      <c r="C1218" t="s">
        <v>5</v>
      </c>
      <c r="D1218">
        <v>45982</v>
      </c>
    </row>
    <row r="1219" spans="1:4" x14ac:dyDescent="0.4">
      <c r="A1219" s="1" t="s">
        <v>2421</v>
      </c>
      <c r="B1219" t="e">
        <f>-終息-CASIO 回収協力ﾄﾅｰ B88-TDS-G</f>
        <v>#NAME?</v>
      </c>
      <c r="C1219" t="s">
        <v>5</v>
      </c>
      <c r="D1219">
        <v>57000</v>
      </c>
    </row>
    <row r="1220" spans="1:4" x14ac:dyDescent="0.4">
      <c r="A1220" s="1" t="s">
        <v>2422</v>
      </c>
      <c r="B1220" t="e">
        <f>-終息-CASIO B93-DS ﾄﾞﾗﾑ</f>
        <v>#NAME?</v>
      </c>
      <c r="C1220" t="s">
        <v>5</v>
      </c>
      <c r="D1220">
        <v>12500</v>
      </c>
    </row>
    <row r="1221" spans="1:4" x14ac:dyDescent="0.4">
      <c r="A1221" s="1" t="s">
        <v>2423</v>
      </c>
      <c r="B1221" t="e">
        <f>-終息-CASIO 回収協力ﾄﾅｰ B93-TS-G</f>
        <v>#NAME?</v>
      </c>
      <c r="C1221" t="s">
        <v>5</v>
      </c>
      <c r="D1221">
        <v>28000</v>
      </c>
    </row>
    <row r="1222" spans="1:4" x14ac:dyDescent="0.4">
      <c r="A1222" s="1" t="s">
        <v>2424</v>
      </c>
      <c r="B1222" t="s">
        <v>2425</v>
      </c>
      <c r="C1222" t="s">
        <v>5</v>
      </c>
      <c r="D1222">
        <v>25000</v>
      </c>
    </row>
    <row r="1223" spans="1:4" x14ac:dyDescent="0.4">
      <c r="A1223" s="1" t="s">
        <v>2426</v>
      </c>
      <c r="B1223" t="s">
        <v>2427</v>
      </c>
      <c r="C1223" t="s">
        <v>5</v>
      </c>
      <c r="D1223">
        <v>35536</v>
      </c>
    </row>
    <row r="1224" spans="1:4" x14ac:dyDescent="0.4">
      <c r="A1224" s="1" t="s">
        <v>2428</v>
      </c>
      <c r="B1224" t="s">
        <v>2429</v>
      </c>
      <c r="C1224" t="s">
        <v>5</v>
      </c>
      <c r="D1224">
        <v>28736</v>
      </c>
    </row>
    <row r="1225" spans="1:4" x14ac:dyDescent="0.4">
      <c r="A1225" s="1" t="s">
        <v>2430</v>
      </c>
      <c r="B1225" t="s">
        <v>2431</v>
      </c>
      <c r="C1225" t="s">
        <v>5</v>
      </c>
      <c r="D1225">
        <v>28345</v>
      </c>
    </row>
    <row r="1226" spans="1:4" x14ac:dyDescent="0.4">
      <c r="A1226" s="1" t="s">
        <v>2432</v>
      </c>
      <c r="B1226" t="s">
        <v>2433</v>
      </c>
      <c r="C1226" t="s">
        <v>5</v>
      </c>
      <c r="D1226">
        <v>28345</v>
      </c>
    </row>
    <row r="1227" spans="1:4" x14ac:dyDescent="0.4">
      <c r="A1227" s="1" t="s">
        <v>2434</v>
      </c>
      <c r="B1227" t="s">
        <v>2435</v>
      </c>
      <c r="C1227" t="s">
        <v>5</v>
      </c>
      <c r="D1227">
        <v>28345</v>
      </c>
    </row>
    <row r="1228" spans="1:4" x14ac:dyDescent="0.4">
      <c r="A1228" s="1" t="s">
        <v>2436</v>
      </c>
      <c r="B1228" t="s">
        <v>2437</v>
      </c>
      <c r="C1228" t="s">
        <v>5</v>
      </c>
    </row>
    <row r="1229" spans="1:4" x14ac:dyDescent="0.4">
      <c r="A1229" s="1" t="s">
        <v>2438</v>
      </c>
      <c r="B1229" t="s">
        <v>2439</v>
      </c>
      <c r="C1229" t="s">
        <v>5</v>
      </c>
    </row>
    <row r="1230" spans="1:4" x14ac:dyDescent="0.4">
      <c r="A1230" s="1" t="s">
        <v>2440</v>
      </c>
      <c r="B1230" t="s">
        <v>2441</v>
      </c>
      <c r="C1230" t="s">
        <v>5</v>
      </c>
    </row>
    <row r="1231" spans="1:4" x14ac:dyDescent="0.4">
      <c r="A1231" s="1" t="s">
        <v>2442</v>
      </c>
      <c r="B1231" t="s">
        <v>2443</v>
      </c>
      <c r="C1231" t="s">
        <v>5</v>
      </c>
    </row>
    <row r="1232" spans="1:4" x14ac:dyDescent="0.4">
      <c r="A1232" s="1" t="s">
        <v>2444</v>
      </c>
      <c r="B1232" t="s">
        <v>2445</v>
      </c>
      <c r="C1232" t="s">
        <v>5</v>
      </c>
    </row>
    <row r="1233" spans="1:4" x14ac:dyDescent="0.4">
      <c r="A1233" s="1" t="s">
        <v>2446</v>
      </c>
      <c r="B1233" t="s">
        <v>2447</v>
      </c>
      <c r="C1233" t="s">
        <v>5</v>
      </c>
    </row>
    <row r="1234" spans="1:4" x14ac:dyDescent="0.4">
      <c r="A1234" s="1" t="s">
        <v>2448</v>
      </c>
      <c r="B1234" t="s">
        <v>2449</v>
      </c>
      <c r="C1234" t="s">
        <v>5</v>
      </c>
    </row>
    <row r="1235" spans="1:4" x14ac:dyDescent="0.4">
      <c r="A1235" s="1" t="s">
        <v>2450</v>
      </c>
      <c r="B1235" t="s">
        <v>2451</v>
      </c>
      <c r="C1235" t="s">
        <v>5</v>
      </c>
      <c r="D1235">
        <v>9900</v>
      </c>
    </row>
    <row r="1236" spans="1:4" x14ac:dyDescent="0.4">
      <c r="A1236" s="1" t="s">
        <v>2452</v>
      </c>
      <c r="B1236" t="s">
        <v>2453</v>
      </c>
      <c r="C1236" t="s">
        <v>5</v>
      </c>
      <c r="D1236">
        <v>11800</v>
      </c>
    </row>
    <row r="1237" spans="1:4" x14ac:dyDescent="0.4">
      <c r="A1237" s="1" t="s">
        <v>2454</v>
      </c>
      <c r="B1237" t="e">
        <f>-終息- HP ｲﾝｸｶｰﾄﾘｯｼﾞ ｼｱﾝ CD972AA</f>
        <v>#NAME?</v>
      </c>
      <c r="C1237" t="s">
        <v>5</v>
      </c>
    </row>
    <row r="1238" spans="1:4" x14ac:dyDescent="0.4">
      <c r="A1238" s="1" t="s">
        <v>2455</v>
      </c>
      <c r="B1238" t="e">
        <f>-終息- HP ｲﾝｸｶｰﾄﾘｯｼﾞ ﾏｾﾞﾝﾀ CD973AA</f>
        <v>#NAME?</v>
      </c>
      <c r="C1238" t="s">
        <v>5</v>
      </c>
    </row>
    <row r="1239" spans="1:4" x14ac:dyDescent="0.4">
      <c r="A1239" s="1" t="s">
        <v>2456</v>
      </c>
      <c r="B1239" t="e">
        <f>-終息- HP ｲﾝｸｶｰﾄﾘｯｼﾞ ｲｴﾛｰ CD974AA</f>
        <v>#NAME?</v>
      </c>
      <c r="C1239" t="s">
        <v>5</v>
      </c>
    </row>
    <row r="1240" spans="1:4" x14ac:dyDescent="0.4">
      <c r="A1240" s="1" t="s">
        <v>2457</v>
      </c>
      <c r="B1240" t="e">
        <f>-終息- HP ｲﾝｸｶｰﾄﾘｯｼﾞ 黒 CD975AA</f>
        <v>#NAME?</v>
      </c>
      <c r="C1240" t="s">
        <v>5</v>
      </c>
    </row>
    <row r="1241" spans="1:4" x14ac:dyDescent="0.4">
      <c r="A1241" s="1" t="s">
        <v>2458</v>
      </c>
      <c r="B1241" t="s">
        <v>2459</v>
      </c>
      <c r="C1241" t="s">
        <v>5</v>
      </c>
      <c r="D1241">
        <v>21000</v>
      </c>
    </row>
    <row r="1242" spans="1:4" x14ac:dyDescent="0.4">
      <c r="A1242" s="1" t="s">
        <v>2460</v>
      </c>
      <c r="B1242" t="s">
        <v>2461</v>
      </c>
      <c r="C1242" t="s">
        <v>5</v>
      </c>
    </row>
    <row r="1243" spans="1:4" x14ac:dyDescent="0.4">
      <c r="A1243" s="1" t="s">
        <v>2462</v>
      </c>
      <c r="B1243" t="s">
        <v>2463</v>
      </c>
      <c r="C1243" t="s">
        <v>5</v>
      </c>
    </row>
    <row r="1244" spans="1:4" x14ac:dyDescent="0.4">
      <c r="A1244" s="1" t="s">
        <v>2464</v>
      </c>
      <c r="B1244" t="s">
        <v>2465</v>
      </c>
      <c r="C1244" t="s">
        <v>5</v>
      </c>
      <c r="D1244">
        <v>29300</v>
      </c>
    </row>
    <row r="1245" spans="1:4" x14ac:dyDescent="0.4">
      <c r="A1245" s="1" t="s">
        <v>2466</v>
      </c>
      <c r="B1245" t="s">
        <v>2467</v>
      </c>
      <c r="C1245" t="s">
        <v>5</v>
      </c>
      <c r="D1245">
        <v>29300</v>
      </c>
    </row>
    <row r="1246" spans="1:4" x14ac:dyDescent="0.4">
      <c r="A1246" s="1" t="s">
        <v>2468</v>
      </c>
      <c r="B1246" t="s">
        <v>2469</v>
      </c>
      <c r="C1246" t="s">
        <v>5</v>
      </c>
      <c r="D1246">
        <v>29300</v>
      </c>
    </row>
    <row r="1247" spans="1:4" x14ac:dyDescent="0.4">
      <c r="A1247" s="1" t="s">
        <v>2470</v>
      </c>
      <c r="B1247" t="s">
        <v>2471</v>
      </c>
      <c r="C1247" t="s">
        <v>5</v>
      </c>
      <c r="D1247">
        <v>29300</v>
      </c>
    </row>
    <row r="1248" spans="1:4" x14ac:dyDescent="0.4">
      <c r="A1248" s="1" t="s">
        <v>2472</v>
      </c>
      <c r="B1248" t="e">
        <f>-終息- HP ﾌｭｰｻﾞｰｷｯﾄ CE246A</f>
        <v>#NAME?</v>
      </c>
      <c r="C1248" t="s">
        <v>5</v>
      </c>
    </row>
    <row r="1249" spans="1:4" x14ac:dyDescent="0.4">
      <c r="A1249" s="1" t="s">
        <v>2473</v>
      </c>
      <c r="B1249" t="e">
        <f>-終息- HP ﾄﾗﾝｽﾌｧｰｷｯﾄ CE249A</f>
        <v>#NAME?</v>
      </c>
      <c r="C1249" t="s">
        <v>5</v>
      </c>
    </row>
    <row r="1250" spans="1:4" x14ac:dyDescent="0.4">
      <c r="A1250" s="1" t="s">
        <v>2474</v>
      </c>
      <c r="B1250" t="e">
        <f>-終息- HP ﾌﾟﾘﾝﾄｶｰﾄﾘｯｼﾞ CE250X</f>
        <v>#NAME?</v>
      </c>
      <c r="C1250" t="s">
        <v>5</v>
      </c>
    </row>
    <row r="1251" spans="1:4" x14ac:dyDescent="0.4">
      <c r="A1251" s="1" t="s">
        <v>2475</v>
      </c>
      <c r="B1251" t="e">
        <f>-終息- HP ﾌﾟﾘﾝﾄｶｰﾄﾘｯｼﾞ CE251A</f>
        <v>#NAME?</v>
      </c>
      <c r="C1251" t="s">
        <v>5</v>
      </c>
    </row>
    <row r="1252" spans="1:4" x14ac:dyDescent="0.4">
      <c r="A1252" s="1" t="s">
        <v>2476</v>
      </c>
      <c r="B1252" t="e">
        <f>-終息- HP ﾌﾟﾘﾝﾄｶｰﾄﾘｯｼﾞ CE252A</f>
        <v>#NAME?</v>
      </c>
      <c r="C1252" t="s">
        <v>5</v>
      </c>
    </row>
    <row r="1253" spans="1:4" x14ac:dyDescent="0.4">
      <c r="A1253" s="1" t="s">
        <v>2477</v>
      </c>
      <c r="B1253" t="e">
        <f>-終息- HP ﾌﾟﾘﾝﾄｶｰﾄﾘｯｼﾞ CE253A</f>
        <v>#NAME?</v>
      </c>
      <c r="C1253" t="s">
        <v>5</v>
      </c>
    </row>
    <row r="1254" spans="1:4" x14ac:dyDescent="0.4">
      <c r="A1254" s="1" t="s">
        <v>2478</v>
      </c>
      <c r="B1254" t="s">
        <v>2479</v>
      </c>
      <c r="C1254" t="s">
        <v>5</v>
      </c>
      <c r="D1254">
        <v>3218</v>
      </c>
    </row>
    <row r="1255" spans="1:4" x14ac:dyDescent="0.4">
      <c r="A1255" s="1" t="s">
        <v>2480</v>
      </c>
      <c r="B1255" t="s">
        <v>2481</v>
      </c>
      <c r="C1255" t="s">
        <v>5</v>
      </c>
      <c r="D1255">
        <v>32745</v>
      </c>
    </row>
    <row r="1256" spans="1:4" x14ac:dyDescent="0.4">
      <c r="A1256" s="1" t="s">
        <v>2482</v>
      </c>
      <c r="B1256" t="s">
        <v>2483</v>
      </c>
      <c r="C1256" t="s">
        <v>5</v>
      </c>
      <c r="D1256">
        <v>53664</v>
      </c>
    </row>
    <row r="1257" spans="1:4" x14ac:dyDescent="0.4">
      <c r="A1257" s="1" t="s">
        <v>2484</v>
      </c>
      <c r="B1257" t="s">
        <v>2485</v>
      </c>
      <c r="C1257" t="s">
        <v>5</v>
      </c>
      <c r="D1257">
        <v>61491</v>
      </c>
    </row>
    <row r="1258" spans="1:4" x14ac:dyDescent="0.4">
      <c r="A1258" s="1" t="s">
        <v>2486</v>
      </c>
      <c r="B1258" t="s">
        <v>2487</v>
      </c>
      <c r="C1258" t="s">
        <v>5</v>
      </c>
      <c r="D1258">
        <v>61491</v>
      </c>
    </row>
    <row r="1259" spans="1:4" x14ac:dyDescent="0.4">
      <c r="A1259" s="1" t="s">
        <v>2488</v>
      </c>
      <c r="B1259" t="s">
        <v>2489</v>
      </c>
      <c r="C1259" t="s">
        <v>5</v>
      </c>
      <c r="D1259">
        <v>61491</v>
      </c>
    </row>
    <row r="1260" spans="1:4" x14ac:dyDescent="0.4">
      <c r="A1260" s="1" t="s">
        <v>2490</v>
      </c>
      <c r="B1260" t="e">
        <f>-終息- HP ﾄﾅｰｺﾚｸｼｮﾝﾕﾆｯﾄ CE265A</f>
        <v>#NAME?</v>
      </c>
      <c r="C1260" t="s">
        <v>5</v>
      </c>
    </row>
    <row r="1261" spans="1:4" x14ac:dyDescent="0.4">
      <c r="A1261" s="1" t="s">
        <v>2491</v>
      </c>
      <c r="B1261" t="s">
        <v>2492</v>
      </c>
      <c r="C1261" t="s">
        <v>5</v>
      </c>
      <c r="D1261">
        <v>34209</v>
      </c>
    </row>
    <row r="1262" spans="1:4" x14ac:dyDescent="0.4">
      <c r="A1262" s="1" t="s">
        <v>2493</v>
      </c>
      <c r="B1262" t="s">
        <v>2494</v>
      </c>
      <c r="C1262" t="s">
        <v>5</v>
      </c>
      <c r="D1262">
        <v>47136</v>
      </c>
    </row>
    <row r="1263" spans="1:4" x14ac:dyDescent="0.4">
      <c r="A1263" s="1" t="s">
        <v>2495</v>
      </c>
      <c r="B1263" t="s">
        <v>2496</v>
      </c>
      <c r="C1263" t="s">
        <v>5</v>
      </c>
      <c r="D1263">
        <v>52191</v>
      </c>
    </row>
    <row r="1264" spans="1:4" x14ac:dyDescent="0.4">
      <c r="A1264" s="1" t="s">
        <v>2497</v>
      </c>
      <c r="B1264" t="s">
        <v>2498</v>
      </c>
      <c r="C1264" t="s">
        <v>5</v>
      </c>
      <c r="D1264">
        <v>52191</v>
      </c>
    </row>
    <row r="1265" spans="1:4" x14ac:dyDescent="0.4">
      <c r="A1265" s="1" t="s">
        <v>2499</v>
      </c>
      <c r="B1265" t="s">
        <v>2500</v>
      </c>
      <c r="C1265" t="s">
        <v>5</v>
      </c>
      <c r="D1265">
        <v>52191</v>
      </c>
    </row>
    <row r="1266" spans="1:4" x14ac:dyDescent="0.4">
      <c r="A1266" s="1" t="s">
        <v>2501</v>
      </c>
      <c r="B1266" t="s">
        <v>2502</v>
      </c>
      <c r="C1266" t="s">
        <v>5</v>
      </c>
      <c r="D1266">
        <v>23018</v>
      </c>
    </row>
    <row r="1267" spans="1:4" x14ac:dyDescent="0.4">
      <c r="A1267" s="1" t="s">
        <v>2503</v>
      </c>
      <c r="B1267" t="s">
        <v>2504</v>
      </c>
      <c r="C1267" t="s">
        <v>5</v>
      </c>
      <c r="D1267">
        <v>26745</v>
      </c>
    </row>
    <row r="1268" spans="1:4" x14ac:dyDescent="0.4">
      <c r="A1268" s="1" t="s">
        <v>2505</v>
      </c>
      <c r="B1268" t="s">
        <v>2506</v>
      </c>
      <c r="C1268" t="s">
        <v>5</v>
      </c>
      <c r="D1268">
        <v>26745</v>
      </c>
    </row>
    <row r="1269" spans="1:4" x14ac:dyDescent="0.4">
      <c r="A1269" s="1" t="s">
        <v>2507</v>
      </c>
      <c r="B1269" t="s">
        <v>2508</v>
      </c>
      <c r="C1269" t="s">
        <v>5</v>
      </c>
      <c r="D1269">
        <v>26745</v>
      </c>
    </row>
    <row r="1270" spans="1:4" x14ac:dyDescent="0.4">
      <c r="A1270" s="1" t="s">
        <v>2509</v>
      </c>
      <c r="B1270" t="s">
        <v>2510</v>
      </c>
      <c r="C1270" t="s">
        <v>5</v>
      </c>
      <c r="D1270">
        <v>31682</v>
      </c>
    </row>
    <row r="1271" spans="1:4" x14ac:dyDescent="0.4">
      <c r="A1271" s="1" t="s">
        <v>2511</v>
      </c>
      <c r="B1271" t="s">
        <v>2512</v>
      </c>
      <c r="C1271" t="s">
        <v>5</v>
      </c>
      <c r="D1271">
        <v>62564</v>
      </c>
    </row>
    <row r="1272" spans="1:4" x14ac:dyDescent="0.4">
      <c r="A1272" s="1" t="s">
        <v>2513</v>
      </c>
      <c r="B1272" t="s">
        <v>2514</v>
      </c>
      <c r="C1272" t="s">
        <v>5</v>
      </c>
      <c r="D1272">
        <v>46191</v>
      </c>
    </row>
    <row r="1273" spans="1:4" x14ac:dyDescent="0.4">
      <c r="A1273" s="1" t="s">
        <v>2515</v>
      </c>
      <c r="B1273" t="s">
        <v>2516</v>
      </c>
      <c r="C1273" t="s">
        <v>5</v>
      </c>
      <c r="D1273">
        <v>60845</v>
      </c>
    </row>
    <row r="1274" spans="1:4" x14ac:dyDescent="0.4">
      <c r="A1274" s="1" t="s">
        <v>2517</v>
      </c>
      <c r="B1274" t="s">
        <v>2518</v>
      </c>
      <c r="C1274" t="s">
        <v>5</v>
      </c>
      <c r="D1274">
        <v>60845</v>
      </c>
    </row>
    <row r="1275" spans="1:4" x14ac:dyDescent="0.4">
      <c r="A1275" s="1" t="s">
        <v>2519</v>
      </c>
      <c r="B1275" t="s">
        <v>2520</v>
      </c>
      <c r="C1275" t="s">
        <v>5</v>
      </c>
      <c r="D1275">
        <v>60845</v>
      </c>
    </row>
    <row r="1276" spans="1:4" x14ac:dyDescent="0.4">
      <c r="A1276" s="1" t="s">
        <v>2521</v>
      </c>
      <c r="B1276" t="s">
        <v>2522</v>
      </c>
      <c r="C1276" t="s">
        <v>5</v>
      </c>
      <c r="D1276">
        <v>53373</v>
      </c>
    </row>
    <row r="1277" spans="1:4" x14ac:dyDescent="0.4">
      <c r="A1277" s="1" t="s">
        <v>2523</v>
      </c>
      <c r="B1277" t="s">
        <v>2524</v>
      </c>
      <c r="C1277" t="s">
        <v>5</v>
      </c>
      <c r="D1277">
        <v>4809</v>
      </c>
    </row>
    <row r="1278" spans="1:4" x14ac:dyDescent="0.4">
      <c r="A1278" s="1" t="s">
        <v>2525</v>
      </c>
      <c r="B1278" t="s">
        <v>2526</v>
      </c>
      <c r="C1278" t="s">
        <v>5</v>
      </c>
      <c r="D1278">
        <v>38500</v>
      </c>
    </row>
    <row r="1279" spans="1:4" x14ac:dyDescent="0.4">
      <c r="A1279" s="1" t="s">
        <v>2527</v>
      </c>
      <c r="B1279" t="s">
        <v>2528</v>
      </c>
      <c r="C1279" t="s">
        <v>5</v>
      </c>
      <c r="D1279">
        <v>38500</v>
      </c>
    </row>
    <row r="1280" spans="1:4" x14ac:dyDescent="0.4">
      <c r="A1280" s="1" t="s">
        <v>2529</v>
      </c>
      <c r="B1280" t="s">
        <v>2530</v>
      </c>
      <c r="C1280" t="s">
        <v>5</v>
      </c>
      <c r="D1280">
        <v>38500</v>
      </c>
    </row>
    <row r="1281" spans="1:4" x14ac:dyDescent="0.4">
      <c r="A1281" s="1" t="s">
        <v>2531</v>
      </c>
      <c r="B1281" t="s">
        <v>2532</v>
      </c>
      <c r="C1281" t="s">
        <v>5</v>
      </c>
      <c r="D1281">
        <v>38500</v>
      </c>
    </row>
    <row r="1282" spans="1:4" x14ac:dyDescent="0.4">
      <c r="A1282" s="1" t="s">
        <v>2533</v>
      </c>
      <c r="B1282" t="s">
        <v>2534</v>
      </c>
      <c r="C1282" t="s">
        <v>5</v>
      </c>
      <c r="D1282">
        <v>53373</v>
      </c>
    </row>
    <row r="1283" spans="1:4" x14ac:dyDescent="0.4">
      <c r="A1283" s="1" t="s">
        <v>2535</v>
      </c>
      <c r="B1283" t="s">
        <v>2536</v>
      </c>
      <c r="C1283" t="s">
        <v>5</v>
      </c>
      <c r="D1283">
        <v>61018</v>
      </c>
    </row>
    <row r="1284" spans="1:4" x14ac:dyDescent="0.4">
      <c r="A1284" s="1" t="s">
        <v>2537</v>
      </c>
      <c r="B1284" t="s">
        <v>2538</v>
      </c>
      <c r="C1284" t="s">
        <v>5</v>
      </c>
      <c r="D1284">
        <v>17791</v>
      </c>
    </row>
    <row r="1285" spans="1:4" x14ac:dyDescent="0.4">
      <c r="A1285" s="1" t="s">
        <v>2539</v>
      </c>
      <c r="B1285" t="s">
        <v>2540</v>
      </c>
      <c r="C1285" t="s">
        <v>5</v>
      </c>
      <c r="D1285">
        <v>39145</v>
      </c>
    </row>
    <row r="1286" spans="1:4" x14ac:dyDescent="0.4">
      <c r="A1286" s="1" t="s">
        <v>2541</v>
      </c>
      <c r="B1286" t="s">
        <v>2542</v>
      </c>
      <c r="C1286" t="s">
        <v>5</v>
      </c>
      <c r="D1286">
        <v>66664</v>
      </c>
    </row>
    <row r="1287" spans="1:4" x14ac:dyDescent="0.4">
      <c r="A1287" s="1" t="s">
        <v>2543</v>
      </c>
      <c r="B1287" t="s">
        <v>2544</v>
      </c>
      <c r="C1287" t="s">
        <v>5</v>
      </c>
      <c r="D1287">
        <v>21564</v>
      </c>
    </row>
    <row r="1288" spans="1:4" x14ac:dyDescent="0.4">
      <c r="A1288" s="1" t="s">
        <v>2545</v>
      </c>
      <c r="B1288" t="s">
        <v>2546</v>
      </c>
      <c r="C1288" t="s">
        <v>5</v>
      </c>
      <c r="D1288">
        <v>110864</v>
      </c>
    </row>
    <row r="1289" spans="1:4" x14ac:dyDescent="0.4">
      <c r="A1289" s="1" t="s">
        <v>2547</v>
      </c>
      <c r="B1289" t="s">
        <v>2548</v>
      </c>
      <c r="C1289" t="s">
        <v>5</v>
      </c>
      <c r="D1289">
        <v>110864</v>
      </c>
    </row>
    <row r="1290" spans="1:4" x14ac:dyDescent="0.4">
      <c r="A1290" s="1" t="s">
        <v>2549</v>
      </c>
      <c r="B1290" t="s">
        <v>2550</v>
      </c>
      <c r="C1290" t="s">
        <v>5</v>
      </c>
      <c r="D1290">
        <v>110864</v>
      </c>
    </row>
    <row r="1291" spans="1:4" x14ac:dyDescent="0.4">
      <c r="A1291" s="1" t="s">
        <v>2551</v>
      </c>
      <c r="B1291" t="s">
        <v>2552</v>
      </c>
      <c r="C1291" t="s">
        <v>5</v>
      </c>
      <c r="D1291">
        <v>65909</v>
      </c>
    </row>
    <row r="1292" spans="1:4" x14ac:dyDescent="0.4">
      <c r="A1292" s="1" t="s">
        <v>2553</v>
      </c>
      <c r="B1292" t="s">
        <v>2554</v>
      </c>
      <c r="C1292" t="s">
        <v>5</v>
      </c>
      <c r="D1292">
        <v>20991</v>
      </c>
    </row>
    <row r="1293" spans="1:4" x14ac:dyDescent="0.4">
      <c r="A1293" s="1" t="s">
        <v>2555</v>
      </c>
      <c r="B1293" t="s">
        <v>2556</v>
      </c>
      <c r="C1293" t="s">
        <v>5</v>
      </c>
      <c r="D1293">
        <v>58091</v>
      </c>
    </row>
    <row r="1294" spans="1:4" x14ac:dyDescent="0.4">
      <c r="A1294" s="1" t="s">
        <v>2557</v>
      </c>
      <c r="B1294" t="s">
        <v>2558</v>
      </c>
      <c r="C1294" t="s">
        <v>5</v>
      </c>
      <c r="D1294">
        <v>35218</v>
      </c>
    </row>
    <row r="1295" spans="1:4" x14ac:dyDescent="0.4">
      <c r="A1295" s="1" t="s">
        <v>2559</v>
      </c>
      <c r="B1295" t="s">
        <v>2560</v>
      </c>
      <c r="C1295" t="s">
        <v>5</v>
      </c>
      <c r="D1295">
        <v>50673</v>
      </c>
    </row>
    <row r="1296" spans="1:4" x14ac:dyDescent="0.4">
      <c r="A1296" s="1" t="s">
        <v>2561</v>
      </c>
      <c r="B1296" t="s">
        <v>2562</v>
      </c>
      <c r="C1296" t="s">
        <v>5</v>
      </c>
      <c r="D1296">
        <v>44073</v>
      </c>
    </row>
    <row r="1297" spans="1:4" x14ac:dyDescent="0.4">
      <c r="A1297" s="1" t="s">
        <v>2563</v>
      </c>
      <c r="B1297" t="s">
        <v>2564</v>
      </c>
      <c r="C1297" t="s">
        <v>5</v>
      </c>
      <c r="D1297">
        <v>70236</v>
      </c>
    </row>
    <row r="1298" spans="1:4" x14ac:dyDescent="0.4">
      <c r="A1298" s="1" t="s">
        <v>2565</v>
      </c>
      <c r="B1298" t="s">
        <v>2566</v>
      </c>
      <c r="C1298" t="s">
        <v>5</v>
      </c>
      <c r="D1298">
        <v>44073</v>
      </c>
    </row>
    <row r="1299" spans="1:4" x14ac:dyDescent="0.4">
      <c r="A1299" s="1" t="s">
        <v>2567</v>
      </c>
      <c r="B1299" t="s">
        <v>2568</v>
      </c>
      <c r="C1299" t="s">
        <v>5</v>
      </c>
      <c r="D1299">
        <v>70236</v>
      </c>
    </row>
    <row r="1300" spans="1:4" x14ac:dyDescent="0.4">
      <c r="A1300" s="1" t="s">
        <v>2569</v>
      </c>
      <c r="B1300" t="s">
        <v>2570</v>
      </c>
      <c r="C1300" t="s">
        <v>5</v>
      </c>
      <c r="D1300">
        <v>44073</v>
      </c>
    </row>
    <row r="1301" spans="1:4" x14ac:dyDescent="0.4">
      <c r="A1301" s="1" t="s">
        <v>2571</v>
      </c>
      <c r="B1301" t="s">
        <v>2572</v>
      </c>
      <c r="C1301" t="s">
        <v>5</v>
      </c>
      <c r="D1301">
        <v>70236</v>
      </c>
    </row>
    <row r="1302" spans="1:4" x14ac:dyDescent="0.4">
      <c r="A1302" s="1" t="s">
        <v>2573</v>
      </c>
      <c r="B1302" t="s">
        <v>2574</v>
      </c>
      <c r="C1302" t="s">
        <v>5</v>
      </c>
      <c r="D1302">
        <v>58091</v>
      </c>
    </row>
    <row r="1303" spans="1:4" x14ac:dyDescent="0.4">
      <c r="A1303" s="1" t="s">
        <v>2575</v>
      </c>
      <c r="B1303" t="s">
        <v>2576</v>
      </c>
      <c r="C1303" t="s">
        <v>5</v>
      </c>
      <c r="D1303">
        <v>58091</v>
      </c>
    </row>
    <row r="1304" spans="1:4" x14ac:dyDescent="0.4">
      <c r="A1304" s="1" t="s">
        <v>2577</v>
      </c>
      <c r="B1304" t="e">
        <f>-終息-カシオ   DJ5-TSC-G 回収協力ﾄﾅｰ ｼｱﾝ</f>
        <v>#NAME?</v>
      </c>
      <c r="C1304" t="s">
        <v>5</v>
      </c>
      <c r="D1304">
        <v>14000</v>
      </c>
    </row>
    <row r="1305" spans="1:4" x14ac:dyDescent="0.4">
      <c r="A1305" s="1" t="s">
        <v>2578</v>
      </c>
      <c r="B1305" t="e">
        <f>-終息-CASIO DJ5-TSK-G 回収協力ﾄﾅｰ ﾌﾞﾗｯｸ</f>
        <v>#NAME?</v>
      </c>
      <c r="C1305" t="s">
        <v>5</v>
      </c>
      <c r="D1305">
        <v>13000</v>
      </c>
    </row>
    <row r="1306" spans="1:4" x14ac:dyDescent="0.4">
      <c r="A1306" s="1" t="s">
        <v>2579</v>
      </c>
      <c r="B1306" t="e">
        <f>-終息-カシオ    DJ5-TSM-G 回収協力ﾄﾅｰ ﾏｾﾞﾝﾀ</f>
        <v>#NAME?</v>
      </c>
      <c r="C1306" t="s">
        <v>5</v>
      </c>
      <c r="D1306">
        <v>14000</v>
      </c>
    </row>
    <row r="1307" spans="1:4" x14ac:dyDescent="0.4">
      <c r="A1307" s="1" t="s">
        <v>2580</v>
      </c>
      <c r="B1307" t="e">
        <f>-終息-カシオ   DJ5-TSY-G 回収協力ﾄﾅｰ ｲｴﾛｰ</f>
        <v>#NAME?</v>
      </c>
      <c r="C1307" t="s">
        <v>5</v>
      </c>
      <c r="D1307">
        <v>14000</v>
      </c>
    </row>
    <row r="1308" spans="1:4" x14ac:dyDescent="0.4">
      <c r="A1308" s="1" t="s">
        <v>2581</v>
      </c>
      <c r="B1308" t="s">
        <v>2582</v>
      </c>
      <c r="C1308" t="s">
        <v>5</v>
      </c>
    </row>
    <row r="1309" spans="1:4" x14ac:dyDescent="0.4">
      <c r="A1309" s="1" t="s">
        <v>2583</v>
      </c>
      <c r="B1309" t="s">
        <v>2584</v>
      </c>
      <c r="C1309" t="s">
        <v>5</v>
      </c>
      <c r="D1309">
        <v>14500</v>
      </c>
    </row>
    <row r="1310" spans="1:4" x14ac:dyDescent="0.4">
      <c r="A1310" s="1" t="s">
        <v>2585</v>
      </c>
      <c r="B1310" t="s">
        <v>2586</v>
      </c>
      <c r="C1310" t="s">
        <v>5</v>
      </c>
      <c r="D1310">
        <v>24500</v>
      </c>
    </row>
    <row r="1311" spans="1:4" x14ac:dyDescent="0.4">
      <c r="A1311" s="1" t="s">
        <v>2587</v>
      </c>
      <c r="B1311" t="s">
        <v>2588</v>
      </c>
      <c r="C1311" t="s">
        <v>5</v>
      </c>
      <c r="D1311">
        <v>24500</v>
      </c>
    </row>
    <row r="1312" spans="1:4" x14ac:dyDescent="0.4">
      <c r="A1312" s="1" t="s">
        <v>2589</v>
      </c>
      <c r="B1312" t="s">
        <v>2590</v>
      </c>
      <c r="C1312" t="s">
        <v>5</v>
      </c>
      <c r="D1312">
        <v>24500</v>
      </c>
    </row>
    <row r="1313" spans="1:4" x14ac:dyDescent="0.4">
      <c r="A1313" s="1" t="s">
        <v>2591</v>
      </c>
      <c r="B1313" t="s">
        <v>2592</v>
      </c>
      <c r="C1313" t="s">
        <v>5</v>
      </c>
      <c r="D1313">
        <v>24500</v>
      </c>
    </row>
    <row r="1314" spans="1:4" x14ac:dyDescent="0.4">
      <c r="A1314" s="1" t="s">
        <v>2593</v>
      </c>
      <c r="B1314" t="s">
        <v>2594</v>
      </c>
      <c r="C1314" t="s">
        <v>5</v>
      </c>
      <c r="D1314">
        <v>13400</v>
      </c>
    </row>
    <row r="1315" spans="1:4" x14ac:dyDescent="0.4">
      <c r="A1315" s="1" t="s">
        <v>2595</v>
      </c>
      <c r="B1315" t="s">
        <v>2596</v>
      </c>
      <c r="C1315" t="s">
        <v>5</v>
      </c>
      <c r="D1315">
        <v>36464</v>
      </c>
    </row>
    <row r="1316" spans="1:4" x14ac:dyDescent="0.4">
      <c r="A1316" s="1" t="s">
        <v>2597</v>
      </c>
      <c r="B1316" t="s">
        <v>2598</v>
      </c>
      <c r="C1316" t="s">
        <v>5</v>
      </c>
      <c r="D1316">
        <v>7000</v>
      </c>
    </row>
    <row r="1317" spans="1:4" x14ac:dyDescent="0.4">
      <c r="A1317" s="1" t="s">
        <v>2599</v>
      </c>
      <c r="B1317" t="s">
        <v>2600</v>
      </c>
      <c r="C1317" t="s">
        <v>5</v>
      </c>
      <c r="D1317">
        <v>6000</v>
      </c>
    </row>
    <row r="1318" spans="1:4" x14ac:dyDescent="0.4">
      <c r="A1318" s="1" t="s">
        <v>2601</v>
      </c>
      <c r="B1318" t="s">
        <v>2602</v>
      </c>
      <c r="C1318" t="s">
        <v>5</v>
      </c>
      <c r="D1318">
        <v>7000</v>
      </c>
    </row>
    <row r="1319" spans="1:4" x14ac:dyDescent="0.4">
      <c r="A1319" s="1" t="s">
        <v>2603</v>
      </c>
      <c r="B1319" t="s">
        <v>2604</v>
      </c>
      <c r="C1319" t="s">
        <v>5</v>
      </c>
      <c r="D1319">
        <v>7000</v>
      </c>
    </row>
    <row r="1320" spans="1:4" x14ac:dyDescent="0.4">
      <c r="A1320" s="1" t="s">
        <v>2605</v>
      </c>
      <c r="B1320" t="s">
        <v>2606</v>
      </c>
      <c r="C1320" t="s">
        <v>5</v>
      </c>
      <c r="D1320">
        <v>16000</v>
      </c>
    </row>
    <row r="1321" spans="1:4" x14ac:dyDescent="0.4">
      <c r="A1321" s="1" t="s">
        <v>2607</v>
      </c>
      <c r="B1321" t="s">
        <v>2608</v>
      </c>
      <c r="C1321" t="s">
        <v>5</v>
      </c>
      <c r="D1321">
        <v>15000</v>
      </c>
    </row>
    <row r="1322" spans="1:4" x14ac:dyDescent="0.4">
      <c r="A1322" s="1" t="s">
        <v>2609</v>
      </c>
      <c r="B1322" t="s">
        <v>2610</v>
      </c>
      <c r="C1322" t="s">
        <v>5</v>
      </c>
      <c r="D1322">
        <v>16000</v>
      </c>
    </row>
    <row r="1323" spans="1:4" x14ac:dyDescent="0.4">
      <c r="A1323" s="1" t="s">
        <v>2611</v>
      </c>
      <c r="B1323" t="s">
        <v>2612</v>
      </c>
      <c r="C1323" t="s">
        <v>5</v>
      </c>
      <c r="D1323">
        <v>16000</v>
      </c>
    </row>
    <row r="1324" spans="1:4" x14ac:dyDescent="0.4">
      <c r="A1324" s="1" t="s">
        <v>2613</v>
      </c>
      <c r="B1324" t="s">
        <v>2614</v>
      </c>
      <c r="C1324" t="s">
        <v>5</v>
      </c>
      <c r="D1324">
        <v>16000</v>
      </c>
    </row>
    <row r="1325" spans="1:4" x14ac:dyDescent="0.4">
      <c r="A1325" s="1" t="s">
        <v>2615</v>
      </c>
      <c r="B1325" t="s">
        <v>2616</v>
      </c>
      <c r="C1325" t="s">
        <v>5</v>
      </c>
      <c r="D1325">
        <v>16000</v>
      </c>
    </row>
    <row r="1326" spans="1:4" x14ac:dyDescent="0.4">
      <c r="A1326" s="1" t="s">
        <v>2617</v>
      </c>
      <c r="B1326" t="s">
        <v>2618</v>
      </c>
      <c r="C1326" t="s">
        <v>5</v>
      </c>
      <c r="D1326">
        <v>16000</v>
      </c>
    </row>
    <row r="1327" spans="1:4" x14ac:dyDescent="0.4">
      <c r="A1327" s="1" t="s">
        <v>2619</v>
      </c>
      <c r="B1327" t="s">
        <v>2620</v>
      </c>
      <c r="C1327" t="s">
        <v>5</v>
      </c>
      <c r="D1327">
        <v>16000</v>
      </c>
    </row>
    <row r="1328" spans="1:4" x14ac:dyDescent="0.4">
      <c r="A1328" s="1" t="s">
        <v>2621</v>
      </c>
      <c r="B1328" t="s">
        <v>2622</v>
      </c>
      <c r="C1328" t="s">
        <v>5</v>
      </c>
      <c r="D1328">
        <v>6800</v>
      </c>
    </row>
    <row r="1329" spans="1:4" x14ac:dyDescent="0.4">
      <c r="A1329" s="1" t="s">
        <v>2623</v>
      </c>
      <c r="B1329" t="s">
        <v>2624</v>
      </c>
      <c r="C1329" t="s">
        <v>5</v>
      </c>
      <c r="D1329">
        <v>7800</v>
      </c>
    </row>
    <row r="1330" spans="1:4" x14ac:dyDescent="0.4">
      <c r="A1330" s="1" t="s">
        <v>2625</v>
      </c>
      <c r="B1330" t="s">
        <v>2626</v>
      </c>
      <c r="C1330" t="s">
        <v>5</v>
      </c>
      <c r="D1330">
        <v>6800</v>
      </c>
    </row>
    <row r="1331" spans="1:4" x14ac:dyDescent="0.4">
      <c r="A1331" s="1" t="s">
        <v>2627</v>
      </c>
      <c r="B1331" t="s">
        <v>2628</v>
      </c>
      <c r="C1331" t="s">
        <v>5</v>
      </c>
      <c r="D1331">
        <v>6800</v>
      </c>
    </row>
    <row r="1332" spans="1:4" x14ac:dyDescent="0.4">
      <c r="A1332" s="1" t="s">
        <v>2629</v>
      </c>
      <c r="B1332" t="s">
        <v>2630</v>
      </c>
      <c r="C1332" t="s">
        <v>5</v>
      </c>
      <c r="D1332">
        <v>16000</v>
      </c>
    </row>
    <row r="1333" spans="1:4" x14ac:dyDescent="0.4">
      <c r="A1333" s="1" t="s">
        <v>2631</v>
      </c>
      <c r="B1333" t="s">
        <v>2632</v>
      </c>
      <c r="C1333" t="s">
        <v>5</v>
      </c>
      <c r="D1333">
        <v>19800</v>
      </c>
    </row>
    <row r="1334" spans="1:4" x14ac:dyDescent="0.4">
      <c r="A1334" s="1" t="s">
        <v>2633</v>
      </c>
      <c r="B1334" t="s">
        <v>2634</v>
      </c>
      <c r="C1334" t="s">
        <v>5</v>
      </c>
      <c r="D1334">
        <v>16000</v>
      </c>
    </row>
    <row r="1335" spans="1:4" x14ac:dyDescent="0.4">
      <c r="A1335" s="1" t="s">
        <v>2635</v>
      </c>
      <c r="B1335" t="s">
        <v>2636</v>
      </c>
      <c r="C1335" t="s">
        <v>5</v>
      </c>
      <c r="D1335">
        <v>16000</v>
      </c>
    </row>
    <row r="1336" spans="1:4" x14ac:dyDescent="0.4">
      <c r="A1336" s="1" t="s">
        <v>2637</v>
      </c>
      <c r="B1336" t="s">
        <v>2638</v>
      </c>
      <c r="C1336" t="s">
        <v>5</v>
      </c>
      <c r="D1336">
        <v>12000</v>
      </c>
    </row>
    <row r="1337" spans="1:4" x14ac:dyDescent="0.4">
      <c r="A1337" s="1" t="s">
        <v>2639</v>
      </c>
      <c r="B1337" t="s">
        <v>2640</v>
      </c>
      <c r="C1337" t="s">
        <v>5</v>
      </c>
      <c r="D1337">
        <v>12000</v>
      </c>
    </row>
    <row r="1338" spans="1:4" x14ac:dyDescent="0.4">
      <c r="A1338" s="1" t="s">
        <v>2641</v>
      </c>
      <c r="B1338" t="s">
        <v>2642</v>
      </c>
      <c r="C1338" t="s">
        <v>5</v>
      </c>
      <c r="D1338">
        <v>12000</v>
      </c>
    </row>
    <row r="1339" spans="1:4" x14ac:dyDescent="0.4">
      <c r="A1339" s="1" t="s">
        <v>2643</v>
      </c>
      <c r="B1339" t="s">
        <v>2644</v>
      </c>
      <c r="C1339" t="s">
        <v>5</v>
      </c>
      <c r="D1339">
        <v>12000</v>
      </c>
    </row>
    <row r="1340" spans="1:4" x14ac:dyDescent="0.4">
      <c r="A1340" s="1" t="s">
        <v>2645</v>
      </c>
      <c r="B1340" t="s">
        <v>2646</v>
      </c>
      <c r="C1340" t="s">
        <v>5</v>
      </c>
      <c r="D1340">
        <v>8000</v>
      </c>
    </row>
    <row r="1341" spans="1:4" x14ac:dyDescent="0.4">
      <c r="A1341" s="1" t="s">
        <v>2647</v>
      </c>
      <c r="B1341" t="s">
        <v>2648</v>
      </c>
      <c r="C1341" t="s">
        <v>5</v>
      </c>
      <c r="D1341">
        <v>8400</v>
      </c>
    </row>
    <row r="1342" spans="1:4" x14ac:dyDescent="0.4">
      <c r="A1342" s="1" t="s">
        <v>2649</v>
      </c>
      <c r="B1342" t="s">
        <v>2650</v>
      </c>
      <c r="C1342" t="s">
        <v>5</v>
      </c>
      <c r="D1342">
        <v>8000</v>
      </c>
    </row>
    <row r="1343" spans="1:4" x14ac:dyDescent="0.4">
      <c r="A1343" s="1" t="s">
        <v>2651</v>
      </c>
      <c r="B1343" t="s">
        <v>2652</v>
      </c>
      <c r="C1343" t="s">
        <v>5</v>
      </c>
      <c r="D1343">
        <v>8000</v>
      </c>
    </row>
    <row r="1344" spans="1:4" x14ac:dyDescent="0.4">
      <c r="A1344" s="1" t="s">
        <v>2653</v>
      </c>
      <c r="B1344" t="s">
        <v>2654</v>
      </c>
      <c r="C1344" t="s">
        <v>5</v>
      </c>
      <c r="D1344">
        <v>25000</v>
      </c>
    </row>
    <row r="1345" spans="1:4" x14ac:dyDescent="0.4">
      <c r="A1345" s="1" t="s">
        <v>2655</v>
      </c>
      <c r="B1345" t="s">
        <v>2656</v>
      </c>
      <c r="C1345" t="s">
        <v>5</v>
      </c>
      <c r="D1345">
        <v>21800</v>
      </c>
    </row>
    <row r="1346" spans="1:4" x14ac:dyDescent="0.4">
      <c r="A1346" s="1" t="s">
        <v>2657</v>
      </c>
      <c r="B1346" t="s">
        <v>2658</v>
      </c>
      <c r="C1346" t="s">
        <v>5</v>
      </c>
      <c r="D1346">
        <v>20400</v>
      </c>
    </row>
    <row r="1347" spans="1:4" x14ac:dyDescent="0.4">
      <c r="A1347" s="1" t="s">
        <v>2659</v>
      </c>
      <c r="B1347" t="s">
        <v>2660</v>
      </c>
      <c r="C1347" t="s">
        <v>5</v>
      </c>
      <c r="D1347">
        <v>21800</v>
      </c>
    </row>
    <row r="1348" spans="1:4" x14ac:dyDescent="0.4">
      <c r="A1348" s="1" t="s">
        <v>2661</v>
      </c>
      <c r="B1348" t="s">
        <v>2662</v>
      </c>
      <c r="C1348" t="s">
        <v>5</v>
      </c>
      <c r="D1348">
        <v>21800</v>
      </c>
    </row>
    <row r="1349" spans="1:4" x14ac:dyDescent="0.4">
      <c r="A1349" s="1" t="s">
        <v>2663</v>
      </c>
      <c r="B1349" t="s">
        <v>2664</v>
      </c>
      <c r="C1349" t="s">
        <v>5</v>
      </c>
      <c r="D1349">
        <v>23400</v>
      </c>
    </row>
    <row r="1350" spans="1:4" x14ac:dyDescent="0.4">
      <c r="A1350" s="1" t="s">
        <v>2665</v>
      </c>
      <c r="B1350" t="s">
        <v>2666</v>
      </c>
      <c r="C1350" t="s">
        <v>5</v>
      </c>
      <c r="D1350">
        <v>25000</v>
      </c>
    </row>
    <row r="1351" spans="1:4" x14ac:dyDescent="0.4">
      <c r="A1351" s="1" t="s">
        <v>2667</v>
      </c>
      <c r="B1351" t="s">
        <v>2668</v>
      </c>
      <c r="C1351" t="s">
        <v>5</v>
      </c>
      <c r="D1351">
        <v>25000</v>
      </c>
    </row>
    <row r="1352" spans="1:4" x14ac:dyDescent="0.4">
      <c r="A1352" s="1" t="s">
        <v>2669</v>
      </c>
      <c r="B1352" t="s">
        <v>2670</v>
      </c>
      <c r="C1352" t="s">
        <v>5</v>
      </c>
      <c r="D1352">
        <v>17000</v>
      </c>
    </row>
    <row r="1353" spans="1:4" x14ac:dyDescent="0.4">
      <c r="A1353" s="1" t="s">
        <v>2671</v>
      </c>
      <c r="B1353" t="s">
        <v>2672</v>
      </c>
      <c r="C1353" t="s">
        <v>5</v>
      </c>
      <c r="D1353">
        <v>17000</v>
      </c>
    </row>
    <row r="1354" spans="1:4" x14ac:dyDescent="0.4">
      <c r="A1354" s="1" t="s">
        <v>2673</v>
      </c>
      <c r="B1354" t="s">
        <v>2674</v>
      </c>
      <c r="C1354" t="s">
        <v>5</v>
      </c>
      <c r="D1354">
        <v>17000</v>
      </c>
    </row>
    <row r="1355" spans="1:4" x14ac:dyDescent="0.4">
      <c r="A1355" s="1" t="s">
        <v>2675</v>
      </c>
      <c r="B1355" t="s">
        <v>2676</v>
      </c>
      <c r="C1355" t="s">
        <v>5</v>
      </c>
      <c r="D1355">
        <v>17000</v>
      </c>
    </row>
    <row r="1356" spans="1:4" x14ac:dyDescent="0.4">
      <c r="A1356" s="1" t="s">
        <v>2677</v>
      </c>
      <c r="B1356" t="s">
        <v>2678</v>
      </c>
      <c r="C1356" t="s">
        <v>5</v>
      </c>
      <c r="D1356">
        <v>25500</v>
      </c>
    </row>
    <row r="1357" spans="1:4" x14ac:dyDescent="0.4">
      <c r="A1357" s="1" t="s">
        <v>2679</v>
      </c>
      <c r="B1357" t="s">
        <v>2680</v>
      </c>
      <c r="C1357" t="s">
        <v>5</v>
      </c>
      <c r="D1357">
        <v>23900</v>
      </c>
    </row>
    <row r="1358" spans="1:4" x14ac:dyDescent="0.4">
      <c r="A1358" s="1" t="s">
        <v>2681</v>
      </c>
      <c r="B1358" t="s">
        <v>2682</v>
      </c>
      <c r="C1358" t="s">
        <v>5</v>
      </c>
      <c r="D1358">
        <v>25500</v>
      </c>
    </row>
    <row r="1359" spans="1:4" x14ac:dyDescent="0.4">
      <c r="A1359" s="1" t="s">
        <v>2683</v>
      </c>
      <c r="B1359" t="s">
        <v>2684</v>
      </c>
      <c r="C1359" t="s">
        <v>5</v>
      </c>
      <c r="D1359">
        <v>25500</v>
      </c>
    </row>
    <row r="1360" spans="1:4" x14ac:dyDescent="0.4">
      <c r="A1360" s="1" t="s">
        <v>2685</v>
      </c>
      <c r="B1360" t="s">
        <v>2686</v>
      </c>
      <c r="D1360">
        <v>124800</v>
      </c>
    </row>
    <row r="1361" spans="1:4" x14ac:dyDescent="0.4">
      <c r="A1361" s="1" t="s">
        <v>2687</v>
      </c>
      <c r="B1361" t="s">
        <v>2688</v>
      </c>
      <c r="D1361">
        <v>174800</v>
      </c>
    </row>
    <row r="1362" spans="1:4" x14ac:dyDescent="0.4">
      <c r="A1362" s="1" t="s">
        <v>2689</v>
      </c>
      <c r="B1362" t="s">
        <v>2690</v>
      </c>
      <c r="C1362" t="s">
        <v>5</v>
      </c>
      <c r="D1362">
        <v>27400</v>
      </c>
    </row>
    <row r="1363" spans="1:4" x14ac:dyDescent="0.4">
      <c r="A1363" s="1" t="s">
        <v>2691</v>
      </c>
      <c r="B1363" t="s">
        <v>2692</v>
      </c>
      <c r="C1363" t="s">
        <v>5</v>
      </c>
      <c r="D1363">
        <v>27400</v>
      </c>
    </row>
    <row r="1364" spans="1:4" x14ac:dyDescent="0.4">
      <c r="A1364" s="1" t="s">
        <v>2693</v>
      </c>
      <c r="B1364" t="s">
        <v>2694</v>
      </c>
      <c r="C1364" t="s">
        <v>5</v>
      </c>
      <c r="D1364">
        <v>27400</v>
      </c>
    </row>
    <row r="1365" spans="1:4" x14ac:dyDescent="0.4">
      <c r="A1365" s="1" t="s">
        <v>2695</v>
      </c>
      <c r="B1365" t="s">
        <v>2696</v>
      </c>
      <c r="C1365" t="s">
        <v>5</v>
      </c>
      <c r="D1365">
        <v>27400</v>
      </c>
    </row>
    <row r="1366" spans="1:4" x14ac:dyDescent="0.4">
      <c r="A1366" s="1" t="s">
        <v>2697</v>
      </c>
      <c r="B1366" t="s">
        <v>2698</v>
      </c>
      <c r="C1366" t="s">
        <v>5</v>
      </c>
      <c r="D1366">
        <v>27400</v>
      </c>
    </row>
    <row r="1367" spans="1:4" x14ac:dyDescent="0.4">
      <c r="A1367" s="1" t="s">
        <v>2699</v>
      </c>
      <c r="B1367" t="s">
        <v>2700</v>
      </c>
      <c r="C1367" t="s">
        <v>5</v>
      </c>
      <c r="D1367">
        <v>27400</v>
      </c>
    </row>
    <row r="1368" spans="1:4" x14ac:dyDescent="0.4">
      <c r="A1368" s="1" t="s">
        <v>2701</v>
      </c>
      <c r="B1368" t="s">
        <v>2702</v>
      </c>
      <c r="C1368" t="s">
        <v>5</v>
      </c>
      <c r="D1368">
        <v>40900</v>
      </c>
    </row>
    <row r="1369" spans="1:4" x14ac:dyDescent="0.4">
      <c r="A1369" s="1" t="s">
        <v>2703</v>
      </c>
      <c r="B1369" t="s">
        <v>2704</v>
      </c>
      <c r="C1369" t="s">
        <v>5</v>
      </c>
      <c r="D1369">
        <v>25500</v>
      </c>
    </row>
    <row r="1370" spans="1:4" x14ac:dyDescent="0.4">
      <c r="A1370" s="1" t="s">
        <v>2705</v>
      </c>
      <c r="B1370" t="s">
        <v>2706</v>
      </c>
      <c r="C1370" t="s">
        <v>5</v>
      </c>
    </row>
    <row r="1371" spans="1:4" x14ac:dyDescent="0.4">
      <c r="A1371" s="1" t="s">
        <v>2707</v>
      </c>
      <c r="B1371" t="s">
        <v>2708</v>
      </c>
      <c r="C1371" t="s">
        <v>5</v>
      </c>
    </row>
    <row r="1372" spans="1:4" x14ac:dyDescent="0.4">
      <c r="A1372" s="1" t="s">
        <v>2709</v>
      </c>
      <c r="B1372" t="s">
        <v>2710</v>
      </c>
      <c r="C1372" t="s">
        <v>5</v>
      </c>
    </row>
    <row r="1373" spans="1:4" x14ac:dyDescent="0.4">
      <c r="A1373" s="1" t="s">
        <v>2711</v>
      </c>
      <c r="B1373" t="s">
        <v>2712</v>
      </c>
      <c r="C1373" t="s">
        <v>5</v>
      </c>
    </row>
    <row r="1374" spans="1:4" x14ac:dyDescent="0.4">
      <c r="A1374" s="1" t="s">
        <v>2713</v>
      </c>
      <c r="B1374" t="e">
        <f>-終息-CASIO #REF!-TSC-G ﾄﾅｰ ｼｱﾝ</f>
        <v>#NAME?</v>
      </c>
      <c r="C1374" t="s">
        <v>5</v>
      </c>
      <c r="D1374">
        <v>14000</v>
      </c>
    </row>
    <row r="1375" spans="1:4" x14ac:dyDescent="0.4">
      <c r="A1375" s="1" t="s">
        <v>2714</v>
      </c>
      <c r="B1375" t="e">
        <f>-終息-CASIO #REF!-TSK-G ﾄﾅｰ ﾌﾞﾗｯｸ</f>
        <v>#NAME?</v>
      </c>
      <c r="C1375" t="s">
        <v>5</v>
      </c>
      <c r="D1375">
        <v>14000</v>
      </c>
    </row>
    <row r="1376" spans="1:4" x14ac:dyDescent="0.4">
      <c r="A1376" s="1" t="s">
        <v>2715</v>
      </c>
      <c r="B1376" t="e">
        <f>-終息-CASIO #REF!-TSM-G ﾄﾅｰ ﾏｾﾞﾝﾀ</f>
        <v>#NAME?</v>
      </c>
      <c r="C1376" t="s">
        <v>5</v>
      </c>
      <c r="D1376">
        <v>14000</v>
      </c>
    </row>
    <row r="1377" spans="1:4" x14ac:dyDescent="0.4">
      <c r="A1377" s="1" t="s">
        <v>2716</v>
      </c>
      <c r="B1377" t="e">
        <f>-終息-CASIO #REF!-TSY-G ﾄﾅｰ ｲｴﾛｰ</f>
        <v>#NAME?</v>
      </c>
      <c r="C1377" t="s">
        <v>5</v>
      </c>
      <c r="D1377">
        <v>14000</v>
      </c>
    </row>
    <row r="1378" spans="1:4" x14ac:dyDescent="0.4">
      <c r="A1378" s="1" t="s">
        <v>2717</v>
      </c>
      <c r="B1378" t="s">
        <v>2718</v>
      </c>
      <c r="C1378" t="s">
        <v>5</v>
      </c>
      <c r="D1378">
        <v>17073</v>
      </c>
    </row>
    <row r="1379" spans="1:4" x14ac:dyDescent="0.4">
      <c r="A1379" s="1" t="s">
        <v>2719</v>
      </c>
      <c r="B1379" t="s">
        <v>2720</v>
      </c>
      <c r="C1379" t="s">
        <v>5</v>
      </c>
      <c r="D1379">
        <v>17682</v>
      </c>
    </row>
    <row r="1380" spans="1:4" x14ac:dyDescent="0.4">
      <c r="A1380" s="1" t="s">
        <v>2721</v>
      </c>
      <c r="B1380" t="s">
        <v>2722</v>
      </c>
      <c r="C1380" t="s">
        <v>5</v>
      </c>
      <c r="D1380">
        <v>17682</v>
      </c>
    </row>
    <row r="1381" spans="1:4" x14ac:dyDescent="0.4">
      <c r="A1381" s="1" t="s">
        <v>2723</v>
      </c>
      <c r="B1381" t="s">
        <v>2724</v>
      </c>
      <c r="C1381" t="s">
        <v>5</v>
      </c>
      <c r="D1381">
        <v>17682</v>
      </c>
    </row>
    <row r="1382" spans="1:4" x14ac:dyDescent="0.4">
      <c r="A1382" s="1" t="s">
        <v>2725</v>
      </c>
      <c r="B1382" t="s">
        <v>2726</v>
      </c>
      <c r="C1382" t="s">
        <v>5</v>
      </c>
      <c r="D1382">
        <v>14700</v>
      </c>
    </row>
    <row r="1383" spans="1:4" x14ac:dyDescent="0.4">
      <c r="A1383" s="1" t="s">
        <v>2727</v>
      </c>
      <c r="B1383" t="s">
        <v>2728</v>
      </c>
      <c r="C1383" t="s">
        <v>5</v>
      </c>
      <c r="D1383">
        <v>14700</v>
      </c>
    </row>
    <row r="1384" spans="1:4" x14ac:dyDescent="0.4">
      <c r="A1384" s="1" t="s">
        <v>2729</v>
      </c>
      <c r="B1384" t="s">
        <v>2730</v>
      </c>
      <c r="C1384" t="s">
        <v>5</v>
      </c>
      <c r="D1384">
        <v>14700</v>
      </c>
    </row>
    <row r="1385" spans="1:4" x14ac:dyDescent="0.4">
      <c r="A1385" s="1" t="s">
        <v>2731</v>
      </c>
      <c r="B1385" t="s">
        <v>2732</v>
      </c>
      <c r="C1385" t="s">
        <v>5</v>
      </c>
      <c r="D1385">
        <v>14700</v>
      </c>
    </row>
    <row r="1386" spans="1:4" x14ac:dyDescent="0.4">
      <c r="A1386" s="1" t="s">
        <v>2733</v>
      </c>
      <c r="B1386" t="s">
        <v>2734</v>
      </c>
      <c r="C1386" t="s">
        <v>5</v>
      </c>
      <c r="D1386">
        <v>14700</v>
      </c>
    </row>
    <row r="1387" spans="1:4" x14ac:dyDescent="0.4">
      <c r="A1387" s="1" t="s">
        <v>2735</v>
      </c>
      <c r="B1387" t="s">
        <v>2736</v>
      </c>
      <c r="C1387" t="s">
        <v>5</v>
      </c>
      <c r="D1387">
        <v>14700</v>
      </c>
    </row>
    <row r="1388" spans="1:4" x14ac:dyDescent="0.4">
      <c r="A1388" s="1" t="s">
        <v>2737</v>
      </c>
      <c r="B1388" t="s">
        <v>2738</v>
      </c>
      <c r="C1388" t="s">
        <v>5</v>
      </c>
      <c r="D1388">
        <v>14700</v>
      </c>
    </row>
    <row r="1389" spans="1:4" x14ac:dyDescent="0.4">
      <c r="A1389" s="1" t="s">
        <v>2739</v>
      </c>
      <c r="B1389" t="s">
        <v>2740</v>
      </c>
      <c r="C1389" t="s">
        <v>5</v>
      </c>
      <c r="D1389">
        <v>14700</v>
      </c>
    </row>
    <row r="1390" spans="1:4" x14ac:dyDescent="0.4">
      <c r="A1390" s="1" t="s">
        <v>2741</v>
      </c>
      <c r="B1390" t="s">
        <v>2742</v>
      </c>
      <c r="C1390" t="s">
        <v>5</v>
      </c>
    </row>
    <row r="1391" spans="1:4" x14ac:dyDescent="0.4">
      <c r="A1391" s="1" t="s">
        <v>2743</v>
      </c>
      <c r="B1391" t="s">
        <v>2744</v>
      </c>
      <c r="D1391">
        <v>119800</v>
      </c>
    </row>
    <row r="1392" spans="1:4" x14ac:dyDescent="0.4">
      <c r="A1392" s="1" t="s">
        <v>2745</v>
      </c>
      <c r="B1392" t="s">
        <v>2746</v>
      </c>
      <c r="D1392">
        <v>178000</v>
      </c>
    </row>
    <row r="1393" spans="1:4" x14ac:dyDescent="0.4">
      <c r="A1393" s="1" t="s">
        <v>2747</v>
      </c>
      <c r="B1393" t="s">
        <v>2748</v>
      </c>
      <c r="D1393">
        <v>218000</v>
      </c>
    </row>
    <row r="1394" spans="1:4" x14ac:dyDescent="0.4">
      <c r="A1394" s="1" t="s">
        <v>2749</v>
      </c>
      <c r="B1394" t="s">
        <v>2750</v>
      </c>
      <c r="D1394">
        <v>258000</v>
      </c>
    </row>
    <row r="1395" spans="1:4" x14ac:dyDescent="0.4">
      <c r="A1395" s="1" t="s">
        <v>2751</v>
      </c>
      <c r="B1395" t="s">
        <v>2752</v>
      </c>
      <c r="C1395" t="s">
        <v>5</v>
      </c>
      <c r="D1395">
        <v>7200</v>
      </c>
    </row>
    <row r="1396" spans="1:4" x14ac:dyDescent="0.4">
      <c r="A1396" s="1" t="s">
        <v>2753</v>
      </c>
      <c r="B1396" t="s">
        <v>2754</v>
      </c>
      <c r="C1396" t="s">
        <v>5</v>
      </c>
      <c r="D1396">
        <v>7500</v>
      </c>
    </row>
    <row r="1397" spans="1:4" x14ac:dyDescent="0.4">
      <c r="A1397" s="1" t="s">
        <v>2755</v>
      </c>
      <c r="B1397" t="e">
        <f>-使用不可-京セラ CS-410</f>
        <v>#NAME?</v>
      </c>
      <c r="C1397" t="s">
        <v>5</v>
      </c>
    </row>
    <row r="1398" spans="1:4" x14ac:dyDescent="0.4">
      <c r="A1398" s="1" t="s">
        <v>2756</v>
      </c>
      <c r="B1398" t="s">
        <v>2757</v>
      </c>
      <c r="C1398" t="s">
        <v>5</v>
      </c>
    </row>
    <row r="1399" spans="1:4" x14ac:dyDescent="0.4">
      <c r="A1399" s="1" t="s">
        <v>2758</v>
      </c>
      <c r="B1399" t="s">
        <v>2759</v>
      </c>
      <c r="C1399" t="s">
        <v>5</v>
      </c>
    </row>
    <row r="1400" spans="1:4" x14ac:dyDescent="0.4">
      <c r="A1400" s="1" t="s">
        <v>2760</v>
      </c>
      <c r="B1400" t="s">
        <v>2761</v>
      </c>
      <c r="C1400" t="s">
        <v>5</v>
      </c>
    </row>
    <row r="1401" spans="1:4" x14ac:dyDescent="0.4">
      <c r="A1401" s="1" t="s">
        <v>2762</v>
      </c>
      <c r="B1401" t="s">
        <v>2763</v>
      </c>
      <c r="C1401" t="s">
        <v>5</v>
      </c>
    </row>
    <row r="1402" spans="1:4" x14ac:dyDescent="0.4">
      <c r="A1402" s="1" t="s">
        <v>2764</v>
      </c>
      <c r="B1402" t="s">
        <v>2765</v>
      </c>
      <c r="C1402" t="s">
        <v>5</v>
      </c>
    </row>
    <row r="1403" spans="1:4" x14ac:dyDescent="0.4">
      <c r="A1403" s="1" t="s">
        <v>2766</v>
      </c>
      <c r="B1403" t="s">
        <v>2767</v>
      </c>
      <c r="C1403" t="s">
        <v>5</v>
      </c>
    </row>
    <row r="1404" spans="1:4" x14ac:dyDescent="0.4">
      <c r="A1404" s="1" t="s">
        <v>2768</v>
      </c>
      <c r="B1404" t="s">
        <v>2769</v>
      </c>
      <c r="C1404" t="s">
        <v>5</v>
      </c>
    </row>
    <row r="1405" spans="1:4" x14ac:dyDescent="0.4">
      <c r="A1405" s="1" t="s">
        <v>2770</v>
      </c>
      <c r="B1405" t="s">
        <v>2771</v>
      </c>
      <c r="C1405" t="s">
        <v>5</v>
      </c>
    </row>
    <row r="1406" spans="1:4" x14ac:dyDescent="0.4">
      <c r="A1406" s="1" t="s">
        <v>2772</v>
      </c>
      <c r="B1406" t="s">
        <v>2773</v>
      </c>
      <c r="C1406" t="s">
        <v>5</v>
      </c>
    </row>
    <row r="1407" spans="1:4" x14ac:dyDescent="0.4">
      <c r="A1407" s="1" t="s">
        <v>2774</v>
      </c>
      <c r="B1407" t="s">
        <v>2775</v>
      </c>
      <c r="C1407" t="s">
        <v>5</v>
      </c>
    </row>
    <row r="1408" spans="1:4" x14ac:dyDescent="0.4">
      <c r="A1408" s="1" t="s">
        <v>2776</v>
      </c>
      <c r="B1408" t="s">
        <v>2777</v>
      </c>
      <c r="C1408" t="s">
        <v>5</v>
      </c>
    </row>
    <row r="1409" spans="1:4" x14ac:dyDescent="0.4">
      <c r="A1409" s="1" t="s">
        <v>2778</v>
      </c>
      <c r="B1409" t="s">
        <v>2779</v>
      </c>
      <c r="C1409" t="s">
        <v>5</v>
      </c>
    </row>
    <row r="1410" spans="1:4" x14ac:dyDescent="0.4">
      <c r="A1410" s="1" t="s">
        <v>2780</v>
      </c>
      <c r="B1410" t="s">
        <v>2781</v>
      </c>
      <c r="C1410" t="s">
        <v>5</v>
      </c>
    </row>
    <row r="1411" spans="1:4" x14ac:dyDescent="0.4">
      <c r="A1411" s="1" t="s">
        <v>2782</v>
      </c>
      <c r="B1411" t="s">
        <v>2783</v>
      </c>
      <c r="C1411" t="s">
        <v>5</v>
      </c>
    </row>
    <row r="1412" spans="1:4" x14ac:dyDescent="0.4">
      <c r="A1412" s="1" t="s">
        <v>2784</v>
      </c>
      <c r="B1412" t="s">
        <v>2785</v>
      </c>
      <c r="C1412" t="s">
        <v>5</v>
      </c>
    </row>
    <row r="1413" spans="1:4" x14ac:dyDescent="0.4">
      <c r="A1413" s="1" t="s">
        <v>2786</v>
      </c>
      <c r="B1413" t="s">
        <v>2787</v>
      </c>
      <c r="C1413" t="s">
        <v>5</v>
      </c>
    </row>
    <row r="1414" spans="1:4" x14ac:dyDescent="0.4">
      <c r="A1414" s="1" t="s">
        <v>2788</v>
      </c>
      <c r="B1414" t="s">
        <v>2789</v>
      </c>
      <c r="C1414" t="s">
        <v>5</v>
      </c>
    </row>
    <row r="1415" spans="1:4" x14ac:dyDescent="0.4">
      <c r="A1415" s="1" t="s">
        <v>2790</v>
      </c>
      <c r="B1415" t="s">
        <v>2791</v>
      </c>
      <c r="C1415" t="s">
        <v>5</v>
      </c>
    </row>
    <row r="1416" spans="1:4" x14ac:dyDescent="0.4">
      <c r="A1416" s="1" t="s">
        <v>2792</v>
      </c>
      <c r="B1416" t="s">
        <v>2793</v>
      </c>
      <c r="C1416" t="s">
        <v>5</v>
      </c>
    </row>
    <row r="1417" spans="1:4" x14ac:dyDescent="0.4">
      <c r="A1417" s="1" t="s">
        <v>2794</v>
      </c>
      <c r="B1417" t="s">
        <v>2795</v>
      </c>
      <c r="C1417" t="s">
        <v>5</v>
      </c>
      <c r="D1417">
        <v>11600</v>
      </c>
    </row>
    <row r="1418" spans="1:4" x14ac:dyDescent="0.4">
      <c r="A1418" s="1" t="s">
        <v>2796</v>
      </c>
      <c r="B1418" t="s">
        <v>2797</v>
      </c>
      <c r="C1418" t="s">
        <v>5</v>
      </c>
      <c r="D1418">
        <v>11600</v>
      </c>
    </row>
    <row r="1419" spans="1:4" x14ac:dyDescent="0.4">
      <c r="A1419" s="1" t="s">
        <v>2798</v>
      </c>
      <c r="B1419" t="e">
        <f>-終息-XEROX Y200249 ﾌﾞﾗｯｸ</f>
        <v>#NAME?</v>
      </c>
      <c r="C1419" t="s">
        <v>5</v>
      </c>
      <c r="D1419">
        <v>15000</v>
      </c>
    </row>
    <row r="1420" spans="1:4" x14ac:dyDescent="0.4">
      <c r="A1420" s="1" t="s">
        <v>2799</v>
      </c>
      <c r="B1420" t="e">
        <f>-終息-XEROX Y200250 ｼｱﾝ</f>
        <v>#NAME?</v>
      </c>
      <c r="C1420" t="s">
        <v>5</v>
      </c>
      <c r="D1420">
        <v>20000</v>
      </c>
    </row>
    <row r="1421" spans="1:4" x14ac:dyDescent="0.4">
      <c r="A1421" s="1" t="s">
        <v>2800</v>
      </c>
      <c r="B1421" t="e">
        <f>-終息-XEROX Y200251 ﾏｾﾞﾝﾀ</f>
        <v>#NAME?</v>
      </c>
      <c r="C1421" t="s">
        <v>5</v>
      </c>
      <c r="D1421">
        <v>20000</v>
      </c>
    </row>
    <row r="1422" spans="1:4" x14ac:dyDescent="0.4">
      <c r="A1422" s="1" t="s">
        <v>2801</v>
      </c>
      <c r="B1422" t="e">
        <f>-終息-XEROX Y200252 ｲｴﾛｰ</f>
        <v>#NAME?</v>
      </c>
      <c r="C1422" t="s">
        <v>5</v>
      </c>
      <c r="D1422">
        <v>20000</v>
      </c>
    </row>
    <row r="1423" spans="1:4" x14ac:dyDescent="0.4">
      <c r="A1423" s="1" t="s">
        <v>2802</v>
      </c>
      <c r="B1423" t="e">
        <f>-終息-XEROX Y200253 大容量ﾌﾞﾗｯｸ</f>
        <v>#NAME?</v>
      </c>
      <c r="C1423" t="s">
        <v>5</v>
      </c>
      <c r="D1423">
        <v>25000</v>
      </c>
    </row>
    <row r="1424" spans="1:4" x14ac:dyDescent="0.4">
      <c r="A1424" s="1" t="s">
        <v>2803</v>
      </c>
      <c r="B1424" t="e">
        <f>-終息-XEROX Y200254 大容量ｼｱﾝ</f>
        <v>#NAME?</v>
      </c>
      <c r="C1424" t="s">
        <v>5</v>
      </c>
      <c r="D1424">
        <v>36000</v>
      </c>
    </row>
    <row r="1425" spans="1:4" x14ac:dyDescent="0.4">
      <c r="A1425" s="1" t="s">
        <v>2804</v>
      </c>
      <c r="B1425" t="e">
        <f>-終息-XEROX Y200255 大容量ﾏｾﾞﾝﾀ</f>
        <v>#NAME?</v>
      </c>
      <c r="C1425" t="s">
        <v>5</v>
      </c>
      <c r="D1425">
        <v>36000</v>
      </c>
    </row>
    <row r="1426" spans="1:4" x14ac:dyDescent="0.4">
      <c r="A1426" s="1" t="s">
        <v>2805</v>
      </c>
      <c r="B1426" t="e">
        <f>-終息-XEROX Y200256 大容量ｲｴﾛｰ</f>
        <v>#NAME?</v>
      </c>
      <c r="C1426" t="s">
        <v>5</v>
      </c>
      <c r="D1426">
        <v>36000</v>
      </c>
    </row>
    <row r="1427" spans="1:4" x14ac:dyDescent="0.4">
      <c r="A1427" s="1" t="s">
        <v>2806</v>
      </c>
      <c r="B1427" t="s">
        <v>2807</v>
      </c>
      <c r="C1427" t="s">
        <v>2808</v>
      </c>
    </row>
    <row r="1428" spans="1:4" x14ac:dyDescent="0.4">
      <c r="A1428" s="1" t="s">
        <v>2809</v>
      </c>
      <c r="B1428" t="s">
        <v>2810</v>
      </c>
      <c r="C1428" t="s">
        <v>2808</v>
      </c>
    </row>
    <row r="1429" spans="1:4" x14ac:dyDescent="0.4">
      <c r="A1429" s="1" t="s">
        <v>2811</v>
      </c>
      <c r="B1429" t="e">
        <f>-終息-XEROX Y200412</f>
        <v>#NAME?</v>
      </c>
      <c r="C1429" t="s">
        <v>5</v>
      </c>
    </row>
    <row r="1430" spans="1:4" x14ac:dyDescent="0.4">
      <c r="A1430" s="1" t="s">
        <v>2812</v>
      </c>
      <c r="B1430" t="e">
        <f>-終息-XEROX Y200609 ﾌﾞﾗｯｸ</f>
        <v>#NAME?</v>
      </c>
      <c r="C1430" t="s">
        <v>5</v>
      </c>
      <c r="D1430">
        <v>42000</v>
      </c>
    </row>
    <row r="1431" spans="1:4" x14ac:dyDescent="0.4">
      <c r="A1431" s="1" t="s">
        <v>2813</v>
      </c>
      <c r="B1431" t="e">
        <f>-終息-XEROX Y200610 ｼｱﾝ</f>
        <v>#NAME?</v>
      </c>
      <c r="C1431" t="s">
        <v>5</v>
      </c>
      <c r="D1431">
        <v>30000</v>
      </c>
    </row>
    <row r="1432" spans="1:4" x14ac:dyDescent="0.4">
      <c r="A1432" s="1" t="s">
        <v>2814</v>
      </c>
      <c r="B1432" t="e">
        <f>-終息-XEROX Y200611 ﾏｾﾞﾝﾀ</f>
        <v>#NAME?</v>
      </c>
      <c r="C1432" t="s">
        <v>5</v>
      </c>
      <c r="D1432">
        <v>30000</v>
      </c>
    </row>
    <row r="1433" spans="1:4" x14ac:dyDescent="0.4">
      <c r="A1433" s="1" t="s">
        <v>2815</v>
      </c>
      <c r="B1433" t="e">
        <f>-終息-XEROX Y200612 ｲｴﾛｰ</f>
        <v>#NAME?</v>
      </c>
      <c r="C1433" t="s">
        <v>5</v>
      </c>
      <c r="D1433">
        <v>30000</v>
      </c>
    </row>
    <row r="1434" spans="1:4" x14ac:dyDescent="0.4">
      <c r="A1434" s="1" t="s">
        <v>2816</v>
      </c>
      <c r="B1434" t="s">
        <v>2817</v>
      </c>
      <c r="C1434" t="s">
        <v>5</v>
      </c>
    </row>
    <row r="1435" spans="1:4" x14ac:dyDescent="0.4">
      <c r="A1435" s="1" t="s">
        <v>2818</v>
      </c>
      <c r="B1435" t="s">
        <v>2819</v>
      </c>
      <c r="C1435" t="s">
        <v>5</v>
      </c>
      <c r="D1435">
        <v>10500</v>
      </c>
    </row>
    <row r="1436" spans="1:4" x14ac:dyDescent="0.4">
      <c r="A1436" s="1" t="s">
        <v>2820</v>
      </c>
      <c r="B1436" t="s">
        <v>2821</v>
      </c>
      <c r="C1436" t="s">
        <v>5</v>
      </c>
      <c r="D1436">
        <v>16200</v>
      </c>
    </row>
    <row r="1437" spans="1:4" x14ac:dyDescent="0.4">
      <c r="A1437" s="1" t="s">
        <v>2822</v>
      </c>
      <c r="B1437" t="s">
        <v>2823</v>
      </c>
      <c r="C1437" t="s">
        <v>5</v>
      </c>
      <c r="D1437">
        <v>16200</v>
      </c>
    </row>
    <row r="1438" spans="1:4" x14ac:dyDescent="0.4">
      <c r="A1438" s="1" t="s">
        <v>2824</v>
      </c>
      <c r="B1438" t="s">
        <v>2825</v>
      </c>
      <c r="C1438" t="s">
        <v>5</v>
      </c>
      <c r="D1438">
        <v>16200</v>
      </c>
    </row>
    <row r="1439" spans="1:4" x14ac:dyDescent="0.4">
      <c r="A1439" s="1" t="s">
        <v>2826</v>
      </c>
      <c r="B1439" t="s">
        <v>2827</v>
      </c>
      <c r="C1439" t="s">
        <v>5</v>
      </c>
      <c r="D1439">
        <v>17400</v>
      </c>
    </row>
    <row r="1440" spans="1:4" x14ac:dyDescent="0.4">
      <c r="A1440" s="1" t="s">
        <v>2828</v>
      </c>
      <c r="B1440" t="s">
        <v>2829</v>
      </c>
      <c r="C1440" t="s">
        <v>5</v>
      </c>
      <c r="D1440">
        <v>29500</v>
      </c>
    </row>
    <row r="1441" spans="1:4" x14ac:dyDescent="0.4">
      <c r="A1441" s="1" t="s">
        <v>2830</v>
      </c>
      <c r="B1441" t="s">
        <v>2831</v>
      </c>
      <c r="C1441" t="s">
        <v>5</v>
      </c>
      <c r="D1441">
        <v>29500</v>
      </c>
    </row>
    <row r="1442" spans="1:4" x14ac:dyDescent="0.4">
      <c r="A1442" s="1" t="s">
        <v>2832</v>
      </c>
      <c r="B1442" t="s">
        <v>2833</v>
      </c>
      <c r="C1442" t="s">
        <v>5</v>
      </c>
      <c r="D1442">
        <v>29500</v>
      </c>
    </row>
    <row r="1443" spans="1:4" x14ac:dyDescent="0.4">
      <c r="A1443" s="1" t="s">
        <v>2834</v>
      </c>
      <c r="B1443" t="e">
        <f>-終息-XEROX Y200818 小容量ﾏｾﾞﾝﾀ</f>
        <v>#NAME?</v>
      </c>
      <c r="C1443" t="s">
        <v>5</v>
      </c>
      <c r="D1443">
        <v>12000</v>
      </c>
    </row>
    <row r="1444" spans="1:4" x14ac:dyDescent="0.4">
      <c r="A1444" s="1" t="s">
        <v>2835</v>
      </c>
      <c r="B1444" t="e">
        <f>-終息-XEROX Y200819 小容量ｲｴﾛｰ</f>
        <v>#NAME?</v>
      </c>
      <c r="C1444" t="s">
        <v>5</v>
      </c>
      <c r="D1444">
        <v>12000</v>
      </c>
    </row>
    <row r="1445" spans="1:4" x14ac:dyDescent="0.4">
      <c r="A1445" s="1" t="s">
        <v>2836</v>
      </c>
      <c r="B1445" t="e">
        <f>-終息-XEROX Y200821 大容量ｼｱﾝ</f>
        <v>#NAME?</v>
      </c>
      <c r="C1445" t="s">
        <v>5</v>
      </c>
      <c r="D1445">
        <v>22000</v>
      </c>
    </row>
    <row r="1446" spans="1:4" x14ac:dyDescent="0.4">
      <c r="A1446" s="1" t="s">
        <v>2837</v>
      </c>
      <c r="B1446" t="e">
        <f>-終息-XEROX Y200850 ﾌﾞﾗｯｸ</f>
        <v>#NAME?</v>
      </c>
      <c r="C1446" t="s">
        <v>5</v>
      </c>
      <c r="D1446">
        <v>22000</v>
      </c>
    </row>
    <row r="1447" spans="1:4" x14ac:dyDescent="0.4">
      <c r="A1447" s="1" t="s">
        <v>2838</v>
      </c>
      <c r="B1447" t="e">
        <f>-終息-XEROX Y200851 ｼｱﾝ</f>
        <v>#NAME?</v>
      </c>
      <c r="C1447" t="s">
        <v>5</v>
      </c>
      <c r="D1447">
        <v>24000</v>
      </c>
    </row>
    <row r="1448" spans="1:4" x14ac:dyDescent="0.4">
      <c r="A1448" s="1" t="s">
        <v>2839</v>
      </c>
      <c r="B1448" t="e">
        <f>-終息-XEROX Y200852 ﾏｾﾞﾝﾀ</f>
        <v>#NAME?</v>
      </c>
      <c r="C1448" t="s">
        <v>5</v>
      </c>
      <c r="D1448">
        <v>24000</v>
      </c>
    </row>
    <row r="1449" spans="1:4" x14ac:dyDescent="0.4">
      <c r="A1449" s="1" t="s">
        <v>2840</v>
      </c>
      <c r="B1449" t="e">
        <f>-終息-XEROX Y200853 ｲｴﾛｰ</f>
        <v>#NAME?</v>
      </c>
      <c r="C1449" t="s">
        <v>5</v>
      </c>
      <c r="D1449">
        <v>24000</v>
      </c>
    </row>
    <row r="1450" spans="1:4" x14ac:dyDescent="0.4">
      <c r="A1450" s="1" t="s">
        <v>2841</v>
      </c>
      <c r="B1450" t="s">
        <v>2842</v>
      </c>
      <c r="C1450" t="s">
        <v>5</v>
      </c>
      <c r="D1450">
        <v>8200</v>
      </c>
    </row>
    <row r="1451" spans="1:4" x14ac:dyDescent="0.4">
      <c r="A1451" s="1" t="s">
        <v>2843</v>
      </c>
      <c r="B1451" t="s">
        <v>2844</v>
      </c>
      <c r="C1451" t="s">
        <v>5</v>
      </c>
      <c r="D1451">
        <v>14000</v>
      </c>
    </row>
    <row r="1452" spans="1:4" x14ac:dyDescent="0.4">
      <c r="A1452" s="1" t="s">
        <v>2845</v>
      </c>
      <c r="B1452" t="e">
        <f>-在庫限り終息- XEROX Y201084 大容量ﾌﾞﾗｯｸ</f>
        <v>#NAME?</v>
      </c>
      <c r="C1452" t="s">
        <v>5</v>
      </c>
      <c r="D1452">
        <v>4300</v>
      </c>
    </row>
    <row r="1453" spans="1:4" x14ac:dyDescent="0.4">
      <c r="A1453" s="1" t="s">
        <v>2846</v>
      </c>
      <c r="B1453" t="e">
        <f>-在庫限り終息- XEROX Y201085 大容量ｼｱﾝ</f>
        <v>#NAME?</v>
      </c>
      <c r="C1453" t="s">
        <v>5</v>
      </c>
      <c r="D1453">
        <v>9200</v>
      </c>
    </row>
    <row r="1454" spans="1:4" x14ac:dyDescent="0.4">
      <c r="A1454" s="1" t="s">
        <v>2847</v>
      </c>
      <c r="B1454" t="e">
        <f>-在庫限り終息- XEROX Y201086 大容量ﾏｾﾞﾝﾀ</f>
        <v>#NAME?</v>
      </c>
      <c r="C1454" t="s">
        <v>5</v>
      </c>
      <c r="D1454">
        <v>9200</v>
      </c>
    </row>
    <row r="1455" spans="1:4" x14ac:dyDescent="0.4">
      <c r="A1455" s="1" t="s">
        <v>2848</v>
      </c>
      <c r="B1455" t="e">
        <f>-在庫限り終息- XEROX Y201087 大容量ｲｴﾛｰ</f>
        <v>#NAME?</v>
      </c>
      <c r="C1455" t="s">
        <v>5</v>
      </c>
      <c r="D1455">
        <v>9200</v>
      </c>
    </row>
    <row r="1456" spans="1:4" x14ac:dyDescent="0.4">
      <c r="A1456" s="1" t="s">
        <v>2849</v>
      </c>
      <c r="B1456" t="e">
        <f>-終息-XEROX Y201088 ﾌﾞﾗｯｸ</f>
        <v>#NAME?</v>
      </c>
      <c r="C1456" t="s">
        <v>5</v>
      </c>
      <c r="D1456">
        <v>2800</v>
      </c>
    </row>
    <row r="1457" spans="1:4" x14ac:dyDescent="0.4">
      <c r="A1457" s="1" t="s">
        <v>2850</v>
      </c>
      <c r="B1457" t="e">
        <f>-在庫限り終息-XEROX Y201089 ｼｱﾝ</f>
        <v>#NAME?</v>
      </c>
      <c r="C1457" t="s">
        <v>5</v>
      </c>
      <c r="D1457">
        <v>6000</v>
      </c>
    </row>
    <row r="1458" spans="1:4" x14ac:dyDescent="0.4">
      <c r="A1458" s="1" t="s">
        <v>2851</v>
      </c>
      <c r="B1458" t="e">
        <f>-在庫限り終息-XEROX Y201090 ﾏｾﾞﾝﾀ</f>
        <v>#NAME?</v>
      </c>
      <c r="C1458" t="s">
        <v>5</v>
      </c>
      <c r="D1458">
        <v>6000</v>
      </c>
    </row>
    <row r="1459" spans="1:4" x14ac:dyDescent="0.4">
      <c r="A1459" s="1" t="s">
        <v>2852</v>
      </c>
      <c r="B1459" t="e">
        <f>-在庫限り終息-XEROX Y201091 ｲｴﾛｰ</f>
        <v>#NAME?</v>
      </c>
      <c r="C1459" t="s">
        <v>5</v>
      </c>
      <c r="D1459">
        <v>6000</v>
      </c>
    </row>
    <row r="1460" spans="1:4" x14ac:dyDescent="0.4">
      <c r="A1460" s="1" t="s">
        <v>2853</v>
      </c>
      <c r="B1460" t="s">
        <v>2854</v>
      </c>
      <c r="C1460" t="s">
        <v>5</v>
      </c>
      <c r="D1460">
        <v>21600</v>
      </c>
    </row>
    <row r="1461" spans="1:4" x14ac:dyDescent="0.4">
      <c r="A1461" s="1" t="s">
        <v>2855</v>
      </c>
      <c r="B1461" t="s">
        <v>2856</v>
      </c>
      <c r="C1461" t="s">
        <v>5</v>
      </c>
      <c r="D1461">
        <v>19300</v>
      </c>
    </row>
    <row r="1462" spans="1:4" x14ac:dyDescent="0.4">
      <c r="A1462" s="1" t="s">
        <v>2857</v>
      </c>
      <c r="B1462" t="s">
        <v>2858</v>
      </c>
      <c r="C1462" t="s">
        <v>5</v>
      </c>
      <c r="D1462">
        <v>19300</v>
      </c>
    </row>
    <row r="1463" spans="1:4" x14ac:dyDescent="0.4">
      <c r="A1463" s="1" t="s">
        <v>2859</v>
      </c>
      <c r="B1463" t="s">
        <v>2860</v>
      </c>
      <c r="C1463" t="s">
        <v>5</v>
      </c>
      <c r="D1463">
        <v>19300</v>
      </c>
    </row>
    <row r="1464" spans="1:4" x14ac:dyDescent="0.4">
      <c r="A1464" s="1" t="s">
        <v>2861</v>
      </c>
      <c r="B1464" t="s">
        <v>2862</v>
      </c>
      <c r="C1464" t="s">
        <v>5</v>
      </c>
      <c r="D1464">
        <v>37000</v>
      </c>
    </row>
    <row r="1465" spans="1:4" x14ac:dyDescent="0.4">
      <c r="A1465" s="1" t="s">
        <v>2863</v>
      </c>
      <c r="B1465" t="s">
        <v>2864</v>
      </c>
      <c r="C1465" t="s">
        <v>5</v>
      </c>
      <c r="D1465">
        <v>32100</v>
      </c>
    </row>
    <row r="1466" spans="1:4" x14ac:dyDescent="0.4">
      <c r="A1466" s="1" t="s">
        <v>2865</v>
      </c>
      <c r="B1466" t="s">
        <v>2866</v>
      </c>
      <c r="C1466" t="s">
        <v>5</v>
      </c>
      <c r="D1466">
        <v>32100</v>
      </c>
    </row>
    <row r="1467" spans="1:4" x14ac:dyDescent="0.4">
      <c r="A1467" s="1" t="s">
        <v>2867</v>
      </c>
      <c r="B1467" t="s">
        <v>2868</v>
      </c>
      <c r="C1467" t="s">
        <v>5</v>
      </c>
      <c r="D1467">
        <v>32100</v>
      </c>
    </row>
    <row r="1468" spans="1:4" x14ac:dyDescent="0.4">
      <c r="A1468" s="1" t="s">
        <v>2869</v>
      </c>
      <c r="B1468" t="s">
        <v>2870</v>
      </c>
      <c r="C1468" t="s">
        <v>5</v>
      </c>
      <c r="D1468">
        <v>7800</v>
      </c>
    </row>
    <row r="1469" spans="1:4" x14ac:dyDescent="0.4">
      <c r="A1469" s="1" t="s">
        <v>2871</v>
      </c>
      <c r="B1469" t="s">
        <v>2872</v>
      </c>
      <c r="C1469" t="s">
        <v>5</v>
      </c>
    </row>
    <row r="1470" spans="1:4" x14ac:dyDescent="0.4">
      <c r="A1470" s="1" t="s">
        <v>2873</v>
      </c>
      <c r="B1470" t="s">
        <v>2874</v>
      </c>
      <c r="C1470" t="s">
        <v>5</v>
      </c>
    </row>
    <row r="1471" spans="1:4" x14ac:dyDescent="0.4">
      <c r="A1471" s="1" t="s">
        <v>2875</v>
      </c>
      <c r="B1471" t="s">
        <v>2876</v>
      </c>
      <c r="C1471" t="s">
        <v>5</v>
      </c>
    </row>
    <row r="1472" spans="1:4" x14ac:dyDescent="0.4">
      <c r="A1472" s="1" t="s">
        <v>2877</v>
      </c>
      <c r="B1472" t="s">
        <v>2878</v>
      </c>
      <c r="C1472" t="s">
        <v>5</v>
      </c>
    </row>
    <row r="1473" spans="1:4" x14ac:dyDescent="0.4">
      <c r="A1473" s="1" t="s">
        <v>2879</v>
      </c>
      <c r="B1473" t="e">
        <f>-終息- XEROX Y201223 ﾄﾅｰｶｰﾄﾘｯｼﾞ</f>
        <v>#NAME?</v>
      </c>
      <c r="C1473" t="s">
        <v>5</v>
      </c>
      <c r="D1473">
        <v>34100</v>
      </c>
    </row>
    <row r="1474" spans="1:4" x14ac:dyDescent="0.4">
      <c r="A1474" s="1" t="s">
        <v>2880</v>
      </c>
      <c r="B1474" t="s">
        <v>2881</v>
      </c>
      <c r="C1474" t="s">
        <v>5</v>
      </c>
      <c r="D1474">
        <v>6400</v>
      </c>
    </row>
    <row r="1475" spans="1:4" x14ac:dyDescent="0.4">
      <c r="A1475" s="1" t="s">
        <v>2882</v>
      </c>
      <c r="B1475" t="s">
        <v>2883</v>
      </c>
      <c r="C1475" t="s">
        <v>5</v>
      </c>
    </row>
    <row r="1476" spans="1:4" x14ac:dyDescent="0.4">
      <c r="A1476" s="1" t="s">
        <v>2884</v>
      </c>
      <c r="B1476" t="s">
        <v>2885</v>
      </c>
      <c r="C1476" t="s">
        <v>5</v>
      </c>
    </row>
    <row r="1477" spans="1:4" x14ac:dyDescent="0.4">
      <c r="A1477" s="1" t="s">
        <v>2886</v>
      </c>
      <c r="B1477" t="s">
        <v>2887</v>
      </c>
      <c r="C1477" t="s">
        <v>5</v>
      </c>
    </row>
    <row r="1478" spans="1:4" x14ac:dyDescent="0.4">
      <c r="A1478" s="1" t="s">
        <v>2888</v>
      </c>
      <c r="B1478" t="s">
        <v>2889</v>
      </c>
      <c r="C1478" t="s">
        <v>5</v>
      </c>
    </row>
    <row r="1479" spans="1:4" x14ac:dyDescent="0.4">
      <c r="A1479" s="1" t="s">
        <v>2890</v>
      </c>
      <c r="B1479" t="e">
        <f>-終息- XEROX Y201396 ﾌﾞﾗｯｸ</f>
        <v>#NAME?</v>
      </c>
      <c r="C1479" t="s">
        <v>5</v>
      </c>
      <c r="D1479">
        <v>14500</v>
      </c>
    </row>
    <row r="1480" spans="1:4" x14ac:dyDescent="0.4">
      <c r="A1480" s="1" t="s">
        <v>2891</v>
      </c>
      <c r="B1480" t="e">
        <f>-在庫限り終息- XEROX Y201397 ｼｱﾝ</f>
        <v>#NAME?</v>
      </c>
      <c r="C1480" t="s">
        <v>5</v>
      </c>
      <c r="D1480">
        <v>15100</v>
      </c>
    </row>
    <row r="1481" spans="1:4" x14ac:dyDescent="0.4">
      <c r="A1481" s="1" t="s">
        <v>2892</v>
      </c>
      <c r="B1481" t="e">
        <f>-在庫限り終息- XEROX Y201398 ﾏｾﾞﾝﾀ</f>
        <v>#NAME?</v>
      </c>
      <c r="C1481" t="s">
        <v>5</v>
      </c>
      <c r="D1481">
        <v>15100</v>
      </c>
    </row>
    <row r="1482" spans="1:4" x14ac:dyDescent="0.4">
      <c r="A1482" s="1" t="s">
        <v>2893</v>
      </c>
      <c r="B1482" t="e">
        <f>-在庫限り終息- XEROX Y201399 ｲｴﾛｰ</f>
        <v>#NAME?</v>
      </c>
      <c r="C1482" t="s">
        <v>5</v>
      </c>
      <c r="D1482">
        <v>15100</v>
      </c>
    </row>
    <row r="1483" spans="1:4" x14ac:dyDescent="0.4">
      <c r="A1483" s="1" t="s">
        <v>2894</v>
      </c>
      <c r="B1483" t="e">
        <f>-終息- XEROX Y201400 ﾌﾞﾗｯｸ2本</f>
        <v>#NAME?</v>
      </c>
      <c r="C1483" t="s">
        <v>5</v>
      </c>
      <c r="D1483">
        <v>24200</v>
      </c>
    </row>
    <row r="1484" spans="1:4" x14ac:dyDescent="0.4">
      <c r="A1484" s="1" t="s">
        <v>2895</v>
      </c>
      <c r="B1484" t="e">
        <f>-在庫限り終息- XEROX Y201401 ｼｱﾝ2本</f>
        <v>#NAME?</v>
      </c>
      <c r="C1484" t="s">
        <v>5</v>
      </c>
      <c r="D1484">
        <v>25200</v>
      </c>
    </row>
    <row r="1485" spans="1:4" x14ac:dyDescent="0.4">
      <c r="A1485" s="1" t="s">
        <v>2896</v>
      </c>
      <c r="B1485" t="e">
        <f>-在庫限り終息- XEROX Y201402 ﾏｾﾞﾝﾀ2本</f>
        <v>#NAME?</v>
      </c>
      <c r="C1485" t="s">
        <v>5</v>
      </c>
      <c r="D1485">
        <v>25200</v>
      </c>
    </row>
    <row r="1486" spans="1:4" x14ac:dyDescent="0.4">
      <c r="A1486" s="1" t="s">
        <v>2897</v>
      </c>
      <c r="B1486" t="e">
        <f>-在庫限り終息- XEROX Y201403 ｲｴﾛｰ2本</f>
        <v>#NAME?</v>
      </c>
      <c r="C1486" t="s">
        <v>5</v>
      </c>
      <c r="D1486">
        <v>25200</v>
      </c>
    </row>
    <row r="1487" spans="1:4" x14ac:dyDescent="0.4">
      <c r="A1487" s="1" t="s">
        <v>2898</v>
      </c>
      <c r="B1487" t="s">
        <v>2899</v>
      </c>
      <c r="C1487" t="s">
        <v>5</v>
      </c>
    </row>
    <row r="1488" spans="1:4" x14ac:dyDescent="0.4">
      <c r="A1488" s="1" t="s">
        <v>2900</v>
      </c>
      <c r="B1488" t="s">
        <v>2901</v>
      </c>
      <c r="C1488" t="s">
        <v>5</v>
      </c>
    </row>
    <row r="1489" spans="1:4" x14ac:dyDescent="0.4">
      <c r="A1489" s="1" t="s">
        <v>2902</v>
      </c>
      <c r="B1489" t="s">
        <v>2903</v>
      </c>
      <c r="C1489" t="s">
        <v>5</v>
      </c>
    </row>
    <row r="1490" spans="1:4" x14ac:dyDescent="0.4">
      <c r="A1490" s="1" t="s">
        <v>2904</v>
      </c>
      <c r="B1490" t="s">
        <v>2905</v>
      </c>
      <c r="C1490" t="s">
        <v>5</v>
      </c>
    </row>
    <row r="1491" spans="1:4" x14ac:dyDescent="0.4">
      <c r="A1491" s="1" t="s">
        <v>2906</v>
      </c>
      <c r="B1491" t="s">
        <v>2907</v>
      </c>
      <c r="C1491" t="s">
        <v>5</v>
      </c>
    </row>
    <row r="1492" spans="1:4" x14ac:dyDescent="0.4">
      <c r="A1492" s="1" t="s">
        <v>2908</v>
      </c>
      <c r="B1492" t="s">
        <v>2909</v>
      </c>
      <c r="C1492" t="s">
        <v>5</v>
      </c>
    </row>
    <row r="1493" spans="1:4" x14ac:dyDescent="0.4">
      <c r="A1493" s="1" t="s">
        <v>2910</v>
      </c>
      <c r="B1493" t="s">
        <v>2911</v>
      </c>
      <c r="C1493" t="s">
        <v>5</v>
      </c>
    </row>
    <row r="1494" spans="1:4" x14ac:dyDescent="0.4">
      <c r="A1494" s="1" t="s">
        <v>2912</v>
      </c>
      <c r="B1494" t="s">
        <v>2913</v>
      </c>
      <c r="C1494" t="s">
        <v>5</v>
      </c>
    </row>
    <row r="1495" spans="1:4" x14ac:dyDescent="0.4">
      <c r="A1495" s="1" t="s">
        <v>2914</v>
      </c>
      <c r="B1495" t="s">
        <v>2915</v>
      </c>
      <c r="C1495" t="s">
        <v>5</v>
      </c>
    </row>
    <row r="1496" spans="1:4" x14ac:dyDescent="0.4">
      <c r="A1496" s="1" t="s">
        <v>2916</v>
      </c>
      <c r="B1496" t="s">
        <v>2917</v>
      </c>
      <c r="C1496" t="s">
        <v>5</v>
      </c>
    </row>
    <row r="1497" spans="1:4" x14ac:dyDescent="0.4">
      <c r="A1497" s="1" t="s">
        <v>2918</v>
      </c>
      <c r="B1497" t="s">
        <v>2919</v>
      </c>
      <c r="C1497" t="s">
        <v>5</v>
      </c>
    </row>
    <row r="1498" spans="1:4" x14ac:dyDescent="0.4">
      <c r="A1498" s="1" t="s">
        <v>2920</v>
      </c>
      <c r="B1498" t="s">
        <v>2921</v>
      </c>
      <c r="C1498" t="s">
        <v>5</v>
      </c>
    </row>
    <row r="1499" spans="1:4" x14ac:dyDescent="0.4">
      <c r="A1499" s="1" t="s">
        <v>2922</v>
      </c>
      <c r="B1499" t="s">
        <v>2923</v>
      </c>
      <c r="C1499" t="s">
        <v>5</v>
      </c>
      <c r="D1499">
        <v>46500</v>
      </c>
    </row>
    <row r="1500" spans="1:4" x14ac:dyDescent="0.4">
      <c r="A1500" s="1" t="s">
        <v>2924</v>
      </c>
      <c r="B1500" t="s">
        <v>2925</v>
      </c>
      <c r="C1500" t="s">
        <v>5</v>
      </c>
      <c r="D1500">
        <v>30700</v>
      </c>
    </row>
    <row r="1501" spans="1:4" x14ac:dyDescent="0.4">
      <c r="A1501" s="1" t="s">
        <v>2926</v>
      </c>
      <c r="B1501" t="s">
        <v>2927</v>
      </c>
      <c r="C1501" t="s">
        <v>5</v>
      </c>
      <c r="D1501">
        <v>30700</v>
      </c>
    </row>
    <row r="1502" spans="1:4" x14ac:dyDescent="0.4">
      <c r="A1502" s="1" t="s">
        <v>2928</v>
      </c>
      <c r="B1502" t="s">
        <v>2929</v>
      </c>
      <c r="C1502" t="s">
        <v>5</v>
      </c>
      <c r="D1502">
        <v>30700</v>
      </c>
    </row>
    <row r="1503" spans="1:4" x14ac:dyDescent="0.4">
      <c r="A1503" s="1" t="s">
        <v>2930</v>
      </c>
      <c r="B1503" t="s">
        <v>2931</v>
      </c>
      <c r="C1503" t="s">
        <v>5</v>
      </c>
      <c r="D1503">
        <v>7000</v>
      </c>
    </row>
    <row r="1504" spans="1:4" x14ac:dyDescent="0.4">
      <c r="A1504" s="1" t="s">
        <v>2932</v>
      </c>
      <c r="B1504" t="s">
        <v>2933</v>
      </c>
      <c r="C1504" t="s">
        <v>5</v>
      </c>
      <c r="D1504">
        <v>16000</v>
      </c>
    </row>
    <row r="1505" spans="1:4" x14ac:dyDescent="0.4">
      <c r="A1505" s="1" t="s">
        <v>2934</v>
      </c>
      <c r="B1505" t="e">
        <f>-終息-XEROX Y201730</f>
        <v>#NAME?</v>
      </c>
      <c r="C1505" t="s">
        <v>5</v>
      </c>
    </row>
    <row r="1506" spans="1:4" x14ac:dyDescent="0.4">
      <c r="A1506" s="1" t="s">
        <v>2935</v>
      </c>
      <c r="B1506" t="e">
        <f>-在庫限り終息- XEROX Y201755 ﾌﾞﾗｯｸ</f>
        <v>#NAME?</v>
      </c>
      <c r="C1506" t="s">
        <v>5</v>
      </c>
      <c r="D1506">
        <v>3300</v>
      </c>
    </row>
    <row r="1507" spans="1:4" x14ac:dyDescent="0.4">
      <c r="A1507" s="1" t="s">
        <v>2936</v>
      </c>
      <c r="B1507" t="e">
        <f>-在庫限り終息- XEROX Y201756 ｼｱﾝ</f>
        <v>#NAME?</v>
      </c>
      <c r="C1507" t="s">
        <v>5</v>
      </c>
      <c r="D1507">
        <v>4700</v>
      </c>
    </row>
    <row r="1508" spans="1:4" x14ac:dyDescent="0.4">
      <c r="A1508" s="1" t="s">
        <v>2937</v>
      </c>
      <c r="B1508" t="e">
        <f>-在庫限り終息- XEROX Y201757 ﾏｾﾞﾝﾀ</f>
        <v>#NAME?</v>
      </c>
      <c r="C1508" t="s">
        <v>5</v>
      </c>
      <c r="D1508">
        <v>4700</v>
      </c>
    </row>
    <row r="1509" spans="1:4" x14ac:dyDescent="0.4">
      <c r="A1509" s="1" t="s">
        <v>2938</v>
      </c>
      <c r="B1509" t="e">
        <f>-在庫限り終息- XEROX Y201758 ｲｴﾛｰ</f>
        <v>#NAME?</v>
      </c>
      <c r="C1509" t="s">
        <v>5</v>
      </c>
      <c r="D1509">
        <v>4700</v>
      </c>
    </row>
    <row r="1510" spans="1:4" x14ac:dyDescent="0.4">
      <c r="A1510" s="1" t="s">
        <v>2939</v>
      </c>
      <c r="B1510" t="e">
        <f>-在庫限り終息- XEROX Y201759 大容量ﾌﾞﾗｯｸ</f>
        <v>#NAME?</v>
      </c>
      <c r="C1510" t="s">
        <v>5</v>
      </c>
      <c r="D1510">
        <v>6900</v>
      </c>
    </row>
    <row r="1511" spans="1:4" x14ac:dyDescent="0.4">
      <c r="A1511" s="1" t="s">
        <v>2940</v>
      </c>
      <c r="B1511" t="e">
        <f>-在庫限り終息- XEROX Y201760 大容量ｼｱﾝ</f>
        <v>#NAME?</v>
      </c>
      <c r="C1511" t="s">
        <v>5</v>
      </c>
      <c r="D1511">
        <v>7200</v>
      </c>
    </row>
    <row r="1512" spans="1:4" x14ac:dyDescent="0.4">
      <c r="A1512" s="1" t="s">
        <v>2941</v>
      </c>
      <c r="B1512" t="e">
        <f>-在庫限り終息- XEROX Y201761 大容量ﾏｾﾞﾝﾀ</f>
        <v>#NAME?</v>
      </c>
      <c r="C1512" t="s">
        <v>5</v>
      </c>
      <c r="D1512">
        <v>7200</v>
      </c>
    </row>
    <row r="1513" spans="1:4" x14ac:dyDescent="0.4">
      <c r="A1513" s="1" t="s">
        <v>2942</v>
      </c>
      <c r="B1513" t="e">
        <f>-在庫限り終息- XEROX Y201762 大容量ｲｴﾛｰ</f>
        <v>#NAME?</v>
      </c>
      <c r="C1513" t="s">
        <v>5</v>
      </c>
      <c r="D1513">
        <v>7200</v>
      </c>
    </row>
    <row r="1514" spans="1:4" x14ac:dyDescent="0.4">
      <c r="A1514" s="1" t="s">
        <v>2943</v>
      </c>
      <c r="B1514" t="s">
        <v>2944</v>
      </c>
      <c r="C1514" t="s">
        <v>5</v>
      </c>
      <c r="D1514">
        <v>5100</v>
      </c>
    </row>
    <row r="1515" spans="1:4" x14ac:dyDescent="0.4">
      <c r="A1515" s="1" t="s">
        <v>2945</v>
      </c>
      <c r="B1515" t="s">
        <v>2946</v>
      </c>
      <c r="C1515" t="s">
        <v>5</v>
      </c>
      <c r="D1515">
        <v>8600</v>
      </c>
    </row>
    <row r="1516" spans="1:4" x14ac:dyDescent="0.4">
      <c r="A1516" s="1" t="s">
        <v>2947</v>
      </c>
      <c r="B1516" t="e">
        <f>-終息-XEROX Y201821 ﾄﾅｰｶｰﾄﾘｯｼﾞ</f>
        <v>#NAME?</v>
      </c>
      <c r="C1516" t="s">
        <v>5</v>
      </c>
      <c r="D1516">
        <v>72000</v>
      </c>
    </row>
    <row r="1517" spans="1:4" x14ac:dyDescent="0.4">
      <c r="A1517" s="1" t="s">
        <v>2948</v>
      </c>
      <c r="B1517" t="e">
        <f>-終息-XEROX Y201822 ﾄﾅｰｶｰﾄﾘｯｼﾞ</f>
        <v>#NAME?</v>
      </c>
      <c r="C1517" t="s">
        <v>5</v>
      </c>
    </row>
    <row r="1518" spans="1:4" x14ac:dyDescent="0.4">
      <c r="A1518" s="1" t="s">
        <v>2949</v>
      </c>
      <c r="B1518" t="s">
        <v>2950</v>
      </c>
      <c r="C1518" t="s">
        <v>5</v>
      </c>
    </row>
    <row r="1519" spans="1:4" x14ac:dyDescent="0.4">
      <c r="A1519" s="1" t="s">
        <v>2951</v>
      </c>
      <c r="B1519" t="s">
        <v>2952</v>
      </c>
      <c r="C1519" t="s">
        <v>5</v>
      </c>
      <c r="D1519">
        <v>9800</v>
      </c>
    </row>
    <row r="1520" spans="1:4" x14ac:dyDescent="0.4">
      <c r="A1520" s="1" t="s">
        <v>2953</v>
      </c>
      <c r="B1520" t="e">
        <f>-使用不可-XEROX Y201090 ﾏｾﾞﾝﾀ【重複登録】</f>
        <v>#NAME?</v>
      </c>
      <c r="C1520" t="s">
        <v>5</v>
      </c>
    </row>
    <row r="1521" spans="1:4" x14ac:dyDescent="0.4">
      <c r="A1521" s="1" t="s">
        <v>2954</v>
      </c>
      <c r="B1521" t="s">
        <v>2955</v>
      </c>
      <c r="C1521" t="s">
        <v>5</v>
      </c>
      <c r="D1521">
        <v>21600</v>
      </c>
    </row>
    <row r="1522" spans="1:4" x14ac:dyDescent="0.4">
      <c r="A1522" s="1" t="s">
        <v>2956</v>
      </c>
      <c r="B1522" t="s">
        <v>2957</v>
      </c>
      <c r="C1522" t="s">
        <v>5</v>
      </c>
      <c r="D1522">
        <v>19300</v>
      </c>
    </row>
    <row r="1523" spans="1:4" x14ac:dyDescent="0.4">
      <c r="A1523" s="1" t="s">
        <v>2958</v>
      </c>
      <c r="B1523" t="s">
        <v>2959</v>
      </c>
      <c r="C1523" t="s">
        <v>5</v>
      </c>
      <c r="D1523">
        <v>19300</v>
      </c>
    </row>
    <row r="1524" spans="1:4" x14ac:dyDescent="0.4">
      <c r="A1524" s="1" t="s">
        <v>2960</v>
      </c>
      <c r="B1524" t="s">
        <v>2961</v>
      </c>
      <c r="C1524" t="s">
        <v>5</v>
      </c>
      <c r="D1524">
        <v>19300</v>
      </c>
    </row>
    <row r="1525" spans="1:4" x14ac:dyDescent="0.4">
      <c r="A1525" s="1" t="s">
        <v>2962</v>
      </c>
      <c r="B1525" t="s">
        <v>2963</v>
      </c>
      <c r="C1525" t="s">
        <v>5</v>
      </c>
      <c r="D1525">
        <v>38700</v>
      </c>
    </row>
    <row r="1526" spans="1:4" x14ac:dyDescent="0.4">
      <c r="A1526" s="1" t="s">
        <v>2964</v>
      </c>
      <c r="B1526" t="s">
        <v>2965</v>
      </c>
      <c r="C1526" t="s">
        <v>5</v>
      </c>
      <c r="D1526">
        <v>29600</v>
      </c>
    </row>
    <row r="1527" spans="1:4" x14ac:dyDescent="0.4">
      <c r="A1527" s="1" t="s">
        <v>2966</v>
      </c>
      <c r="B1527" t="s">
        <v>2967</v>
      </c>
      <c r="C1527" t="s">
        <v>5</v>
      </c>
      <c r="D1527">
        <v>29600</v>
      </c>
    </row>
    <row r="1528" spans="1:4" x14ac:dyDescent="0.4">
      <c r="A1528" s="1" t="s">
        <v>2968</v>
      </c>
      <c r="B1528" t="s">
        <v>2969</v>
      </c>
      <c r="C1528" t="s">
        <v>5</v>
      </c>
      <c r="D1528">
        <v>29600</v>
      </c>
    </row>
    <row r="1529" spans="1:4" x14ac:dyDescent="0.4">
      <c r="A1529" s="1" t="s">
        <v>2970</v>
      </c>
      <c r="B1529" t="s">
        <v>2971</v>
      </c>
      <c r="C1529" t="s">
        <v>5</v>
      </c>
      <c r="D1529">
        <v>9200</v>
      </c>
    </row>
    <row r="1530" spans="1:4" x14ac:dyDescent="0.4">
      <c r="A1530" s="1" t="s">
        <v>2972</v>
      </c>
      <c r="B1530" t="s">
        <v>2973</v>
      </c>
      <c r="C1530" t="s">
        <v>5</v>
      </c>
      <c r="D1530">
        <v>20800</v>
      </c>
    </row>
    <row r="1531" spans="1:4" x14ac:dyDescent="0.4">
      <c r="A1531" s="1" t="s">
        <v>2974</v>
      </c>
      <c r="B1531" t="s">
        <v>2975</v>
      </c>
      <c r="C1531" t="s">
        <v>5</v>
      </c>
      <c r="D1531">
        <v>22000</v>
      </c>
    </row>
    <row r="1532" spans="1:4" x14ac:dyDescent="0.4">
      <c r="A1532" s="1" t="s">
        <v>2976</v>
      </c>
      <c r="B1532" t="s">
        <v>2977</v>
      </c>
      <c r="C1532" t="s">
        <v>5</v>
      </c>
      <c r="D1532">
        <v>43900</v>
      </c>
    </row>
    <row r="1533" spans="1:4" x14ac:dyDescent="0.4">
      <c r="A1533" s="1" t="s">
        <v>2978</v>
      </c>
      <c r="B1533" t="s">
        <v>2979</v>
      </c>
      <c r="C1533" t="s">
        <v>5</v>
      </c>
      <c r="D1533">
        <v>20800</v>
      </c>
    </row>
    <row r="1534" spans="1:4" x14ac:dyDescent="0.4">
      <c r="A1534" s="1" t="s">
        <v>2980</v>
      </c>
      <c r="B1534" t="s">
        <v>2981</v>
      </c>
      <c r="C1534" t="s">
        <v>5</v>
      </c>
      <c r="D1534">
        <v>20800</v>
      </c>
    </row>
    <row r="1535" spans="1:4" x14ac:dyDescent="0.4">
      <c r="A1535" s="1" t="s">
        <v>2982</v>
      </c>
      <c r="B1535" t="s">
        <v>2983</v>
      </c>
      <c r="C1535" t="s">
        <v>5</v>
      </c>
      <c r="D1535">
        <v>20800</v>
      </c>
    </row>
    <row r="1536" spans="1:4" x14ac:dyDescent="0.4">
      <c r="A1536" s="1" t="s">
        <v>2984</v>
      </c>
      <c r="B1536" t="s">
        <v>2985</v>
      </c>
      <c r="C1536" t="s">
        <v>5</v>
      </c>
      <c r="D1536">
        <v>20800</v>
      </c>
    </row>
    <row r="1537" spans="1:4" x14ac:dyDescent="0.4">
      <c r="A1537" s="1" t="s">
        <v>2986</v>
      </c>
      <c r="B1537" t="s">
        <v>2987</v>
      </c>
      <c r="C1537" t="s">
        <v>5</v>
      </c>
      <c r="D1537">
        <v>28300</v>
      </c>
    </row>
    <row r="1538" spans="1:4" x14ac:dyDescent="0.4">
      <c r="A1538" s="1" t="s">
        <v>2988</v>
      </c>
      <c r="B1538" t="s">
        <v>2989</v>
      </c>
      <c r="C1538" t="s">
        <v>5</v>
      </c>
      <c r="D1538">
        <v>39800</v>
      </c>
    </row>
    <row r="1539" spans="1:4" x14ac:dyDescent="0.4">
      <c r="A1539" s="1" t="s">
        <v>2990</v>
      </c>
      <c r="B1539" t="s">
        <v>2991</v>
      </c>
      <c r="C1539" t="s">
        <v>5</v>
      </c>
      <c r="D1539">
        <v>39800</v>
      </c>
    </row>
    <row r="1540" spans="1:4" x14ac:dyDescent="0.4">
      <c r="A1540" s="1" t="s">
        <v>2992</v>
      </c>
      <c r="B1540" t="s">
        <v>2993</v>
      </c>
      <c r="C1540" t="s">
        <v>5</v>
      </c>
      <c r="D1540">
        <v>39800</v>
      </c>
    </row>
    <row r="1541" spans="1:4" x14ac:dyDescent="0.4">
      <c r="A1541" s="1" t="s">
        <v>2994</v>
      </c>
      <c r="B1541" t="s">
        <v>2995</v>
      </c>
      <c r="C1541" t="s">
        <v>5</v>
      </c>
      <c r="D1541">
        <v>9000</v>
      </c>
    </row>
    <row r="1542" spans="1:4" x14ac:dyDescent="0.4">
      <c r="A1542" s="1" t="s">
        <v>2996</v>
      </c>
      <c r="B1542" t="s">
        <v>2997</v>
      </c>
      <c r="C1542" t="s">
        <v>5</v>
      </c>
      <c r="D1542">
        <v>37500</v>
      </c>
    </row>
    <row r="1543" spans="1:4" x14ac:dyDescent="0.4">
      <c r="A1543" s="1" t="s">
        <v>2998</v>
      </c>
      <c r="B1543" t="s">
        <v>2999</v>
      </c>
      <c r="C1543" t="s">
        <v>5</v>
      </c>
    </row>
    <row r="1544" spans="1:4" x14ac:dyDescent="0.4">
      <c r="A1544" s="1" t="s">
        <v>3000</v>
      </c>
      <c r="B1544" t="s">
        <v>3001</v>
      </c>
      <c r="C1544" t="s">
        <v>5</v>
      </c>
    </row>
    <row r="1545" spans="1:4" x14ac:dyDescent="0.4">
      <c r="A1545" s="1" t="s">
        <v>3002</v>
      </c>
      <c r="B1545" t="s">
        <v>3003</v>
      </c>
      <c r="C1545" t="s">
        <v>5</v>
      </c>
    </row>
    <row r="1546" spans="1:4" x14ac:dyDescent="0.4">
      <c r="A1546" s="1" t="s">
        <v>3004</v>
      </c>
      <c r="B1546" t="s">
        <v>3005</v>
      </c>
      <c r="C1546" t="s">
        <v>5</v>
      </c>
    </row>
    <row r="1547" spans="1:4" x14ac:dyDescent="0.4">
      <c r="A1547" s="1" t="s">
        <v>3006</v>
      </c>
      <c r="B1547" t="e">
        <f>-在庫限り-XEROX Y202398</f>
        <v>#NAME?</v>
      </c>
      <c r="C1547" t="s">
        <v>5</v>
      </c>
    </row>
    <row r="1548" spans="1:4" x14ac:dyDescent="0.4">
      <c r="A1548" s="1" t="s">
        <v>3007</v>
      </c>
      <c r="B1548" t="e">
        <f>-在庫限り-XEROX Y202399</f>
        <v>#NAME?</v>
      </c>
      <c r="C1548" t="s">
        <v>5</v>
      </c>
    </row>
    <row r="1549" spans="1:4" x14ac:dyDescent="0.4">
      <c r="A1549" s="1" t="s">
        <v>3008</v>
      </c>
      <c r="B1549" t="e">
        <f>-在庫限り-XEROX Y202400</f>
        <v>#NAME?</v>
      </c>
      <c r="C1549" t="s">
        <v>5</v>
      </c>
    </row>
    <row r="1550" spans="1:4" x14ac:dyDescent="0.4">
      <c r="A1550" s="1" t="s">
        <v>3009</v>
      </c>
      <c r="B1550" t="e">
        <f>-在庫限り-XEROX Y202401</f>
        <v>#NAME?</v>
      </c>
      <c r="C1550" t="s">
        <v>5</v>
      </c>
    </row>
    <row r="1551" spans="1:4" x14ac:dyDescent="0.4">
      <c r="A1551" s="1" t="s">
        <v>3010</v>
      </c>
      <c r="B1551" t="s">
        <v>3011</v>
      </c>
      <c r="C1551" t="s">
        <v>5</v>
      </c>
      <c r="D1551">
        <v>16000</v>
      </c>
    </row>
    <row r="1552" spans="1:4" x14ac:dyDescent="0.4">
      <c r="A1552" s="1" t="s">
        <v>3012</v>
      </c>
      <c r="B1552" t="s">
        <v>3013</v>
      </c>
      <c r="C1552" t="s">
        <v>5</v>
      </c>
      <c r="D1552">
        <v>16600</v>
      </c>
    </row>
    <row r="1553" spans="1:4" x14ac:dyDescent="0.4">
      <c r="A1553" s="1" t="s">
        <v>3014</v>
      </c>
      <c r="B1553" t="s">
        <v>3015</v>
      </c>
      <c r="C1553" t="s">
        <v>5</v>
      </c>
      <c r="D1553">
        <v>16600</v>
      </c>
    </row>
    <row r="1554" spans="1:4" x14ac:dyDescent="0.4">
      <c r="A1554" s="1" t="s">
        <v>3016</v>
      </c>
      <c r="B1554" t="s">
        <v>3017</v>
      </c>
      <c r="C1554" t="s">
        <v>5</v>
      </c>
      <c r="D1554">
        <v>16600</v>
      </c>
    </row>
    <row r="1555" spans="1:4" x14ac:dyDescent="0.4">
      <c r="A1555" s="1" t="s">
        <v>3018</v>
      </c>
      <c r="B1555" t="s">
        <v>3019</v>
      </c>
      <c r="C1555" t="s">
        <v>5</v>
      </c>
      <c r="D1555">
        <v>26600</v>
      </c>
    </row>
    <row r="1556" spans="1:4" x14ac:dyDescent="0.4">
      <c r="A1556" s="1" t="s">
        <v>3020</v>
      </c>
      <c r="B1556" t="s">
        <v>3021</v>
      </c>
      <c r="C1556" t="s">
        <v>5</v>
      </c>
      <c r="D1556">
        <v>27700</v>
      </c>
    </row>
    <row r="1557" spans="1:4" x14ac:dyDescent="0.4">
      <c r="A1557" s="1" t="s">
        <v>3022</v>
      </c>
      <c r="B1557" t="s">
        <v>3023</v>
      </c>
      <c r="C1557" t="s">
        <v>5</v>
      </c>
      <c r="D1557">
        <v>27700</v>
      </c>
    </row>
    <row r="1558" spans="1:4" x14ac:dyDescent="0.4">
      <c r="A1558" s="1" t="s">
        <v>3024</v>
      </c>
      <c r="B1558" t="s">
        <v>3025</v>
      </c>
      <c r="C1558" t="s">
        <v>5</v>
      </c>
      <c r="D1558">
        <v>27700</v>
      </c>
    </row>
    <row r="1559" spans="1:4" x14ac:dyDescent="0.4">
      <c r="A1559" s="1" t="s">
        <v>3026</v>
      </c>
      <c r="B1559" t="s">
        <v>3027</v>
      </c>
      <c r="C1559" t="s">
        <v>5</v>
      </c>
      <c r="D1559">
        <v>14700</v>
      </c>
    </row>
    <row r="1560" spans="1:4" x14ac:dyDescent="0.4">
      <c r="A1560" s="1" t="s">
        <v>3028</v>
      </c>
      <c r="B1560" t="s">
        <v>3029</v>
      </c>
      <c r="C1560" t="s">
        <v>5</v>
      </c>
      <c r="D1560">
        <v>20800</v>
      </c>
    </row>
    <row r="1561" spans="1:4" x14ac:dyDescent="0.4">
      <c r="A1561" s="1" t="s">
        <v>3030</v>
      </c>
      <c r="B1561" t="s">
        <v>3031</v>
      </c>
      <c r="C1561" t="s">
        <v>5</v>
      </c>
      <c r="D1561">
        <v>20800</v>
      </c>
    </row>
    <row r="1562" spans="1:4" x14ac:dyDescent="0.4">
      <c r="A1562" s="1" t="s">
        <v>3032</v>
      </c>
      <c r="B1562" t="s">
        <v>3033</v>
      </c>
      <c r="C1562" t="s">
        <v>5</v>
      </c>
      <c r="D1562">
        <v>20800</v>
      </c>
    </row>
    <row r="1563" spans="1:4" x14ac:dyDescent="0.4">
      <c r="A1563" s="1" t="s">
        <v>3034</v>
      </c>
      <c r="B1563" t="s">
        <v>3035</v>
      </c>
      <c r="C1563" t="s">
        <v>5</v>
      </c>
      <c r="D1563">
        <v>24300</v>
      </c>
    </row>
    <row r="1564" spans="1:4" x14ac:dyDescent="0.4">
      <c r="A1564" s="1" t="s">
        <v>3036</v>
      </c>
      <c r="B1564" t="s">
        <v>3037</v>
      </c>
      <c r="C1564" t="s">
        <v>5</v>
      </c>
      <c r="D1564">
        <v>30900</v>
      </c>
    </row>
    <row r="1565" spans="1:4" x14ac:dyDescent="0.4">
      <c r="A1565" s="1" t="s">
        <v>3038</v>
      </c>
      <c r="B1565" t="s">
        <v>3039</v>
      </c>
      <c r="C1565" t="s">
        <v>5</v>
      </c>
      <c r="D1565">
        <v>30900</v>
      </c>
    </row>
    <row r="1566" spans="1:4" x14ac:dyDescent="0.4">
      <c r="A1566" s="1" t="s">
        <v>3040</v>
      </c>
      <c r="B1566" t="s">
        <v>3041</v>
      </c>
      <c r="C1566" t="s">
        <v>5</v>
      </c>
      <c r="D1566">
        <v>30900</v>
      </c>
    </row>
    <row r="1567" spans="1:4" x14ac:dyDescent="0.4">
      <c r="A1567" s="1" t="s">
        <v>3042</v>
      </c>
      <c r="B1567" t="s">
        <v>3043</v>
      </c>
      <c r="C1567" t="s">
        <v>5</v>
      </c>
    </row>
    <row r="1568" spans="1:4" x14ac:dyDescent="0.4">
      <c r="A1568" s="1" t="s">
        <v>3044</v>
      </c>
      <c r="B1568" t="s">
        <v>3045</v>
      </c>
      <c r="C1568" t="s">
        <v>5</v>
      </c>
    </row>
    <row r="1569" spans="1:4" x14ac:dyDescent="0.4">
      <c r="A1569" s="1" t="s">
        <v>3046</v>
      </c>
      <c r="B1569" t="s">
        <v>3047</v>
      </c>
      <c r="C1569" t="s">
        <v>5</v>
      </c>
    </row>
    <row r="1570" spans="1:4" x14ac:dyDescent="0.4">
      <c r="A1570" s="1" t="s">
        <v>3048</v>
      </c>
      <c r="B1570" t="s">
        <v>3049</v>
      </c>
      <c r="C1570" t="s">
        <v>5</v>
      </c>
    </row>
    <row r="1571" spans="1:4" x14ac:dyDescent="0.4">
      <c r="A1571" s="1" t="s">
        <v>3050</v>
      </c>
      <c r="B1571" t="s">
        <v>3051</v>
      </c>
      <c r="C1571" t="s">
        <v>5</v>
      </c>
    </row>
    <row r="1572" spans="1:4" x14ac:dyDescent="0.4">
      <c r="A1572" s="1" t="s">
        <v>3052</v>
      </c>
      <c r="B1572" t="s">
        <v>3053</v>
      </c>
      <c r="C1572" t="s">
        <v>5</v>
      </c>
    </row>
    <row r="1573" spans="1:4" x14ac:dyDescent="0.4">
      <c r="A1573" s="1" t="s">
        <v>3054</v>
      </c>
      <c r="B1573" t="s">
        <v>3055</v>
      </c>
      <c r="C1573" t="s">
        <v>5</v>
      </c>
    </row>
    <row r="1574" spans="1:4" x14ac:dyDescent="0.4">
      <c r="A1574" s="1" t="s">
        <v>3056</v>
      </c>
      <c r="B1574" t="s">
        <v>3057</v>
      </c>
      <c r="C1574" t="s">
        <v>5</v>
      </c>
    </row>
    <row r="1575" spans="1:4" x14ac:dyDescent="0.4">
      <c r="A1575" s="1" t="s">
        <v>3058</v>
      </c>
      <c r="B1575" t="s">
        <v>3059</v>
      </c>
      <c r="C1575" t="s">
        <v>5</v>
      </c>
    </row>
    <row r="1576" spans="1:4" x14ac:dyDescent="0.4">
      <c r="A1576" s="1" t="s">
        <v>3060</v>
      </c>
      <c r="B1576" t="s">
        <v>3061</v>
      </c>
      <c r="C1576" t="s">
        <v>5</v>
      </c>
      <c r="D1576">
        <v>11900</v>
      </c>
    </row>
    <row r="1577" spans="1:4" x14ac:dyDescent="0.4">
      <c r="A1577" s="1" t="s">
        <v>3062</v>
      </c>
      <c r="B1577" t="s">
        <v>3063</v>
      </c>
      <c r="C1577" t="s">
        <v>5</v>
      </c>
      <c r="D1577">
        <v>13600</v>
      </c>
    </row>
    <row r="1578" spans="1:4" x14ac:dyDescent="0.4">
      <c r="A1578" s="1" t="s">
        <v>3064</v>
      </c>
      <c r="B1578" t="s">
        <v>3065</v>
      </c>
      <c r="C1578" t="s">
        <v>5</v>
      </c>
      <c r="D1578">
        <v>13600</v>
      </c>
    </row>
    <row r="1579" spans="1:4" x14ac:dyDescent="0.4">
      <c r="A1579" s="1" t="s">
        <v>3066</v>
      </c>
      <c r="B1579" t="s">
        <v>3067</v>
      </c>
      <c r="C1579" t="s">
        <v>5</v>
      </c>
      <c r="D1579">
        <v>13600</v>
      </c>
    </row>
    <row r="1580" spans="1:4" x14ac:dyDescent="0.4">
      <c r="A1580" s="1" t="s">
        <v>3068</v>
      </c>
      <c r="B1580" t="s">
        <v>3069</v>
      </c>
      <c r="C1580" t="s">
        <v>5</v>
      </c>
      <c r="D1580">
        <v>19700</v>
      </c>
    </row>
    <row r="1581" spans="1:4" x14ac:dyDescent="0.4">
      <c r="A1581" s="1" t="s">
        <v>3070</v>
      </c>
      <c r="B1581" t="s">
        <v>3071</v>
      </c>
      <c r="C1581" t="s">
        <v>5</v>
      </c>
      <c r="D1581">
        <v>24100</v>
      </c>
    </row>
    <row r="1582" spans="1:4" x14ac:dyDescent="0.4">
      <c r="A1582" s="1" t="s">
        <v>3072</v>
      </c>
      <c r="B1582" t="s">
        <v>3073</v>
      </c>
      <c r="C1582" t="s">
        <v>5</v>
      </c>
      <c r="D1582">
        <v>24100</v>
      </c>
    </row>
    <row r="1583" spans="1:4" x14ac:dyDescent="0.4">
      <c r="A1583" s="1" t="s">
        <v>3074</v>
      </c>
      <c r="B1583" t="s">
        <v>3075</v>
      </c>
      <c r="C1583" t="s">
        <v>5</v>
      </c>
      <c r="D1583">
        <v>24100</v>
      </c>
    </row>
    <row r="1584" spans="1:4" x14ac:dyDescent="0.4">
      <c r="A1584" s="1" t="s">
        <v>3076</v>
      </c>
      <c r="B1584" t="s">
        <v>3077</v>
      </c>
      <c r="C1584" t="s">
        <v>5</v>
      </c>
      <c r="D1584">
        <v>8100</v>
      </c>
    </row>
    <row r="1585" spans="1:4" x14ac:dyDescent="0.4">
      <c r="A1585" s="1" t="s">
        <v>3078</v>
      </c>
      <c r="B1585" t="s">
        <v>3079</v>
      </c>
      <c r="C1585" t="s">
        <v>5</v>
      </c>
      <c r="D1585">
        <v>9400</v>
      </c>
    </row>
    <row r="1586" spans="1:4" x14ac:dyDescent="0.4">
      <c r="A1586" s="1" t="s">
        <v>3080</v>
      </c>
      <c r="B1586" t="s">
        <v>3081</v>
      </c>
      <c r="C1586" t="s">
        <v>5</v>
      </c>
      <c r="D1586">
        <v>9400</v>
      </c>
    </row>
    <row r="1587" spans="1:4" x14ac:dyDescent="0.4">
      <c r="A1587" s="1" t="s">
        <v>3082</v>
      </c>
      <c r="B1587" t="s">
        <v>3083</v>
      </c>
      <c r="C1587" t="s">
        <v>5</v>
      </c>
      <c r="D1587">
        <v>9400</v>
      </c>
    </row>
    <row r="1588" spans="1:4" x14ac:dyDescent="0.4">
      <c r="A1588" s="1" t="s">
        <v>3084</v>
      </c>
      <c r="B1588" t="s">
        <v>3085</v>
      </c>
      <c r="C1588" t="s">
        <v>5</v>
      </c>
      <c r="D1588">
        <v>24300</v>
      </c>
    </row>
    <row r="1589" spans="1:4" x14ac:dyDescent="0.4">
      <c r="A1589" s="1" t="s">
        <v>3086</v>
      </c>
      <c r="B1589" t="s">
        <v>3087</v>
      </c>
      <c r="C1589" t="s">
        <v>5</v>
      </c>
      <c r="D1589">
        <v>18500</v>
      </c>
    </row>
    <row r="1590" spans="1:4" x14ac:dyDescent="0.4">
      <c r="A1590" s="1" t="s">
        <v>3088</v>
      </c>
      <c r="B1590" t="s">
        <v>3089</v>
      </c>
      <c r="C1590" t="s">
        <v>5</v>
      </c>
      <c r="D1590">
        <v>18500</v>
      </c>
    </row>
    <row r="1591" spans="1:4" x14ac:dyDescent="0.4">
      <c r="A1591" s="1" t="s">
        <v>3090</v>
      </c>
      <c r="B1591" t="s">
        <v>3091</v>
      </c>
      <c r="C1591" t="s">
        <v>5</v>
      </c>
      <c r="D1591">
        <v>18500</v>
      </c>
    </row>
    <row r="1592" spans="1:4" x14ac:dyDescent="0.4">
      <c r="A1592" s="1" t="s">
        <v>3092</v>
      </c>
      <c r="B1592" t="s">
        <v>3093</v>
      </c>
      <c r="C1592" t="s">
        <v>5</v>
      </c>
      <c r="D1592">
        <v>46200</v>
      </c>
    </row>
    <row r="1593" spans="1:4" x14ac:dyDescent="0.4">
      <c r="A1593" s="1" t="s">
        <v>3094</v>
      </c>
      <c r="B1593" t="s">
        <v>3095</v>
      </c>
      <c r="C1593" t="s">
        <v>5</v>
      </c>
      <c r="D1593">
        <v>37000</v>
      </c>
    </row>
    <row r="1594" spans="1:4" x14ac:dyDescent="0.4">
      <c r="A1594" s="1" t="s">
        <v>3096</v>
      </c>
      <c r="B1594" t="s">
        <v>3097</v>
      </c>
      <c r="C1594" t="s">
        <v>5</v>
      </c>
      <c r="D1594">
        <v>37000</v>
      </c>
    </row>
    <row r="1595" spans="1:4" x14ac:dyDescent="0.4">
      <c r="A1595" s="1" t="s">
        <v>3098</v>
      </c>
      <c r="B1595" t="s">
        <v>3099</v>
      </c>
      <c r="C1595" t="s">
        <v>5</v>
      </c>
      <c r="D1595">
        <v>37000</v>
      </c>
    </row>
    <row r="1596" spans="1:4" x14ac:dyDescent="0.4">
      <c r="A1596" s="1" t="s">
        <v>3100</v>
      </c>
      <c r="B1596" t="s">
        <v>3101</v>
      </c>
      <c r="C1596" t="s">
        <v>5</v>
      </c>
      <c r="D1596">
        <v>32300</v>
      </c>
    </row>
    <row r="1597" spans="1:4" x14ac:dyDescent="0.4">
      <c r="A1597" s="1" t="s">
        <v>3102</v>
      </c>
      <c r="B1597" t="s">
        <v>3103</v>
      </c>
      <c r="C1597" t="s">
        <v>5</v>
      </c>
      <c r="D1597">
        <v>41600</v>
      </c>
    </row>
    <row r="1598" spans="1:4" x14ac:dyDescent="0.4">
      <c r="A1598" s="1" t="s">
        <v>3104</v>
      </c>
      <c r="B1598" t="s">
        <v>3105</v>
      </c>
      <c r="C1598" t="s">
        <v>5</v>
      </c>
      <c r="D1598">
        <v>48500</v>
      </c>
    </row>
    <row r="1599" spans="1:4" x14ac:dyDescent="0.4">
      <c r="A1599" s="1" t="s">
        <v>3106</v>
      </c>
      <c r="B1599" t="s">
        <v>3107</v>
      </c>
      <c r="C1599" t="s">
        <v>5</v>
      </c>
      <c r="D1599">
        <v>13900</v>
      </c>
    </row>
    <row r="1600" spans="1:4" x14ac:dyDescent="0.4">
      <c r="A1600" s="1" t="s">
        <v>3108</v>
      </c>
      <c r="B1600" t="s">
        <v>3109</v>
      </c>
      <c r="C1600" t="s">
        <v>5</v>
      </c>
      <c r="D1600">
        <v>29600</v>
      </c>
    </row>
    <row r="1601" spans="1:4" x14ac:dyDescent="0.4">
      <c r="A1601" s="1" t="s">
        <v>3110</v>
      </c>
      <c r="B1601" t="s">
        <v>3111</v>
      </c>
      <c r="C1601" t="s">
        <v>5</v>
      </c>
    </row>
    <row r="1602" spans="1:4" x14ac:dyDescent="0.4">
      <c r="A1602" s="1" t="s">
        <v>3112</v>
      </c>
      <c r="B1602" t="s">
        <v>3113</v>
      </c>
      <c r="C1602" t="s">
        <v>5</v>
      </c>
    </row>
    <row r="1603" spans="1:4" x14ac:dyDescent="0.4">
      <c r="A1603" s="1" t="s">
        <v>3114</v>
      </c>
      <c r="B1603" t="s">
        <v>3115</v>
      </c>
      <c r="C1603" t="s">
        <v>5</v>
      </c>
    </row>
    <row r="1604" spans="1:4" x14ac:dyDescent="0.4">
      <c r="A1604" s="1" t="s">
        <v>3116</v>
      </c>
      <c r="B1604" t="s">
        <v>3117</v>
      </c>
      <c r="C1604" t="s">
        <v>5</v>
      </c>
    </row>
    <row r="1605" spans="1:4" x14ac:dyDescent="0.4">
      <c r="A1605" s="1" t="s">
        <v>3118</v>
      </c>
      <c r="B1605" t="s">
        <v>3119</v>
      </c>
      <c r="C1605" t="s">
        <v>5</v>
      </c>
      <c r="D1605">
        <v>46500</v>
      </c>
    </row>
    <row r="1606" spans="1:4" x14ac:dyDescent="0.4">
      <c r="A1606" s="1" t="s">
        <v>3120</v>
      </c>
      <c r="B1606" t="s">
        <v>3121</v>
      </c>
      <c r="C1606" t="s">
        <v>5</v>
      </c>
      <c r="D1606">
        <v>30700</v>
      </c>
    </row>
    <row r="1607" spans="1:4" x14ac:dyDescent="0.4">
      <c r="A1607" s="1" t="s">
        <v>3122</v>
      </c>
      <c r="B1607" t="s">
        <v>3123</v>
      </c>
      <c r="C1607" t="s">
        <v>5</v>
      </c>
      <c r="D1607">
        <v>30700</v>
      </c>
    </row>
    <row r="1608" spans="1:4" x14ac:dyDescent="0.4">
      <c r="A1608" s="1" t="s">
        <v>3124</v>
      </c>
      <c r="B1608" t="s">
        <v>3125</v>
      </c>
      <c r="C1608" t="s">
        <v>5</v>
      </c>
      <c r="D1608">
        <v>30700</v>
      </c>
    </row>
    <row r="1609" spans="1:4" x14ac:dyDescent="0.4">
      <c r="A1609" s="1" t="s">
        <v>3126</v>
      </c>
      <c r="B1609" t="s">
        <v>3127</v>
      </c>
      <c r="C1609" t="s">
        <v>5</v>
      </c>
      <c r="D1609">
        <v>21600</v>
      </c>
    </row>
    <row r="1610" spans="1:4" x14ac:dyDescent="0.4">
      <c r="A1610" s="1" t="s">
        <v>3128</v>
      </c>
      <c r="B1610" t="s">
        <v>3129</v>
      </c>
      <c r="C1610" t="s">
        <v>5</v>
      </c>
      <c r="D1610">
        <v>19300</v>
      </c>
    </row>
    <row r="1611" spans="1:4" x14ac:dyDescent="0.4">
      <c r="A1611" s="1" t="s">
        <v>3130</v>
      </c>
      <c r="B1611" t="s">
        <v>3131</v>
      </c>
      <c r="C1611" t="s">
        <v>5</v>
      </c>
      <c r="D1611">
        <v>19300</v>
      </c>
    </row>
    <row r="1612" spans="1:4" x14ac:dyDescent="0.4">
      <c r="A1612" s="1" t="s">
        <v>3132</v>
      </c>
      <c r="B1612" t="s">
        <v>3133</v>
      </c>
      <c r="C1612" t="s">
        <v>5</v>
      </c>
      <c r="D1612">
        <v>19300</v>
      </c>
    </row>
    <row r="1613" spans="1:4" x14ac:dyDescent="0.4">
      <c r="A1613" s="1" t="s">
        <v>3134</v>
      </c>
      <c r="B1613" t="s">
        <v>3135</v>
      </c>
      <c r="C1613" t="s">
        <v>5</v>
      </c>
      <c r="D1613">
        <v>38700</v>
      </c>
    </row>
    <row r="1614" spans="1:4" x14ac:dyDescent="0.4">
      <c r="A1614" s="1" t="s">
        <v>3136</v>
      </c>
      <c r="B1614" t="s">
        <v>3137</v>
      </c>
      <c r="C1614" t="s">
        <v>5</v>
      </c>
      <c r="D1614">
        <v>29600</v>
      </c>
    </row>
    <row r="1615" spans="1:4" x14ac:dyDescent="0.4">
      <c r="A1615" s="1" t="s">
        <v>3138</v>
      </c>
      <c r="B1615" t="s">
        <v>3139</v>
      </c>
      <c r="C1615" t="s">
        <v>5</v>
      </c>
      <c r="D1615">
        <v>29600</v>
      </c>
    </row>
    <row r="1616" spans="1:4" x14ac:dyDescent="0.4">
      <c r="A1616" s="1" t="s">
        <v>3140</v>
      </c>
      <c r="B1616" t="s">
        <v>3141</v>
      </c>
      <c r="C1616" t="s">
        <v>5</v>
      </c>
      <c r="D1616">
        <v>29600</v>
      </c>
    </row>
    <row r="1617" spans="1:4" x14ac:dyDescent="0.4">
      <c r="A1617" s="1" t="s">
        <v>3142</v>
      </c>
      <c r="B1617" t="s">
        <v>3143</v>
      </c>
      <c r="C1617" t="s">
        <v>5</v>
      </c>
      <c r="D1617">
        <v>20700</v>
      </c>
    </row>
    <row r="1618" spans="1:4" x14ac:dyDescent="0.4">
      <c r="A1618" s="1" t="s">
        <v>3144</v>
      </c>
      <c r="B1618" t="s">
        <v>3145</v>
      </c>
      <c r="C1618" t="s">
        <v>5</v>
      </c>
      <c r="D1618">
        <v>20800</v>
      </c>
    </row>
    <row r="1619" spans="1:4" x14ac:dyDescent="0.4">
      <c r="A1619" s="1" t="s">
        <v>3146</v>
      </c>
      <c r="B1619" t="s">
        <v>3147</v>
      </c>
      <c r="C1619" t="s">
        <v>5</v>
      </c>
      <c r="D1619">
        <v>20800</v>
      </c>
    </row>
    <row r="1620" spans="1:4" x14ac:dyDescent="0.4">
      <c r="A1620" s="1" t="s">
        <v>3148</v>
      </c>
      <c r="B1620" t="s">
        <v>3149</v>
      </c>
      <c r="C1620" t="s">
        <v>5</v>
      </c>
      <c r="D1620">
        <v>20800</v>
      </c>
    </row>
    <row r="1621" spans="1:4" x14ac:dyDescent="0.4">
      <c r="A1621" s="1" t="s">
        <v>3150</v>
      </c>
      <c r="B1621" t="s">
        <v>3151</v>
      </c>
      <c r="C1621" t="s">
        <v>5</v>
      </c>
      <c r="D1621">
        <v>36400</v>
      </c>
    </row>
    <row r="1622" spans="1:4" x14ac:dyDescent="0.4">
      <c r="A1622" s="1" t="s">
        <v>3152</v>
      </c>
      <c r="B1622" t="s">
        <v>3153</v>
      </c>
      <c r="C1622" t="s">
        <v>5</v>
      </c>
      <c r="D1622">
        <v>25700</v>
      </c>
    </row>
    <row r="1623" spans="1:4" x14ac:dyDescent="0.4">
      <c r="A1623" s="1" t="s">
        <v>3154</v>
      </c>
      <c r="B1623" t="s">
        <v>3155</v>
      </c>
      <c r="C1623" t="s">
        <v>5</v>
      </c>
      <c r="D1623">
        <v>25700</v>
      </c>
    </row>
    <row r="1624" spans="1:4" x14ac:dyDescent="0.4">
      <c r="A1624" s="1" t="s">
        <v>3156</v>
      </c>
      <c r="B1624" t="s">
        <v>3157</v>
      </c>
      <c r="C1624" t="s">
        <v>5</v>
      </c>
      <c r="D1624">
        <v>25700</v>
      </c>
    </row>
    <row r="1625" spans="1:4" x14ac:dyDescent="0.4">
      <c r="A1625" s="1" t="s">
        <v>3158</v>
      </c>
      <c r="B1625" t="s">
        <v>3159</v>
      </c>
      <c r="C1625" t="s">
        <v>5</v>
      </c>
      <c r="D1625">
        <v>17800</v>
      </c>
    </row>
    <row r="1626" spans="1:4" x14ac:dyDescent="0.4">
      <c r="A1626" s="1" t="s">
        <v>3160</v>
      </c>
      <c r="B1626" t="s">
        <v>3161</v>
      </c>
      <c r="C1626" t="s">
        <v>5</v>
      </c>
      <c r="D1626">
        <v>20800</v>
      </c>
    </row>
    <row r="1627" spans="1:4" x14ac:dyDescent="0.4">
      <c r="A1627" s="1" t="s">
        <v>3162</v>
      </c>
      <c r="B1627" t="s">
        <v>3163</v>
      </c>
      <c r="C1627" t="s">
        <v>5</v>
      </c>
      <c r="D1627">
        <v>20800</v>
      </c>
    </row>
    <row r="1628" spans="1:4" x14ac:dyDescent="0.4">
      <c r="A1628" s="1" t="s">
        <v>3164</v>
      </c>
      <c r="B1628" t="s">
        <v>3165</v>
      </c>
      <c r="C1628" t="s">
        <v>5</v>
      </c>
      <c r="D1628">
        <v>20800</v>
      </c>
    </row>
    <row r="1629" spans="1:4" x14ac:dyDescent="0.4">
      <c r="A1629" s="1" t="s">
        <v>3166</v>
      </c>
      <c r="B1629" t="s">
        <v>3167</v>
      </c>
      <c r="C1629" t="s">
        <v>5</v>
      </c>
      <c r="D1629">
        <v>24300</v>
      </c>
    </row>
    <row r="1630" spans="1:4" x14ac:dyDescent="0.4">
      <c r="A1630" s="1" t="s">
        <v>3168</v>
      </c>
      <c r="B1630" t="s">
        <v>3169</v>
      </c>
      <c r="C1630" t="s">
        <v>5</v>
      </c>
      <c r="D1630">
        <v>25700</v>
      </c>
    </row>
    <row r="1631" spans="1:4" x14ac:dyDescent="0.4">
      <c r="A1631" s="1" t="s">
        <v>3170</v>
      </c>
      <c r="B1631" t="s">
        <v>3171</v>
      </c>
      <c r="C1631" t="s">
        <v>5</v>
      </c>
      <c r="D1631">
        <v>25700</v>
      </c>
    </row>
    <row r="1632" spans="1:4" x14ac:dyDescent="0.4">
      <c r="A1632" s="1" t="s">
        <v>3172</v>
      </c>
      <c r="B1632" t="s">
        <v>3173</v>
      </c>
      <c r="C1632" t="s">
        <v>5</v>
      </c>
      <c r="D1632">
        <v>25700</v>
      </c>
    </row>
    <row r="1633" spans="1:4" x14ac:dyDescent="0.4">
      <c r="A1633" s="1" t="s">
        <v>3174</v>
      </c>
      <c r="B1633" t="s">
        <v>3175</v>
      </c>
      <c r="C1633" t="s">
        <v>5</v>
      </c>
      <c r="D1633">
        <v>4600</v>
      </c>
    </row>
    <row r="1634" spans="1:4" x14ac:dyDescent="0.4">
      <c r="A1634" s="1" t="s">
        <v>3176</v>
      </c>
      <c r="B1634" t="s">
        <v>3177</v>
      </c>
      <c r="C1634" t="s">
        <v>5</v>
      </c>
      <c r="D1634">
        <v>9800</v>
      </c>
    </row>
    <row r="1635" spans="1:4" x14ac:dyDescent="0.4">
      <c r="A1635" s="1" t="s">
        <v>3178</v>
      </c>
      <c r="B1635" t="s">
        <v>3179</v>
      </c>
      <c r="C1635" t="s">
        <v>5</v>
      </c>
      <c r="D1635">
        <v>9800</v>
      </c>
    </row>
    <row r="1636" spans="1:4" x14ac:dyDescent="0.4">
      <c r="A1636" s="1" t="s">
        <v>3180</v>
      </c>
      <c r="B1636" t="s">
        <v>3181</v>
      </c>
      <c r="C1636" t="s">
        <v>5</v>
      </c>
      <c r="D1636">
        <v>9800</v>
      </c>
    </row>
    <row r="1637" spans="1:4" x14ac:dyDescent="0.4">
      <c r="A1637" s="1" t="s">
        <v>3182</v>
      </c>
      <c r="B1637" t="s">
        <v>3183</v>
      </c>
      <c r="C1637" t="s">
        <v>5</v>
      </c>
      <c r="D1637">
        <v>11100</v>
      </c>
    </row>
    <row r="1638" spans="1:4" x14ac:dyDescent="0.4">
      <c r="A1638" s="1" t="s">
        <v>3184</v>
      </c>
      <c r="B1638" t="s">
        <v>3185</v>
      </c>
      <c r="C1638" t="s">
        <v>5</v>
      </c>
      <c r="D1638">
        <v>23100</v>
      </c>
    </row>
    <row r="1639" spans="1:4" x14ac:dyDescent="0.4">
      <c r="A1639" s="1" t="s">
        <v>3186</v>
      </c>
      <c r="B1639" t="s">
        <v>3187</v>
      </c>
      <c r="C1639" t="s">
        <v>5</v>
      </c>
      <c r="D1639">
        <v>23100</v>
      </c>
    </row>
    <row r="1640" spans="1:4" x14ac:dyDescent="0.4">
      <c r="A1640" s="1" t="s">
        <v>3188</v>
      </c>
      <c r="B1640" t="s">
        <v>3189</v>
      </c>
      <c r="C1640" t="s">
        <v>5</v>
      </c>
      <c r="D1640">
        <v>16500</v>
      </c>
    </row>
    <row r="1641" spans="1:4" x14ac:dyDescent="0.4">
      <c r="A1641" s="1" t="s">
        <v>3190</v>
      </c>
      <c r="B1641" t="s">
        <v>3191</v>
      </c>
      <c r="C1641" t="s">
        <v>5</v>
      </c>
      <c r="D1641">
        <v>24300</v>
      </c>
    </row>
    <row r="1642" spans="1:4" x14ac:dyDescent="0.4">
      <c r="A1642" s="1" t="s">
        <v>3192</v>
      </c>
      <c r="B1642" t="s">
        <v>3193</v>
      </c>
      <c r="C1642" t="s">
        <v>5</v>
      </c>
      <c r="D1642">
        <v>18500</v>
      </c>
    </row>
    <row r="1643" spans="1:4" x14ac:dyDescent="0.4">
      <c r="A1643" s="1" t="s">
        <v>3194</v>
      </c>
      <c r="B1643" t="s">
        <v>3195</v>
      </c>
      <c r="C1643" t="s">
        <v>5</v>
      </c>
      <c r="D1643">
        <v>18500</v>
      </c>
    </row>
    <row r="1644" spans="1:4" x14ac:dyDescent="0.4">
      <c r="A1644" s="1" t="s">
        <v>3196</v>
      </c>
      <c r="B1644" t="s">
        <v>3197</v>
      </c>
      <c r="C1644" t="s">
        <v>5</v>
      </c>
      <c r="D1644">
        <v>18500</v>
      </c>
    </row>
    <row r="1645" spans="1:4" x14ac:dyDescent="0.4">
      <c r="A1645" s="1" t="s">
        <v>3198</v>
      </c>
      <c r="B1645" t="s">
        <v>3199</v>
      </c>
      <c r="C1645" t="s">
        <v>5</v>
      </c>
      <c r="D1645">
        <v>46200</v>
      </c>
    </row>
    <row r="1646" spans="1:4" x14ac:dyDescent="0.4">
      <c r="A1646" s="1" t="s">
        <v>3200</v>
      </c>
      <c r="B1646" t="s">
        <v>3201</v>
      </c>
      <c r="C1646" t="s">
        <v>5</v>
      </c>
      <c r="D1646">
        <v>37000</v>
      </c>
    </row>
    <row r="1647" spans="1:4" x14ac:dyDescent="0.4">
      <c r="A1647" s="1" t="s">
        <v>3202</v>
      </c>
      <c r="B1647" t="s">
        <v>3203</v>
      </c>
      <c r="C1647" t="s">
        <v>5</v>
      </c>
      <c r="D1647">
        <v>37000</v>
      </c>
    </row>
    <row r="1648" spans="1:4" x14ac:dyDescent="0.4">
      <c r="A1648" s="1" t="s">
        <v>3204</v>
      </c>
      <c r="B1648" t="s">
        <v>3205</v>
      </c>
      <c r="C1648" t="s">
        <v>5</v>
      </c>
      <c r="D1648">
        <v>37000</v>
      </c>
    </row>
    <row r="1649" spans="1:4" x14ac:dyDescent="0.4">
      <c r="A1649" s="1" t="s">
        <v>3206</v>
      </c>
      <c r="B1649" t="s">
        <v>3207</v>
      </c>
      <c r="C1649" t="s">
        <v>5</v>
      </c>
      <c r="D1649">
        <v>34700</v>
      </c>
    </row>
    <row r="1650" spans="1:4" x14ac:dyDescent="0.4">
      <c r="A1650" s="1" t="s">
        <v>3208</v>
      </c>
      <c r="B1650" t="s">
        <v>3209</v>
      </c>
      <c r="C1650" t="s">
        <v>5</v>
      </c>
      <c r="D1650">
        <v>62400</v>
      </c>
    </row>
    <row r="1651" spans="1:4" x14ac:dyDescent="0.4">
      <c r="A1651" s="1" t="s">
        <v>3210</v>
      </c>
      <c r="B1651" t="s">
        <v>3211</v>
      </c>
      <c r="C1651" t="s">
        <v>5</v>
      </c>
      <c r="D1651">
        <v>29300</v>
      </c>
    </row>
    <row r="1652" spans="1:4" x14ac:dyDescent="0.4">
      <c r="A1652" s="1" t="s">
        <v>3212</v>
      </c>
      <c r="B1652" t="s">
        <v>3213</v>
      </c>
      <c r="C1652" t="s">
        <v>5</v>
      </c>
      <c r="D1652">
        <v>25400</v>
      </c>
    </row>
    <row r="1653" spans="1:4" x14ac:dyDescent="0.4">
      <c r="A1653" s="1" t="s">
        <v>3214</v>
      </c>
      <c r="B1653" t="s">
        <v>3215</v>
      </c>
      <c r="C1653" t="s">
        <v>5</v>
      </c>
      <c r="D1653">
        <v>25400</v>
      </c>
    </row>
    <row r="1654" spans="1:4" x14ac:dyDescent="0.4">
      <c r="A1654" s="1" t="s">
        <v>3216</v>
      </c>
      <c r="B1654" t="s">
        <v>3217</v>
      </c>
      <c r="C1654" t="s">
        <v>5</v>
      </c>
      <c r="D1654">
        <v>25400</v>
      </c>
    </row>
    <row r="1655" spans="1:4" x14ac:dyDescent="0.4">
      <c r="A1655" s="1" t="s">
        <v>3218</v>
      </c>
      <c r="B1655" t="s">
        <v>3219</v>
      </c>
      <c r="C1655" t="s">
        <v>5</v>
      </c>
      <c r="D1655">
        <v>59000</v>
      </c>
    </row>
    <row r="1656" spans="1:4" x14ac:dyDescent="0.4">
      <c r="A1656" s="1" t="s">
        <v>3220</v>
      </c>
      <c r="B1656" t="s">
        <v>3221</v>
      </c>
      <c r="C1656" t="s">
        <v>5</v>
      </c>
      <c r="D1656">
        <v>45100</v>
      </c>
    </row>
    <row r="1657" spans="1:4" x14ac:dyDescent="0.4">
      <c r="A1657" s="1" t="s">
        <v>3222</v>
      </c>
      <c r="B1657" t="s">
        <v>3223</v>
      </c>
      <c r="C1657" t="s">
        <v>5</v>
      </c>
      <c r="D1657">
        <v>45100</v>
      </c>
    </row>
    <row r="1658" spans="1:4" x14ac:dyDescent="0.4">
      <c r="A1658" s="1" t="s">
        <v>3224</v>
      </c>
      <c r="B1658" t="s">
        <v>3225</v>
      </c>
      <c r="C1658" t="s">
        <v>5</v>
      </c>
      <c r="D1658">
        <v>45100</v>
      </c>
    </row>
    <row r="1659" spans="1:4" x14ac:dyDescent="0.4">
      <c r="A1659" s="1" t="s">
        <v>3226</v>
      </c>
      <c r="B1659" t="s">
        <v>3227</v>
      </c>
      <c r="C1659" t="s">
        <v>5</v>
      </c>
    </row>
    <row r="1660" spans="1:4" x14ac:dyDescent="0.4">
      <c r="A1660" s="1" t="s">
        <v>3228</v>
      </c>
      <c r="B1660" t="s">
        <v>3229</v>
      </c>
      <c r="C1660" t="s">
        <v>5</v>
      </c>
    </row>
    <row r="1661" spans="1:4" x14ac:dyDescent="0.4">
      <c r="A1661" s="1" t="s">
        <v>3230</v>
      </c>
      <c r="B1661" t="s">
        <v>3231</v>
      </c>
      <c r="C1661" t="s">
        <v>5</v>
      </c>
    </row>
    <row r="1662" spans="1:4" x14ac:dyDescent="0.4">
      <c r="A1662" s="1" t="s">
        <v>3232</v>
      </c>
      <c r="B1662" t="s">
        <v>3233</v>
      </c>
      <c r="C1662" t="s">
        <v>5</v>
      </c>
    </row>
    <row r="1663" spans="1:4" x14ac:dyDescent="0.4">
      <c r="A1663" s="1" t="s">
        <v>3234</v>
      </c>
      <c r="B1663" t="s">
        <v>3235</v>
      </c>
      <c r="C1663" t="s">
        <v>5</v>
      </c>
      <c r="D1663">
        <v>14400</v>
      </c>
    </row>
    <row r="1664" spans="1:4" x14ac:dyDescent="0.4">
      <c r="A1664" s="1" t="s">
        <v>3236</v>
      </c>
      <c r="B1664" t="s">
        <v>3237</v>
      </c>
      <c r="C1664" t="s">
        <v>5</v>
      </c>
      <c r="D1664">
        <v>60100</v>
      </c>
    </row>
    <row r="1665" spans="1:4" x14ac:dyDescent="0.4">
      <c r="A1665" s="1" t="s">
        <v>3238</v>
      </c>
      <c r="B1665" t="s">
        <v>3239</v>
      </c>
      <c r="C1665" t="s">
        <v>5</v>
      </c>
      <c r="D1665">
        <v>24300</v>
      </c>
    </row>
    <row r="1666" spans="1:4" x14ac:dyDescent="0.4">
      <c r="A1666" s="1" t="s">
        <v>3240</v>
      </c>
      <c r="B1666" t="s">
        <v>3241</v>
      </c>
      <c r="C1666" t="s">
        <v>5</v>
      </c>
      <c r="D1666">
        <v>15100</v>
      </c>
    </row>
    <row r="1667" spans="1:4" x14ac:dyDescent="0.4">
      <c r="A1667" s="1" t="s">
        <v>3242</v>
      </c>
      <c r="B1667" t="s">
        <v>3243</v>
      </c>
      <c r="C1667" t="s">
        <v>5</v>
      </c>
      <c r="D1667">
        <v>16700</v>
      </c>
    </row>
    <row r="1668" spans="1:4" x14ac:dyDescent="0.4">
      <c r="A1668" s="1" t="s">
        <v>3244</v>
      </c>
      <c r="B1668" t="s">
        <v>3245</v>
      </c>
      <c r="C1668" t="s">
        <v>5</v>
      </c>
      <c r="D1668">
        <v>16700</v>
      </c>
    </row>
    <row r="1669" spans="1:4" x14ac:dyDescent="0.4">
      <c r="A1669" s="1" t="s">
        <v>3246</v>
      </c>
      <c r="B1669" t="s">
        <v>3247</v>
      </c>
      <c r="C1669" t="s">
        <v>5</v>
      </c>
      <c r="D1669">
        <v>16700</v>
      </c>
    </row>
    <row r="1670" spans="1:4" x14ac:dyDescent="0.4">
      <c r="A1670" s="1" t="s">
        <v>3248</v>
      </c>
      <c r="B1670" t="s">
        <v>3249</v>
      </c>
      <c r="C1670" t="s">
        <v>5</v>
      </c>
      <c r="D1670">
        <v>9700</v>
      </c>
    </row>
    <row r="1671" spans="1:4" x14ac:dyDescent="0.4">
      <c r="A1671" s="1" t="s">
        <v>3250</v>
      </c>
      <c r="B1671" t="s">
        <v>3251</v>
      </c>
      <c r="C1671" t="s">
        <v>5</v>
      </c>
      <c r="D1671">
        <v>9200</v>
      </c>
    </row>
    <row r="1672" spans="1:4" x14ac:dyDescent="0.4">
      <c r="A1672" s="1" t="s">
        <v>3252</v>
      </c>
      <c r="B1672" t="s">
        <v>3253</v>
      </c>
      <c r="C1672" t="s">
        <v>5</v>
      </c>
      <c r="D1672">
        <v>9200</v>
      </c>
    </row>
    <row r="1673" spans="1:4" x14ac:dyDescent="0.4">
      <c r="A1673" s="1" t="s">
        <v>3254</v>
      </c>
      <c r="B1673" t="s">
        <v>3255</v>
      </c>
      <c r="C1673" t="s">
        <v>5</v>
      </c>
      <c r="D1673">
        <v>9200</v>
      </c>
    </row>
    <row r="1674" spans="1:4" x14ac:dyDescent="0.4">
      <c r="A1674" s="1" t="s">
        <v>3256</v>
      </c>
      <c r="B1674" t="s">
        <v>3257</v>
      </c>
      <c r="C1674" t="s">
        <v>5</v>
      </c>
      <c r="D1674">
        <v>25400</v>
      </c>
    </row>
    <row r="1675" spans="1:4" x14ac:dyDescent="0.4">
      <c r="A1675" s="1" t="s">
        <v>3258</v>
      </c>
      <c r="B1675" t="s">
        <v>3259</v>
      </c>
      <c r="C1675" t="s">
        <v>5</v>
      </c>
    </row>
    <row r="1676" spans="1:4" x14ac:dyDescent="0.4">
      <c r="A1676" s="1" t="s">
        <v>3260</v>
      </c>
      <c r="B1676" t="s">
        <v>3261</v>
      </c>
      <c r="C1676" t="s">
        <v>5</v>
      </c>
    </row>
    <row r="1677" spans="1:4" x14ac:dyDescent="0.4">
      <c r="A1677" s="1" t="s">
        <v>3262</v>
      </c>
      <c r="B1677" t="s">
        <v>3263</v>
      </c>
      <c r="C1677" t="s">
        <v>5</v>
      </c>
    </row>
    <row r="1678" spans="1:4" x14ac:dyDescent="0.4">
      <c r="A1678" s="1" t="s">
        <v>3264</v>
      </c>
      <c r="B1678" t="s">
        <v>3265</v>
      </c>
      <c r="C1678" t="s">
        <v>5</v>
      </c>
    </row>
    <row r="1679" spans="1:4" x14ac:dyDescent="0.4">
      <c r="A1679" s="1" t="s">
        <v>3266</v>
      </c>
      <c r="B1679" t="s">
        <v>3267</v>
      </c>
      <c r="C1679" t="s">
        <v>5</v>
      </c>
      <c r="D1679">
        <v>24300</v>
      </c>
    </row>
    <row r="1680" spans="1:4" x14ac:dyDescent="0.4">
      <c r="A1680" s="1" t="s">
        <v>3268</v>
      </c>
      <c r="B1680" t="s">
        <v>3269</v>
      </c>
      <c r="C1680" t="s">
        <v>5</v>
      </c>
      <c r="D1680">
        <v>18500</v>
      </c>
    </row>
    <row r="1681" spans="1:4" x14ac:dyDescent="0.4">
      <c r="A1681" s="1" t="s">
        <v>3270</v>
      </c>
      <c r="B1681" t="s">
        <v>3271</v>
      </c>
      <c r="C1681" t="s">
        <v>5</v>
      </c>
      <c r="D1681">
        <v>18500</v>
      </c>
    </row>
    <row r="1682" spans="1:4" x14ac:dyDescent="0.4">
      <c r="A1682" s="1" t="s">
        <v>3272</v>
      </c>
      <c r="B1682" t="s">
        <v>3273</v>
      </c>
      <c r="C1682" t="s">
        <v>5</v>
      </c>
      <c r="D1682">
        <v>18500</v>
      </c>
    </row>
    <row r="1683" spans="1:4" x14ac:dyDescent="0.4">
      <c r="A1683" s="1" t="s">
        <v>3274</v>
      </c>
      <c r="B1683" t="s">
        <v>3275</v>
      </c>
      <c r="C1683" t="s">
        <v>5</v>
      </c>
      <c r="D1683">
        <v>49300</v>
      </c>
    </row>
    <row r="1684" spans="1:4" x14ac:dyDescent="0.4">
      <c r="A1684" s="1" t="s">
        <v>3276</v>
      </c>
      <c r="B1684" t="s">
        <v>3277</v>
      </c>
      <c r="C1684" t="s">
        <v>5</v>
      </c>
      <c r="D1684">
        <v>53700</v>
      </c>
    </row>
    <row r="1685" spans="1:4" x14ac:dyDescent="0.4">
      <c r="A1685" s="1" t="s">
        <v>3278</v>
      </c>
      <c r="B1685" t="s">
        <v>3279</v>
      </c>
      <c r="C1685" t="s">
        <v>5</v>
      </c>
      <c r="D1685">
        <v>53700</v>
      </c>
    </row>
    <row r="1686" spans="1:4" x14ac:dyDescent="0.4">
      <c r="A1686" s="1" t="s">
        <v>3280</v>
      </c>
      <c r="B1686" t="s">
        <v>3281</v>
      </c>
      <c r="C1686" t="s">
        <v>5</v>
      </c>
      <c r="D1686">
        <v>53700</v>
      </c>
    </row>
    <row r="1687" spans="1:4" x14ac:dyDescent="0.4">
      <c r="A1687" s="1" t="s">
        <v>3282</v>
      </c>
      <c r="B1687" t="s">
        <v>3283</v>
      </c>
      <c r="C1687" t="s">
        <v>5</v>
      </c>
      <c r="D1687">
        <v>41600</v>
      </c>
    </row>
    <row r="1688" spans="1:4" x14ac:dyDescent="0.4">
      <c r="A1688" s="1" t="s">
        <v>3284</v>
      </c>
      <c r="B1688" t="s">
        <v>3285</v>
      </c>
      <c r="C1688" t="s">
        <v>5</v>
      </c>
      <c r="D1688">
        <v>92500</v>
      </c>
    </row>
    <row r="1689" spans="1:4" x14ac:dyDescent="0.4">
      <c r="A1689" s="1" t="s">
        <v>3286</v>
      </c>
      <c r="B1689" t="s">
        <v>3287</v>
      </c>
      <c r="C1689" t="s">
        <v>5</v>
      </c>
    </row>
    <row r="1690" spans="1:4" x14ac:dyDescent="0.4">
      <c r="A1690" s="1" t="s">
        <v>3288</v>
      </c>
      <c r="B1690" t="s">
        <v>3289</v>
      </c>
      <c r="C1690" t="s">
        <v>5</v>
      </c>
      <c r="D1690">
        <v>29300</v>
      </c>
    </row>
    <row r="1691" spans="1:4" x14ac:dyDescent="0.4">
      <c r="A1691" s="1" t="s">
        <v>3290</v>
      </c>
      <c r="B1691" t="s">
        <v>3291</v>
      </c>
      <c r="C1691" t="s">
        <v>5</v>
      </c>
      <c r="D1691">
        <v>25400</v>
      </c>
    </row>
    <row r="1692" spans="1:4" x14ac:dyDescent="0.4">
      <c r="A1692" s="1" t="s">
        <v>3292</v>
      </c>
      <c r="B1692" t="s">
        <v>3293</v>
      </c>
      <c r="C1692" t="s">
        <v>5</v>
      </c>
      <c r="D1692">
        <v>25400</v>
      </c>
    </row>
    <row r="1693" spans="1:4" x14ac:dyDescent="0.4">
      <c r="A1693" s="1" t="s">
        <v>3294</v>
      </c>
      <c r="B1693" t="s">
        <v>3295</v>
      </c>
      <c r="C1693" t="s">
        <v>5</v>
      </c>
      <c r="D1693">
        <v>25400</v>
      </c>
    </row>
    <row r="1694" spans="1:4" x14ac:dyDescent="0.4">
      <c r="A1694" s="1" t="s">
        <v>3296</v>
      </c>
      <c r="B1694" t="s">
        <v>3297</v>
      </c>
      <c r="C1694" t="s">
        <v>5</v>
      </c>
      <c r="D1694">
        <v>59000</v>
      </c>
    </row>
    <row r="1695" spans="1:4" x14ac:dyDescent="0.4">
      <c r="A1695" s="1" t="s">
        <v>3298</v>
      </c>
      <c r="B1695" t="s">
        <v>3299</v>
      </c>
      <c r="C1695" t="s">
        <v>5</v>
      </c>
      <c r="D1695">
        <v>45100</v>
      </c>
    </row>
    <row r="1696" spans="1:4" x14ac:dyDescent="0.4">
      <c r="A1696" s="1" t="s">
        <v>3300</v>
      </c>
      <c r="B1696" t="s">
        <v>3301</v>
      </c>
      <c r="C1696" t="s">
        <v>5</v>
      </c>
      <c r="D1696">
        <v>45100</v>
      </c>
    </row>
    <row r="1697" spans="1:4" x14ac:dyDescent="0.4">
      <c r="A1697" s="1" t="s">
        <v>3302</v>
      </c>
      <c r="B1697" t="s">
        <v>3303</v>
      </c>
      <c r="C1697" t="s">
        <v>5</v>
      </c>
      <c r="D1697">
        <v>45100</v>
      </c>
    </row>
    <row r="1698" spans="1:4" x14ac:dyDescent="0.4">
      <c r="A1698" s="1" t="s">
        <v>3304</v>
      </c>
      <c r="B1698" t="s">
        <v>3305</v>
      </c>
      <c r="C1698" t="s">
        <v>5</v>
      </c>
      <c r="D1698">
        <v>32300</v>
      </c>
    </row>
    <row r="1699" spans="1:4" x14ac:dyDescent="0.4">
      <c r="A1699" s="1" t="s">
        <v>3306</v>
      </c>
      <c r="B1699" t="s">
        <v>3307</v>
      </c>
      <c r="C1699" t="s">
        <v>5</v>
      </c>
      <c r="D1699">
        <v>41600</v>
      </c>
    </row>
    <row r="1700" spans="1:4" x14ac:dyDescent="0.4">
      <c r="A1700" s="1" t="s">
        <v>3308</v>
      </c>
      <c r="B1700" t="s">
        <v>3309</v>
      </c>
      <c r="C1700" t="s">
        <v>5</v>
      </c>
      <c r="D1700">
        <v>48500</v>
      </c>
    </row>
    <row r="1701" spans="1:4" x14ac:dyDescent="0.4">
      <c r="A1701" s="1" t="s">
        <v>3310</v>
      </c>
      <c r="B1701" t="s">
        <v>3311</v>
      </c>
      <c r="C1701" t="s">
        <v>5</v>
      </c>
      <c r="D1701">
        <v>24300</v>
      </c>
    </row>
    <row r="1702" spans="1:4" x14ac:dyDescent="0.4">
      <c r="A1702" s="1" t="s">
        <v>3312</v>
      </c>
      <c r="B1702" t="s">
        <v>3313</v>
      </c>
      <c r="C1702" t="s">
        <v>5</v>
      </c>
      <c r="D1702">
        <v>18500</v>
      </c>
    </row>
    <row r="1703" spans="1:4" x14ac:dyDescent="0.4">
      <c r="A1703" s="1" t="s">
        <v>3314</v>
      </c>
      <c r="B1703" t="s">
        <v>3315</v>
      </c>
      <c r="C1703" t="s">
        <v>5</v>
      </c>
      <c r="D1703">
        <v>18500</v>
      </c>
    </row>
    <row r="1704" spans="1:4" x14ac:dyDescent="0.4">
      <c r="A1704" s="1" t="s">
        <v>3316</v>
      </c>
      <c r="B1704" t="s">
        <v>3317</v>
      </c>
      <c r="C1704" t="s">
        <v>5</v>
      </c>
      <c r="D1704">
        <v>18500</v>
      </c>
    </row>
    <row r="1705" spans="1:4" x14ac:dyDescent="0.4">
      <c r="A1705" s="1" t="s">
        <v>3318</v>
      </c>
      <c r="B1705" t="s">
        <v>3319</v>
      </c>
      <c r="C1705" t="s">
        <v>5</v>
      </c>
      <c r="D1705">
        <v>46200</v>
      </c>
    </row>
    <row r="1706" spans="1:4" x14ac:dyDescent="0.4">
      <c r="A1706" s="1" t="s">
        <v>3320</v>
      </c>
      <c r="B1706" t="s">
        <v>3321</v>
      </c>
      <c r="C1706" t="s">
        <v>5</v>
      </c>
      <c r="D1706">
        <v>37000</v>
      </c>
    </row>
    <row r="1707" spans="1:4" x14ac:dyDescent="0.4">
      <c r="A1707" s="1" t="s">
        <v>3322</v>
      </c>
      <c r="B1707" t="s">
        <v>3323</v>
      </c>
      <c r="C1707" t="s">
        <v>5</v>
      </c>
      <c r="D1707">
        <v>37000</v>
      </c>
    </row>
    <row r="1708" spans="1:4" x14ac:dyDescent="0.4">
      <c r="A1708" s="1" t="s">
        <v>3324</v>
      </c>
      <c r="B1708" t="s">
        <v>3325</v>
      </c>
      <c r="C1708" t="s">
        <v>5</v>
      </c>
      <c r="D1708">
        <v>37000</v>
      </c>
    </row>
    <row r="1709" spans="1:4" x14ac:dyDescent="0.4">
      <c r="A1709" s="1" t="s">
        <v>3326</v>
      </c>
      <c r="B1709" t="s">
        <v>3327</v>
      </c>
      <c r="C1709" t="s">
        <v>5</v>
      </c>
      <c r="D1709">
        <v>34700</v>
      </c>
    </row>
    <row r="1710" spans="1:4" x14ac:dyDescent="0.4">
      <c r="A1710" s="1" t="s">
        <v>3328</v>
      </c>
      <c r="B1710" t="s">
        <v>3329</v>
      </c>
      <c r="C1710" t="s">
        <v>5</v>
      </c>
      <c r="D1710">
        <v>62400</v>
      </c>
    </row>
    <row r="1711" spans="1:4" x14ac:dyDescent="0.4">
      <c r="A1711" s="1" t="s">
        <v>3330</v>
      </c>
      <c r="B1711" t="s">
        <v>3331</v>
      </c>
      <c r="C1711" t="s">
        <v>5</v>
      </c>
      <c r="D1711">
        <v>26500</v>
      </c>
    </row>
    <row r="1712" spans="1:4" x14ac:dyDescent="0.4">
      <c r="A1712" s="1" t="s">
        <v>3332</v>
      </c>
      <c r="B1712" t="s">
        <v>3333</v>
      </c>
      <c r="C1712" t="s">
        <v>5</v>
      </c>
      <c r="D1712">
        <v>65000</v>
      </c>
    </row>
    <row r="1713" spans="1:4" x14ac:dyDescent="0.4">
      <c r="A1713" s="1" t="s">
        <v>3334</v>
      </c>
      <c r="B1713" t="e">
        <f ca="1">-終息-XEROX Y350099 ﾄﾞﾗﾑ(ﾄﾅｰ回収ﾎﾞｯｸｽ付属)</f>
        <v>#NAME?</v>
      </c>
      <c r="C1713" t="s">
        <v>5</v>
      </c>
      <c r="D1713">
        <v>25000</v>
      </c>
    </row>
    <row r="1714" spans="1:4" x14ac:dyDescent="0.4">
      <c r="A1714" s="1" t="s">
        <v>3335</v>
      </c>
      <c r="B1714" t="e">
        <f ca="1">-終息-XEROX Y350191 ﾄﾞﾗﾑ(ﾄﾅｰ回収ﾎﾞﾄﾙ付属)</f>
        <v>#NAME?</v>
      </c>
      <c r="C1714" t="s">
        <v>5</v>
      </c>
      <c r="D1714">
        <v>36000</v>
      </c>
    </row>
    <row r="1715" spans="1:4" x14ac:dyDescent="0.4">
      <c r="A1715" s="1" t="s">
        <v>3336</v>
      </c>
      <c r="B1715" t="e">
        <f>-終息-XEROX Y350242</f>
        <v>#NAME?</v>
      </c>
      <c r="C1715" t="s">
        <v>5</v>
      </c>
      <c r="D1715">
        <v>30000</v>
      </c>
    </row>
    <row r="1716" spans="1:4" x14ac:dyDescent="0.4">
      <c r="A1716" s="1" t="s">
        <v>3337</v>
      </c>
      <c r="B1716" t="e">
        <f>-終息-XEROX Y350243</f>
        <v>#NAME?</v>
      </c>
      <c r="C1716" t="s">
        <v>5</v>
      </c>
      <c r="D1716">
        <v>40000</v>
      </c>
    </row>
    <row r="1717" spans="1:4" x14ac:dyDescent="0.4">
      <c r="A1717" s="1" t="s">
        <v>3338</v>
      </c>
      <c r="B1717" t="s">
        <v>3339</v>
      </c>
      <c r="C1717" t="s">
        <v>5</v>
      </c>
      <c r="D1717">
        <v>30000</v>
      </c>
    </row>
    <row r="1718" spans="1:4" x14ac:dyDescent="0.4">
      <c r="A1718" s="1" t="s">
        <v>3340</v>
      </c>
      <c r="B1718" t="s">
        <v>3341</v>
      </c>
      <c r="C1718" t="s">
        <v>5</v>
      </c>
      <c r="D1718">
        <v>40000</v>
      </c>
    </row>
    <row r="1719" spans="1:4" x14ac:dyDescent="0.4">
      <c r="A1719" s="1" t="s">
        <v>3342</v>
      </c>
      <c r="B1719" t="s">
        <v>3343</v>
      </c>
      <c r="C1719" t="s">
        <v>5</v>
      </c>
      <c r="D1719">
        <v>50000</v>
      </c>
    </row>
    <row r="1720" spans="1:4" x14ac:dyDescent="0.4">
      <c r="A1720" s="1" t="s">
        <v>3344</v>
      </c>
      <c r="B1720" t="e">
        <f>-在庫限り-XEROX Y350357 ﾄﾞﾗﾑｶｰﾄﾘｯｼﾞ</f>
        <v>#NAME?</v>
      </c>
      <c r="C1720" t="s">
        <v>5</v>
      </c>
    </row>
    <row r="1721" spans="1:4" x14ac:dyDescent="0.4">
      <c r="A1721" s="1" t="s">
        <v>3345</v>
      </c>
      <c r="B1721" t="s">
        <v>3346</v>
      </c>
      <c r="C1721" t="s">
        <v>5</v>
      </c>
      <c r="D1721">
        <v>48500</v>
      </c>
    </row>
    <row r="1722" spans="1:4" x14ac:dyDescent="0.4">
      <c r="A1722" s="1" t="s">
        <v>3347</v>
      </c>
      <c r="B1722" t="s">
        <v>3348</v>
      </c>
      <c r="C1722" t="s">
        <v>5</v>
      </c>
      <c r="D1722">
        <v>11600</v>
      </c>
    </row>
    <row r="1723" spans="1:4" x14ac:dyDescent="0.4">
      <c r="A1723" s="1" t="s">
        <v>3349</v>
      </c>
      <c r="B1723" t="s">
        <v>3350</v>
      </c>
      <c r="C1723" t="s">
        <v>5</v>
      </c>
      <c r="D1723">
        <v>157000</v>
      </c>
    </row>
    <row r="1724" spans="1:4" x14ac:dyDescent="0.4">
      <c r="A1724" s="1" t="s">
        <v>3351</v>
      </c>
      <c r="B1724" t="s">
        <v>3352</v>
      </c>
      <c r="C1724" t="s">
        <v>5</v>
      </c>
      <c r="D1724">
        <v>71000</v>
      </c>
    </row>
    <row r="1725" spans="1:4" x14ac:dyDescent="0.4">
      <c r="A1725" s="1" t="s">
        <v>3353</v>
      </c>
      <c r="B1725" t="s">
        <v>3354</v>
      </c>
      <c r="C1725" t="s">
        <v>5</v>
      </c>
      <c r="D1725">
        <v>25000</v>
      </c>
    </row>
    <row r="1726" spans="1:4" x14ac:dyDescent="0.4">
      <c r="A1726" s="1" t="s">
        <v>3355</v>
      </c>
      <c r="B1726" t="s">
        <v>3356</v>
      </c>
      <c r="C1726" t="s">
        <v>5</v>
      </c>
      <c r="D1726">
        <v>34700</v>
      </c>
    </row>
    <row r="1727" spans="1:4" x14ac:dyDescent="0.4">
      <c r="A1727" s="1" t="s">
        <v>3357</v>
      </c>
      <c r="B1727" t="s">
        <v>3358</v>
      </c>
      <c r="C1727" t="s">
        <v>5</v>
      </c>
      <c r="D1727">
        <v>48500</v>
      </c>
    </row>
    <row r="1728" spans="1:4" x14ac:dyDescent="0.4">
      <c r="A1728" s="1" t="s">
        <v>3359</v>
      </c>
      <c r="B1728" t="e">
        <f>-終息-XEROX Y350586 ﾄﾅｰｶｰﾄﾘｯｼﾞ</f>
        <v>#NAME?</v>
      </c>
      <c r="C1728" t="s">
        <v>5</v>
      </c>
      <c r="D1728">
        <v>18900</v>
      </c>
    </row>
    <row r="1729" spans="1:4" x14ac:dyDescent="0.4">
      <c r="A1729" s="1" t="s">
        <v>3360</v>
      </c>
      <c r="B1729" t="e">
        <f>-終息-XEROX Y350587 ﾄﾅｰｶｰﾄﾘｯｼﾞ</f>
        <v>#NAME?</v>
      </c>
      <c r="C1729" t="s">
        <v>5</v>
      </c>
      <c r="D1729">
        <v>31500</v>
      </c>
    </row>
    <row r="1730" spans="1:4" x14ac:dyDescent="0.4">
      <c r="A1730" s="1" t="s">
        <v>3361</v>
      </c>
      <c r="B1730" t="e">
        <f>-終息-XEROX Y350588 ﾄﾅｰｶｰﾄﾘｯｼﾞ</f>
        <v>#NAME?</v>
      </c>
      <c r="C1730" t="s">
        <v>5</v>
      </c>
      <c r="D1730">
        <v>42000</v>
      </c>
    </row>
    <row r="1731" spans="1:4" x14ac:dyDescent="0.4">
      <c r="A1731" s="1" t="s">
        <v>3362</v>
      </c>
      <c r="B1731" t="e">
        <f>-終息- XEROX Y350589 ﾄﾞﾗﾑｶｰﾄﾘｯｼﾞ</f>
        <v>#NAME?</v>
      </c>
      <c r="C1731" t="s">
        <v>5</v>
      </c>
      <c r="D1731">
        <v>22300</v>
      </c>
    </row>
    <row r="1732" spans="1:4" x14ac:dyDescent="0.4">
      <c r="A1732" s="1" t="s">
        <v>3363</v>
      </c>
      <c r="B1732" t="s">
        <v>3364</v>
      </c>
      <c r="C1732" t="s">
        <v>5</v>
      </c>
      <c r="D1732">
        <v>31500</v>
      </c>
    </row>
    <row r="1733" spans="1:4" x14ac:dyDescent="0.4">
      <c r="A1733" s="1" t="s">
        <v>3365</v>
      </c>
      <c r="B1733" t="s">
        <v>3366</v>
      </c>
      <c r="C1733" t="s">
        <v>5</v>
      </c>
      <c r="D1733">
        <v>12000</v>
      </c>
    </row>
    <row r="1734" spans="1:4" x14ac:dyDescent="0.4">
      <c r="A1734" s="1" t="s">
        <v>3367</v>
      </c>
      <c r="B1734" t="s">
        <v>3368</v>
      </c>
      <c r="C1734" t="s">
        <v>5</v>
      </c>
      <c r="D1734">
        <v>34700</v>
      </c>
    </row>
    <row r="1735" spans="1:4" x14ac:dyDescent="0.4">
      <c r="A1735" s="1" t="s">
        <v>3369</v>
      </c>
      <c r="B1735" t="s">
        <v>3370</v>
      </c>
      <c r="C1735" t="s">
        <v>5</v>
      </c>
      <c r="D1735">
        <v>52000</v>
      </c>
    </row>
    <row r="1736" spans="1:4" x14ac:dyDescent="0.4">
      <c r="A1736" s="1" t="s">
        <v>3371</v>
      </c>
      <c r="B1736" t="e">
        <f>-在庫限り終息- XEROX Y350763 ﾄﾞﾗﾑｶｰﾄﾘｯｼﾞ</f>
        <v>#NAME?</v>
      </c>
      <c r="C1736" t="s">
        <v>5</v>
      </c>
      <c r="D1736">
        <v>86100</v>
      </c>
    </row>
    <row r="1737" spans="1:4" x14ac:dyDescent="0.4">
      <c r="A1737" s="1" t="s">
        <v>3372</v>
      </c>
      <c r="B1737" t="e">
        <f>-終息-XEROX Y350765 ﾄﾞﾗﾑｶｰﾄﾘｯｼﾞ</f>
        <v>#NAME?</v>
      </c>
      <c r="C1737" t="s">
        <v>5</v>
      </c>
    </row>
    <row r="1738" spans="1:4" x14ac:dyDescent="0.4">
      <c r="A1738" s="1" t="s">
        <v>3373</v>
      </c>
      <c r="B1738" t="s">
        <v>3374</v>
      </c>
      <c r="C1738" t="s">
        <v>5</v>
      </c>
      <c r="D1738">
        <v>93600</v>
      </c>
    </row>
    <row r="1739" spans="1:4" x14ac:dyDescent="0.4">
      <c r="A1739" s="1" t="s">
        <v>3375</v>
      </c>
      <c r="B1739" t="s">
        <v>3376</v>
      </c>
      <c r="C1739" t="s">
        <v>5</v>
      </c>
      <c r="D1739">
        <v>13900</v>
      </c>
    </row>
    <row r="1740" spans="1:4" x14ac:dyDescent="0.4">
      <c r="A1740" s="1" t="s">
        <v>3377</v>
      </c>
      <c r="B1740" t="s">
        <v>3378</v>
      </c>
      <c r="C1740" t="s">
        <v>5</v>
      </c>
      <c r="D1740">
        <v>13900</v>
      </c>
    </row>
    <row r="1741" spans="1:4" x14ac:dyDescent="0.4">
      <c r="A1741" s="1" t="s">
        <v>3379</v>
      </c>
      <c r="B1741" t="e">
        <f>-終息-XEROX Y350821 ﾄﾞﾗﾑ ﾌﾞﾗｯｸ</f>
        <v>#NAME?</v>
      </c>
      <c r="C1741" t="s">
        <v>5</v>
      </c>
    </row>
    <row r="1742" spans="1:4" x14ac:dyDescent="0.4">
      <c r="A1742" s="1" t="s">
        <v>3380</v>
      </c>
      <c r="B1742" t="e">
        <f>-終息-XEROX Y350822 ﾄﾞﾗﾑ ｼｱﾝ</f>
        <v>#NAME?</v>
      </c>
      <c r="C1742" t="s">
        <v>5</v>
      </c>
    </row>
    <row r="1743" spans="1:4" x14ac:dyDescent="0.4">
      <c r="A1743" s="1" t="s">
        <v>3381</v>
      </c>
      <c r="B1743" t="e">
        <f>-終息-XEROX Y350823 ﾄﾞﾗﾑ ﾏｾﾞﾝﾀ</f>
        <v>#NAME?</v>
      </c>
      <c r="C1743" t="s">
        <v>5</v>
      </c>
    </row>
    <row r="1744" spans="1:4" x14ac:dyDescent="0.4">
      <c r="A1744" s="1" t="s">
        <v>3382</v>
      </c>
      <c r="B1744" t="e">
        <f>-終息- XEROX Y350824 ﾄﾞﾗﾑ ｲｴﾛｰ</f>
        <v>#NAME?</v>
      </c>
      <c r="C1744" t="s">
        <v>5</v>
      </c>
    </row>
    <row r="1745" spans="1:4" x14ac:dyDescent="0.4">
      <c r="A1745" s="1" t="s">
        <v>3383</v>
      </c>
      <c r="B1745" t="s">
        <v>3384</v>
      </c>
      <c r="C1745" t="s">
        <v>5</v>
      </c>
    </row>
    <row r="1746" spans="1:4" x14ac:dyDescent="0.4">
      <c r="A1746" s="1" t="s">
        <v>3385</v>
      </c>
      <c r="B1746" t="s">
        <v>3386</v>
      </c>
      <c r="C1746" t="s">
        <v>5</v>
      </c>
    </row>
    <row r="1747" spans="1:4" x14ac:dyDescent="0.4">
      <c r="A1747" s="1" t="s">
        <v>3387</v>
      </c>
      <c r="B1747" t="s">
        <v>3388</v>
      </c>
      <c r="C1747" t="s">
        <v>5</v>
      </c>
    </row>
    <row r="1748" spans="1:4" x14ac:dyDescent="0.4">
      <c r="A1748" s="1" t="s">
        <v>3389</v>
      </c>
      <c r="B1748" t="s">
        <v>3390</v>
      </c>
      <c r="C1748" t="s">
        <v>5</v>
      </c>
      <c r="D1748">
        <v>34700</v>
      </c>
    </row>
    <row r="1749" spans="1:4" x14ac:dyDescent="0.4">
      <c r="A1749" s="1" t="s">
        <v>3391</v>
      </c>
      <c r="B1749" t="s">
        <v>3392</v>
      </c>
      <c r="C1749" t="s">
        <v>5</v>
      </c>
      <c r="D1749">
        <v>46200</v>
      </c>
    </row>
    <row r="1750" spans="1:4" x14ac:dyDescent="0.4">
      <c r="A1750" s="1" t="s">
        <v>3393</v>
      </c>
      <c r="B1750" t="s">
        <v>3394</v>
      </c>
      <c r="C1750" t="s">
        <v>5</v>
      </c>
    </row>
    <row r="1751" spans="1:4" x14ac:dyDescent="0.4">
      <c r="A1751" s="1" t="s">
        <v>3395</v>
      </c>
      <c r="B1751" t="s">
        <v>3396</v>
      </c>
      <c r="C1751" t="s">
        <v>5</v>
      </c>
      <c r="D1751">
        <v>55000</v>
      </c>
    </row>
    <row r="1752" spans="1:4" x14ac:dyDescent="0.4">
      <c r="A1752" s="1" t="s">
        <v>3397</v>
      </c>
      <c r="B1752" t="s">
        <v>3398</v>
      </c>
      <c r="C1752" t="s">
        <v>5</v>
      </c>
      <c r="D1752">
        <v>25000</v>
      </c>
    </row>
    <row r="1753" spans="1:4" x14ac:dyDescent="0.4">
      <c r="A1753" s="1" t="s">
        <v>3399</v>
      </c>
      <c r="B1753" t="s">
        <v>3400</v>
      </c>
      <c r="C1753" t="s">
        <v>5</v>
      </c>
    </row>
    <row r="1754" spans="1:4" x14ac:dyDescent="0.4">
      <c r="A1754" s="1" t="s">
        <v>3401</v>
      </c>
      <c r="B1754" t="e">
        <f>-終息-XEROX Y350919 ﾄﾞﾗﾑｶｰﾄﾘｯｼﾞ</f>
        <v>#NAME?</v>
      </c>
      <c r="C1754" t="s">
        <v>5</v>
      </c>
    </row>
    <row r="1755" spans="1:4" x14ac:dyDescent="0.4">
      <c r="A1755" s="1" t="s">
        <v>3402</v>
      </c>
      <c r="B1755" t="s">
        <v>3403</v>
      </c>
      <c r="C1755" t="s">
        <v>5</v>
      </c>
    </row>
    <row r="1756" spans="1:4" x14ac:dyDescent="0.4">
      <c r="A1756" s="1" t="s">
        <v>3404</v>
      </c>
      <c r="B1756" t="s">
        <v>3405</v>
      </c>
      <c r="C1756" t="s">
        <v>5</v>
      </c>
      <c r="D1756">
        <v>42800</v>
      </c>
    </row>
    <row r="1757" spans="1:4" x14ac:dyDescent="0.4">
      <c r="A1757" s="1" t="s">
        <v>3406</v>
      </c>
      <c r="B1757" t="s">
        <v>3407</v>
      </c>
      <c r="C1757" t="s">
        <v>5</v>
      </c>
      <c r="D1757">
        <v>9800</v>
      </c>
    </row>
    <row r="1758" spans="1:4" x14ac:dyDescent="0.4">
      <c r="A1758" s="1" t="s">
        <v>3408</v>
      </c>
      <c r="B1758" t="s">
        <v>3409</v>
      </c>
      <c r="C1758" t="s">
        <v>5</v>
      </c>
      <c r="D1758">
        <v>9800</v>
      </c>
    </row>
    <row r="1759" spans="1:4" x14ac:dyDescent="0.4">
      <c r="A1759" s="1" t="s">
        <v>3410</v>
      </c>
      <c r="B1759" t="s">
        <v>3411</v>
      </c>
      <c r="C1759" t="s">
        <v>5</v>
      </c>
      <c r="D1759">
        <v>48500</v>
      </c>
    </row>
    <row r="1760" spans="1:4" x14ac:dyDescent="0.4">
      <c r="A1760" s="1" t="s">
        <v>3412</v>
      </c>
      <c r="B1760" t="s">
        <v>3413</v>
      </c>
      <c r="C1760" t="s">
        <v>5</v>
      </c>
    </row>
    <row r="1761" spans="1:4" x14ac:dyDescent="0.4">
      <c r="A1761" s="1" t="s">
        <v>3414</v>
      </c>
      <c r="B1761" t="s">
        <v>3415</v>
      </c>
      <c r="C1761" t="s">
        <v>5</v>
      </c>
      <c r="D1761">
        <v>9800</v>
      </c>
    </row>
    <row r="1762" spans="1:4" x14ac:dyDescent="0.4">
      <c r="A1762" s="1" t="s">
        <v>3416</v>
      </c>
      <c r="B1762" t="s">
        <v>3417</v>
      </c>
      <c r="C1762" t="s">
        <v>5</v>
      </c>
      <c r="D1762">
        <v>94700</v>
      </c>
    </row>
    <row r="1763" spans="1:4" x14ac:dyDescent="0.4">
      <c r="A1763" s="1" t="s">
        <v>3418</v>
      </c>
      <c r="B1763" t="s">
        <v>3419</v>
      </c>
      <c r="C1763" t="s">
        <v>5</v>
      </c>
    </row>
    <row r="1764" spans="1:4" x14ac:dyDescent="0.4">
      <c r="A1764" s="1" t="s">
        <v>3420</v>
      </c>
      <c r="B1764" t="s">
        <v>3421</v>
      </c>
      <c r="C1764" t="s">
        <v>5</v>
      </c>
    </row>
    <row r="1765" spans="1:4" x14ac:dyDescent="0.4">
      <c r="A1765" s="1" t="s">
        <v>3422</v>
      </c>
      <c r="B1765" t="s">
        <v>3423</v>
      </c>
      <c r="C1765" t="s">
        <v>5</v>
      </c>
    </row>
    <row r="1766" spans="1:4" x14ac:dyDescent="0.4">
      <c r="A1766" s="1" t="s">
        <v>3424</v>
      </c>
      <c r="B1766" t="s">
        <v>3425</v>
      </c>
      <c r="C1766" t="s">
        <v>5</v>
      </c>
    </row>
    <row r="1767" spans="1:4" x14ac:dyDescent="0.4">
      <c r="A1767" s="1" t="s">
        <v>3426</v>
      </c>
      <c r="B1767" t="s">
        <v>3427</v>
      </c>
      <c r="C1767" t="s">
        <v>5</v>
      </c>
    </row>
    <row r="1768" spans="1:4" x14ac:dyDescent="0.4">
      <c r="A1768" s="1" t="s">
        <v>3428</v>
      </c>
      <c r="B1768" t="s">
        <v>3429</v>
      </c>
      <c r="C1768" t="s">
        <v>5</v>
      </c>
      <c r="D1768">
        <v>9200</v>
      </c>
    </row>
    <row r="1769" spans="1:4" x14ac:dyDescent="0.4">
      <c r="A1769" s="1" t="s">
        <v>3430</v>
      </c>
      <c r="B1769" t="s">
        <v>3431</v>
      </c>
      <c r="C1769" t="s">
        <v>5</v>
      </c>
      <c r="D1769">
        <v>9200</v>
      </c>
    </row>
    <row r="1770" spans="1:4" x14ac:dyDescent="0.4">
      <c r="A1770" s="1" t="s">
        <v>3432</v>
      </c>
      <c r="B1770" t="s">
        <v>3433</v>
      </c>
      <c r="C1770" t="s">
        <v>5</v>
      </c>
      <c r="D1770">
        <v>9200</v>
      </c>
    </row>
    <row r="1771" spans="1:4" x14ac:dyDescent="0.4">
      <c r="A1771" s="1" t="s">
        <v>3434</v>
      </c>
      <c r="B1771" t="s">
        <v>3435</v>
      </c>
      <c r="C1771" t="s">
        <v>5</v>
      </c>
      <c r="D1771">
        <v>9200</v>
      </c>
    </row>
    <row r="1772" spans="1:4" x14ac:dyDescent="0.4">
      <c r="A1772" s="1" t="s">
        <v>3436</v>
      </c>
      <c r="B1772" t="s">
        <v>3437</v>
      </c>
      <c r="C1772" t="s">
        <v>5</v>
      </c>
      <c r="D1772">
        <v>14300</v>
      </c>
    </row>
    <row r="1773" spans="1:4" x14ac:dyDescent="0.4">
      <c r="A1773" s="1" t="s">
        <v>3438</v>
      </c>
      <c r="B1773" t="s">
        <v>3439</v>
      </c>
      <c r="C1773" t="s">
        <v>5</v>
      </c>
      <c r="D1773">
        <v>14300</v>
      </c>
    </row>
    <row r="1774" spans="1:4" x14ac:dyDescent="0.4">
      <c r="A1774" s="1" t="s">
        <v>3440</v>
      </c>
      <c r="B1774" t="s">
        <v>3441</v>
      </c>
      <c r="C1774" t="s">
        <v>5</v>
      </c>
      <c r="D1774">
        <v>14300</v>
      </c>
    </row>
    <row r="1775" spans="1:4" x14ac:dyDescent="0.4">
      <c r="A1775" s="1" t="s">
        <v>3442</v>
      </c>
      <c r="B1775" t="s">
        <v>3443</v>
      </c>
      <c r="C1775" t="s">
        <v>5</v>
      </c>
      <c r="D1775">
        <v>14300</v>
      </c>
    </row>
    <row r="1776" spans="1:4" x14ac:dyDescent="0.4">
      <c r="A1776" s="1" t="s">
        <v>3444</v>
      </c>
      <c r="B1776" t="s">
        <v>3445</v>
      </c>
      <c r="C1776" t="s">
        <v>5</v>
      </c>
      <c r="D1776">
        <v>23100</v>
      </c>
    </row>
    <row r="1777" spans="1:4" x14ac:dyDescent="0.4">
      <c r="A1777" s="1" t="s">
        <v>3446</v>
      </c>
      <c r="B1777" t="s">
        <v>3447</v>
      </c>
      <c r="C1777" t="s">
        <v>5</v>
      </c>
      <c r="D1777">
        <v>23100</v>
      </c>
    </row>
    <row r="1778" spans="1:4" x14ac:dyDescent="0.4">
      <c r="A1778" s="1" t="s">
        <v>3448</v>
      </c>
      <c r="B1778" t="s">
        <v>3449</v>
      </c>
      <c r="C1778" t="s">
        <v>5</v>
      </c>
      <c r="D1778">
        <v>23100</v>
      </c>
    </row>
    <row r="1779" spans="1:4" x14ac:dyDescent="0.4">
      <c r="A1779" s="1" t="s">
        <v>3450</v>
      </c>
      <c r="B1779" t="s">
        <v>3451</v>
      </c>
      <c r="C1779" t="s">
        <v>5</v>
      </c>
      <c r="D1779">
        <v>13300</v>
      </c>
    </row>
    <row r="1780" spans="1:4" x14ac:dyDescent="0.4">
      <c r="A1780" s="1" t="s">
        <v>3452</v>
      </c>
      <c r="B1780" t="s">
        <v>3453</v>
      </c>
      <c r="C1780" t="s">
        <v>5</v>
      </c>
      <c r="D1780">
        <v>13300</v>
      </c>
    </row>
    <row r="1781" spans="1:4" x14ac:dyDescent="0.4">
      <c r="A1781" s="1" t="s">
        <v>3454</v>
      </c>
      <c r="B1781" t="s">
        <v>3455</v>
      </c>
      <c r="C1781" t="s">
        <v>5</v>
      </c>
      <c r="D1781">
        <v>13300</v>
      </c>
    </row>
    <row r="1782" spans="1:4" x14ac:dyDescent="0.4">
      <c r="A1782" s="1" t="s">
        <v>3456</v>
      </c>
      <c r="B1782" t="s">
        <v>3457</v>
      </c>
      <c r="C1782" t="s">
        <v>5</v>
      </c>
      <c r="D1782">
        <v>13300</v>
      </c>
    </row>
    <row r="1783" spans="1:4" x14ac:dyDescent="0.4">
      <c r="A1783" s="1" t="s">
        <v>3458</v>
      </c>
      <c r="B1783" t="s">
        <v>3459</v>
      </c>
      <c r="C1783" t="s">
        <v>5</v>
      </c>
      <c r="D1783">
        <v>21500</v>
      </c>
    </row>
    <row r="1784" spans="1:4" x14ac:dyDescent="0.4">
      <c r="A1784" s="1" t="s">
        <v>3460</v>
      </c>
      <c r="B1784" t="s">
        <v>3461</v>
      </c>
      <c r="C1784" t="s">
        <v>5</v>
      </c>
      <c r="D1784">
        <v>21500</v>
      </c>
    </row>
    <row r="1785" spans="1:4" x14ac:dyDescent="0.4">
      <c r="A1785" s="1" t="s">
        <v>3462</v>
      </c>
      <c r="B1785" t="s">
        <v>3463</v>
      </c>
      <c r="C1785" t="s">
        <v>5</v>
      </c>
      <c r="D1785">
        <v>21500</v>
      </c>
    </row>
    <row r="1786" spans="1:4" x14ac:dyDescent="0.4">
      <c r="A1786" s="1" t="s">
        <v>3464</v>
      </c>
      <c r="B1786" t="s">
        <v>3465</v>
      </c>
      <c r="C1786" t="s">
        <v>5</v>
      </c>
      <c r="D1786">
        <v>21500</v>
      </c>
    </row>
    <row r="1787" spans="1:4" x14ac:dyDescent="0.4">
      <c r="A1787" s="1" t="s">
        <v>3466</v>
      </c>
      <c r="B1787" t="s">
        <v>3467</v>
      </c>
      <c r="C1787" t="s">
        <v>5</v>
      </c>
      <c r="D1787">
        <v>21500</v>
      </c>
    </row>
    <row r="1788" spans="1:4" x14ac:dyDescent="0.4">
      <c r="A1788" s="1" t="s">
        <v>3468</v>
      </c>
      <c r="B1788" t="s">
        <v>3469</v>
      </c>
      <c r="C1788" t="s">
        <v>5</v>
      </c>
      <c r="D1788">
        <v>52700</v>
      </c>
    </row>
    <row r="1789" spans="1:4" x14ac:dyDescent="0.4">
      <c r="A1789" s="1" t="s">
        <v>3470</v>
      </c>
      <c r="B1789" t="s">
        <v>3471</v>
      </c>
      <c r="C1789" t="s">
        <v>5</v>
      </c>
      <c r="D1789">
        <v>8700</v>
      </c>
    </row>
    <row r="1790" spans="1:4" x14ac:dyDescent="0.4">
      <c r="A1790" s="1" t="s">
        <v>3472</v>
      </c>
      <c r="B1790" t="s">
        <v>3473</v>
      </c>
      <c r="C1790" t="s">
        <v>5</v>
      </c>
      <c r="D1790">
        <v>10500</v>
      </c>
    </row>
    <row r="1791" spans="1:4" x14ac:dyDescent="0.4">
      <c r="A1791" s="1" t="s">
        <v>3474</v>
      </c>
      <c r="B1791" t="s">
        <v>3475</v>
      </c>
      <c r="C1791" t="s">
        <v>5</v>
      </c>
      <c r="D1791">
        <v>10500</v>
      </c>
    </row>
    <row r="1792" spans="1:4" x14ac:dyDescent="0.4">
      <c r="A1792" s="1" t="s">
        <v>3476</v>
      </c>
      <c r="B1792" t="s">
        <v>3477</v>
      </c>
      <c r="C1792" t="s">
        <v>5</v>
      </c>
      <c r="D1792">
        <v>10500</v>
      </c>
    </row>
    <row r="1793" spans="1:4" x14ac:dyDescent="0.4">
      <c r="A1793" s="1" t="s">
        <v>3478</v>
      </c>
      <c r="B1793" t="s">
        <v>3479</v>
      </c>
      <c r="C1793" t="s">
        <v>5</v>
      </c>
      <c r="D1793">
        <v>18500</v>
      </c>
    </row>
    <row r="1794" spans="1:4" x14ac:dyDescent="0.4">
      <c r="A1794" s="1" t="s">
        <v>3480</v>
      </c>
      <c r="B1794" t="s">
        <v>3481</v>
      </c>
      <c r="C1794" t="s">
        <v>5</v>
      </c>
      <c r="D1794">
        <v>6900</v>
      </c>
    </row>
    <row r="1795" spans="1:4" x14ac:dyDescent="0.4">
      <c r="A1795" s="1" t="s">
        <v>3482</v>
      </c>
      <c r="B1795" t="s">
        <v>3483</v>
      </c>
      <c r="C1795" t="s">
        <v>5</v>
      </c>
      <c r="D1795">
        <v>16200</v>
      </c>
    </row>
    <row r="1796" spans="1:4" x14ac:dyDescent="0.4">
      <c r="A1796" s="1" t="s">
        <v>3484</v>
      </c>
      <c r="B1796" t="s">
        <v>3485</v>
      </c>
      <c r="C1796" t="s">
        <v>5</v>
      </c>
      <c r="D1796">
        <v>19700</v>
      </c>
    </row>
    <row r="1797" spans="1:4" x14ac:dyDescent="0.4">
      <c r="A1797" s="1" t="s">
        <v>3486</v>
      </c>
      <c r="B1797" t="s">
        <v>3487</v>
      </c>
      <c r="C1797" t="s">
        <v>5</v>
      </c>
      <c r="D1797">
        <v>19700</v>
      </c>
    </row>
    <row r="1798" spans="1:4" x14ac:dyDescent="0.4">
      <c r="A1798" s="1" t="s">
        <v>3488</v>
      </c>
      <c r="B1798" t="s">
        <v>3489</v>
      </c>
      <c r="C1798" t="s">
        <v>5</v>
      </c>
      <c r="D1798">
        <v>19700</v>
      </c>
    </row>
    <row r="1799" spans="1:4" x14ac:dyDescent="0.4">
      <c r="A1799" s="1" t="s">
        <v>3490</v>
      </c>
      <c r="B1799" t="s">
        <v>3491</v>
      </c>
      <c r="C1799" t="s">
        <v>5</v>
      </c>
      <c r="D1799">
        <v>34700</v>
      </c>
    </row>
    <row r="1800" spans="1:4" x14ac:dyDescent="0.4">
      <c r="A1800" s="1" t="s">
        <v>3492</v>
      </c>
      <c r="B1800" t="s">
        <v>3493</v>
      </c>
      <c r="C1800" t="s">
        <v>5</v>
      </c>
    </row>
    <row r="1801" spans="1:4" x14ac:dyDescent="0.4">
      <c r="A1801" s="1" t="s">
        <v>3494</v>
      </c>
      <c r="B1801" t="s">
        <v>3495</v>
      </c>
      <c r="C1801" t="s">
        <v>5</v>
      </c>
      <c r="D1801">
        <v>21500</v>
      </c>
    </row>
    <row r="1802" spans="1:4" x14ac:dyDescent="0.4">
      <c r="A1802" s="1" t="s">
        <v>3496</v>
      </c>
      <c r="B1802" t="s">
        <v>3497</v>
      </c>
      <c r="C1802" t="s">
        <v>5</v>
      </c>
      <c r="D1802">
        <v>21500</v>
      </c>
    </row>
    <row r="1803" spans="1:4" x14ac:dyDescent="0.4">
      <c r="A1803" s="1" t="s">
        <v>3498</v>
      </c>
      <c r="B1803" t="s">
        <v>3499</v>
      </c>
      <c r="C1803" t="s">
        <v>5</v>
      </c>
      <c r="D1803">
        <v>21500</v>
      </c>
    </row>
    <row r="1804" spans="1:4" x14ac:dyDescent="0.4">
      <c r="A1804" s="1" t="s">
        <v>3500</v>
      </c>
      <c r="B1804" t="s">
        <v>3501</v>
      </c>
      <c r="C1804" t="s">
        <v>5</v>
      </c>
      <c r="D1804">
        <v>21500</v>
      </c>
    </row>
    <row r="1805" spans="1:4" x14ac:dyDescent="0.4">
      <c r="A1805" s="1" t="s">
        <v>3502</v>
      </c>
      <c r="B1805" t="s">
        <v>3503</v>
      </c>
      <c r="C1805" t="s">
        <v>5</v>
      </c>
      <c r="D1805">
        <v>21500</v>
      </c>
    </row>
    <row r="1806" spans="1:4" x14ac:dyDescent="0.4">
      <c r="A1806" s="1" t="s">
        <v>3504</v>
      </c>
      <c r="B1806" t="s">
        <v>3505</v>
      </c>
      <c r="C1806" t="s">
        <v>5</v>
      </c>
    </row>
    <row r="1807" spans="1:4" x14ac:dyDescent="0.4">
      <c r="A1807" s="1" t="s">
        <v>3506</v>
      </c>
      <c r="B1807" t="s">
        <v>3507</v>
      </c>
      <c r="C1807" t="s">
        <v>5</v>
      </c>
      <c r="D1807">
        <v>52700</v>
      </c>
    </row>
    <row r="1808" spans="1:4" x14ac:dyDescent="0.4">
      <c r="A1808" s="1" t="s">
        <v>3508</v>
      </c>
      <c r="B1808" t="s">
        <v>3509</v>
      </c>
      <c r="C1808" t="s">
        <v>5</v>
      </c>
      <c r="D1808">
        <v>25300</v>
      </c>
    </row>
    <row r="1809" spans="1:4" x14ac:dyDescent="0.4">
      <c r="A1809" s="1" t="s">
        <v>3510</v>
      </c>
      <c r="B1809" t="s">
        <v>3511</v>
      </c>
      <c r="C1809" t="s">
        <v>5</v>
      </c>
      <c r="D1809">
        <v>25300</v>
      </c>
    </row>
    <row r="1810" spans="1:4" x14ac:dyDescent="0.4">
      <c r="A1810" s="1" t="s">
        <v>3512</v>
      </c>
      <c r="B1810" t="s">
        <v>3513</v>
      </c>
      <c r="C1810" t="s">
        <v>5</v>
      </c>
      <c r="D1810">
        <v>21500</v>
      </c>
    </row>
    <row r="1811" spans="1:4" x14ac:dyDescent="0.4">
      <c r="A1811" s="1" t="s">
        <v>3514</v>
      </c>
      <c r="B1811" t="s">
        <v>3515</v>
      </c>
      <c r="C1811" t="s">
        <v>5</v>
      </c>
      <c r="D1811">
        <v>21500</v>
      </c>
    </row>
    <row r="1812" spans="1:4" x14ac:dyDescent="0.4">
      <c r="A1812" s="1" t="s">
        <v>3516</v>
      </c>
      <c r="B1812" t="s">
        <v>3517</v>
      </c>
      <c r="C1812" t="s">
        <v>5</v>
      </c>
      <c r="D1812">
        <v>21500</v>
      </c>
    </row>
    <row r="1813" spans="1:4" x14ac:dyDescent="0.4">
      <c r="A1813" s="1" t="s">
        <v>3518</v>
      </c>
      <c r="B1813" t="s">
        <v>3519</v>
      </c>
      <c r="C1813" t="s">
        <v>5</v>
      </c>
      <c r="D1813">
        <v>21500</v>
      </c>
    </row>
    <row r="1814" spans="1:4" x14ac:dyDescent="0.4">
      <c r="A1814" s="1" t="s">
        <v>3520</v>
      </c>
      <c r="B1814" t="s">
        <v>3521</v>
      </c>
      <c r="C1814" t="s">
        <v>5</v>
      </c>
      <c r="D1814">
        <v>21500</v>
      </c>
    </row>
    <row r="1815" spans="1:4" x14ac:dyDescent="0.4">
      <c r="A1815" s="1" t="s">
        <v>3522</v>
      </c>
      <c r="B1815" t="s">
        <v>3523</v>
      </c>
      <c r="C1815" t="s">
        <v>5</v>
      </c>
      <c r="D1815">
        <v>28000</v>
      </c>
    </row>
    <row r="1816" spans="1:4" x14ac:dyDescent="0.4">
      <c r="A1816" s="1" t="s">
        <v>3524</v>
      </c>
      <c r="B1816" t="s">
        <v>3525</v>
      </c>
      <c r="C1816" t="s">
        <v>5</v>
      </c>
      <c r="D1816">
        <v>5300</v>
      </c>
    </row>
    <row r="1817" spans="1:4" x14ac:dyDescent="0.4">
      <c r="A1817" s="1" t="s">
        <v>3526</v>
      </c>
      <c r="B1817" t="s">
        <v>3527</v>
      </c>
      <c r="C1817" t="s">
        <v>5</v>
      </c>
      <c r="D1817">
        <v>6300</v>
      </c>
    </row>
    <row r="1818" spans="1:4" x14ac:dyDescent="0.4">
      <c r="A1818" s="1" t="s">
        <v>3528</v>
      </c>
      <c r="B1818" t="s">
        <v>3529</v>
      </c>
      <c r="C1818" t="s">
        <v>5</v>
      </c>
      <c r="D1818">
        <v>14700</v>
      </c>
    </row>
    <row r="1819" spans="1:4" x14ac:dyDescent="0.4">
      <c r="A1819" s="1" t="s">
        <v>3530</v>
      </c>
      <c r="B1819" t="s">
        <v>3531</v>
      </c>
      <c r="C1819" t="s">
        <v>5</v>
      </c>
      <c r="D1819">
        <v>5300</v>
      </c>
    </row>
    <row r="1820" spans="1:4" x14ac:dyDescent="0.4">
      <c r="A1820" s="1" t="s">
        <v>3532</v>
      </c>
      <c r="B1820" t="s">
        <v>3533</v>
      </c>
      <c r="C1820" t="s">
        <v>5</v>
      </c>
      <c r="D1820">
        <v>5300</v>
      </c>
    </row>
    <row r="1821" spans="1:4" x14ac:dyDescent="0.4">
      <c r="A1821" s="1" t="s">
        <v>3534</v>
      </c>
      <c r="B1821" t="s">
        <v>3535</v>
      </c>
      <c r="C1821" t="s">
        <v>5</v>
      </c>
      <c r="D1821">
        <v>2000</v>
      </c>
    </row>
    <row r="1822" spans="1:4" x14ac:dyDescent="0.4">
      <c r="A1822" s="1" t="s">
        <v>3536</v>
      </c>
      <c r="B1822" t="s">
        <v>3537</v>
      </c>
      <c r="C1822" t="s">
        <v>5</v>
      </c>
      <c r="D1822">
        <v>5500</v>
      </c>
    </row>
    <row r="1823" spans="1:4" x14ac:dyDescent="0.4">
      <c r="A1823" s="1" t="s">
        <v>3538</v>
      </c>
      <c r="B1823" t="e">
        <f>-終息-XEROX CWAA0491 ﾄﾅｰ回収ﾎﾞﾄﾙ</f>
        <v>#NAME?</v>
      </c>
      <c r="C1823" t="s">
        <v>5</v>
      </c>
      <c r="D1823">
        <v>2400</v>
      </c>
    </row>
    <row r="1824" spans="1:4" x14ac:dyDescent="0.4">
      <c r="A1824" s="1" t="s">
        <v>3539</v>
      </c>
      <c r="B1824" t="s">
        <v>3540</v>
      </c>
      <c r="C1824" t="s">
        <v>5</v>
      </c>
      <c r="D1824">
        <v>13900</v>
      </c>
    </row>
    <row r="1825" spans="1:4" x14ac:dyDescent="0.4">
      <c r="A1825" s="1" t="s">
        <v>3541</v>
      </c>
      <c r="B1825" t="s">
        <v>3542</v>
      </c>
      <c r="C1825" t="s">
        <v>5</v>
      </c>
      <c r="D1825">
        <v>5500</v>
      </c>
    </row>
    <row r="1826" spans="1:4" x14ac:dyDescent="0.4">
      <c r="A1826" s="1" t="s">
        <v>3543</v>
      </c>
      <c r="B1826" t="s">
        <v>3544</v>
      </c>
      <c r="C1826" t="s">
        <v>5</v>
      </c>
      <c r="D1826">
        <v>3500</v>
      </c>
    </row>
    <row r="1827" spans="1:4" x14ac:dyDescent="0.4">
      <c r="A1827" s="1" t="s">
        <v>3545</v>
      </c>
      <c r="B1827" t="s">
        <v>3546</v>
      </c>
      <c r="C1827" t="s">
        <v>5</v>
      </c>
      <c r="D1827">
        <v>15100</v>
      </c>
    </row>
    <row r="1828" spans="1:4" x14ac:dyDescent="0.4">
      <c r="A1828" s="1" t="s">
        <v>3547</v>
      </c>
      <c r="B1828" t="s">
        <v>3548</v>
      </c>
      <c r="C1828" t="s">
        <v>5</v>
      </c>
      <c r="D1828">
        <v>4400</v>
      </c>
    </row>
    <row r="1829" spans="1:4" x14ac:dyDescent="0.4">
      <c r="A1829" s="1" t="s">
        <v>3549</v>
      </c>
      <c r="B1829" t="s">
        <v>3550</v>
      </c>
      <c r="C1829" t="s">
        <v>5</v>
      </c>
    </row>
    <row r="1830" spans="1:4" x14ac:dyDescent="0.4">
      <c r="A1830" s="1" t="s">
        <v>3551</v>
      </c>
      <c r="B1830" t="s">
        <v>3552</v>
      </c>
      <c r="C1830" t="s">
        <v>5</v>
      </c>
      <c r="D1830">
        <v>3500</v>
      </c>
    </row>
    <row r="1831" spans="1:4" x14ac:dyDescent="0.4">
      <c r="A1831" s="1" t="s">
        <v>3553</v>
      </c>
      <c r="B1831" t="s">
        <v>3554</v>
      </c>
      <c r="C1831" t="s">
        <v>5</v>
      </c>
      <c r="D1831">
        <v>13900</v>
      </c>
    </row>
    <row r="1832" spans="1:4" x14ac:dyDescent="0.4">
      <c r="A1832" s="1" t="s">
        <v>3555</v>
      </c>
      <c r="B1832" t="e">
        <f>-終息-XEROX CWAA0766 ﾌｭｰｻﾞｰﾕﾆｯﾄ</f>
        <v>#NAME?</v>
      </c>
      <c r="C1832" t="s">
        <v>5</v>
      </c>
      <c r="D1832">
        <v>17400</v>
      </c>
    </row>
    <row r="1833" spans="1:4" x14ac:dyDescent="0.4">
      <c r="A1833" s="1" t="s">
        <v>3556</v>
      </c>
      <c r="B1833" t="s">
        <v>3557</v>
      </c>
      <c r="C1833" t="s">
        <v>5</v>
      </c>
      <c r="D1833">
        <v>3500</v>
      </c>
    </row>
    <row r="1834" spans="1:4" x14ac:dyDescent="0.4">
      <c r="A1834" s="1" t="s">
        <v>3558</v>
      </c>
      <c r="B1834" t="s">
        <v>3559</v>
      </c>
      <c r="C1834" t="s">
        <v>5</v>
      </c>
    </row>
    <row r="1835" spans="1:4" x14ac:dyDescent="0.4">
      <c r="A1835" s="1" t="s">
        <v>3560</v>
      </c>
      <c r="B1835" t="s">
        <v>3561</v>
      </c>
      <c r="C1835" t="s">
        <v>5</v>
      </c>
      <c r="D1835">
        <v>33000</v>
      </c>
    </row>
    <row r="1836" spans="1:4" x14ac:dyDescent="0.4">
      <c r="A1836" s="1" t="s">
        <v>3562</v>
      </c>
      <c r="B1836" t="s">
        <v>3563</v>
      </c>
      <c r="C1836" t="s">
        <v>5</v>
      </c>
      <c r="D1836">
        <v>3500</v>
      </c>
    </row>
    <row r="1837" spans="1:4" x14ac:dyDescent="0.4">
      <c r="A1837" s="1" t="s">
        <v>3564</v>
      </c>
      <c r="B1837" t="s">
        <v>3565</v>
      </c>
      <c r="C1837" t="s">
        <v>5</v>
      </c>
      <c r="D1837">
        <v>7300</v>
      </c>
    </row>
    <row r="1838" spans="1:4" x14ac:dyDescent="0.4">
      <c r="A1838" s="1" t="s">
        <v>3566</v>
      </c>
      <c r="B1838" t="s">
        <v>3567</v>
      </c>
      <c r="C1838" t="s">
        <v>5</v>
      </c>
      <c r="D1838">
        <v>3700</v>
      </c>
    </row>
    <row r="1839" spans="1:4" x14ac:dyDescent="0.4">
      <c r="A1839" s="1" t="s">
        <v>3568</v>
      </c>
      <c r="B1839" t="e">
        <f>-終息-XEROX CWAA0869</f>
        <v>#NAME?</v>
      </c>
      <c r="C1839" t="s">
        <v>5</v>
      </c>
    </row>
    <row r="1840" spans="1:4" x14ac:dyDescent="0.4">
      <c r="A1840" s="1" t="s">
        <v>3569</v>
      </c>
      <c r="B1840" t="s">
        <v>3570</v>
      </c>
      <c r="C1840" t="s">
        <v>5</v>
      </c>
    </row>
    <row r="1841" spans="1:4" x14ac:dyDescent="0.4">
      <c r="A1841" s="1" t="s">
        <v>3571</v>
      </c>
      <c r="B1841" t="s">
        <v>3572</v>
      </c>
      <c r="C1841" t="s">
        <v>5</v>
      </c>
    </row>
    <row r="1842" spans="1:4" x14ac:dyDescent="0.4">
      <c r="A1842" s="1" t="s">
        <v>3573</v>
      </c>
      <c r="B1842" t="s">
        <v>3574</v>
      </c>
      <c r="C1842" t="s">
        <v>5</v>
      </c>
    </row>
    <row r="1843" spans="1:4" x14ac:dyDescent="0.4">
      <c r="A1843" s="1" t="s">
        <v>3575</v>
      </c>
      <c r="B1843" t="s">
        <v>3576</v>
      </c>
      <c r="C1843" t="s">
        <v>5</v>
      </c>
      <c r="D1843">
        <v>3500</v>
      </c>
    </row>
    <row r="1844" spans="1:4" x14ac:dyDescent="0.4">
      <c r="A1844" s="1" t="s">
        <v>3577</v>
      </c>
      <c r="B1844" t="s">
        <v>3578</v>
      </c>
      <c r="C1844" t="s">
        <v>5</v>
      </c>
      <c r="D1844">
        <v>3700</v>
      </c>
    </row>
    <row r="1845" spans="1:4" x14ac:dyDescent="0.4">
      <c r="A1845" s="1" t="s">
        <v>3579</v>
      </c>
      <c r="B1845" t="s">
        <v>3580</v>
      </c>
      <c r="C1845" t="s">
        <v>5</v>
      </c>
      <c r="D1845">
        <v>6400</v>
      </c>
    </row>
    <row r="1846" spans="1:4" x14ac:dyDescent="0.4">
      <c r="A1846" s="1" t="s">
        <v>3581</v>
      </c>
      <c r="B1846" t="s">
        <v>3582</v>
      </c>
      <c r="C1846" t="s">
        <v>5</v>
      </c>
      <c r="D1846">
        <v>2900</v>
      </c>
    </row>
    <row r="1847" spans="1:4" x14ac:dyDescent="0.4">
      <c r="A1847" s="1" t="s">
        <v>3583</v>
      </c>
      <c r="B1847" t="s">
        <v>3584</v>
      </c>
      <c r="C1847" t="s">
        <v>5</v>
      </c>
    </row>
    <row r="1848" spans="1:4" x14ac:dyDescent="0.4">
      <c r="A1848" s="1" t="s">
        <v>3585</v>
      </c>
      <c r="B1848" t="s">
        <v>3586</v>
      </c>
      <c r="C1848" t="s">
        <v>5</v>
      </c>
      <c r="D1848">
        <v>2300</v>
      </c>
    </row>
    <row r="1849" spans="1:4" x14ac:dyDescent="0.4">
      <c r="A1849" s="1" t="s">
        <v>3587</v>
      </c>
      <c r="B1849" t="s">
        <v>3588</v>
      </c>
      <c r="C1849" t="s">
        <v>5</v>
      </c>
      <c r="D1849">
        <v>3500</v>
      </c>
    </row>
    <row r="1850" spans="1:4" x14ac:dyDescent="0.4">
      <c r="A1850" s="1" t="s">
        <v>3589</v>
      </c>
      <c r="B1850" t="s">
        <v>3590</v>
      </c>
      <c r="C1850" t="s">
        <v>5</v>
      </c>
      <c r="D1850">
        <v>6400</v>
      </c>
    </row>
    <row r="1851" spans="1:4" x14ac:dyDescent="0.4">
      <c r="A1851" s="1" t="s">
        <v>3591</v>
      </c>
      <c r="B1851" t="s">
        <v>3592</v>
      </c>
      <c r="C1851" t="s">
        <v>5</v>
      </c>
      <c r="D1851">
        <v>2800</v>
      </c>
    </row>
    <row r="1852" spans="1:4" x14ac:dyDescent="0.4">
      <c r="A1852" s="1" t="s">
        <v>3593</v>
      </c>
      <c r="B1852" t="s">
        <v>3594</v>
      </c>
      <c r="C1852" t="s">
        <v>5</v>
      </c>
      <c r="D1852">
        <v>2300</v>
      </c>
    </row>
    <row r="1853" spans="1:4" x14ac:dyDescent="0.4">
      <c r="A1853" s="1" t="s">
        <v>3595</v>
      </c>
      <c r="B1853" t="s">
        <v>3596</v>
      </c>
      <c r="C1853" t="s">
        <v>5</v>
      </c>
      <c r="D1853">
        <v>4100</v>
      </c>
    </row>
    <row r="1854" spans="1:4" x14ac:dyDescent="0.4">
      <c r="A1854" s="1" t="s">
        <v>3597</v>
      </c>
      <c r="B1854" t="s">
        <v>3598</v>
      </c>
      <c r="C1854" t="s">
        <v>5</v>
      </c>
      <c r="D1854">
        <v>4100</v>
      </c>
    </row>
    <row r="1855" spans="1:4" x14ac:dyDescent="0.4">
      <c r="A1855" s="1" t="s">
        <v>3599</v>
      </c>
      <c r="B1855" t="s">
        <v>3600</v>
      </c>
      <c r="C1855" t="s">
        <v>5</v>
      </c>
      <c r="D1855">
        <v>4100</v>
      </c>
    </row>
    <row r="1856" spans="1:4" x14ac:dyDescent="0.4">
      <c r="A1856" s="1" t="s">
        <v>3601</v>
      </c>
      <c r="B1856" t="s">
        <v>3602</v>
      </c>
      <c r="C1856" t="s">
        <v>5</v>
      </c>
      <c r="D1856">
        <v>8100</v>
      </c>
    </row>
    <row r="1857" spans="1:4" x14ac:dyDescent="0.4">
      <c r="A1857" s="1" t="s">
        <v>3603</v>
      </c>
      <c r="B1857" t="s">
        <v>3604</v>
      </c>
      <c r="C1857" t="s">
        <v>5</v>
      </c>
      <c r="D1857">
        <v>8100</v>
      </c>
    </row>
    <row r="1858" spans="1:4" x14ac:dyDescent="0.4">
      <c r="A1858" s="1" t="s">
        <v>3605</v>
      </c>
      <c r="B1858" t="s">
        <v>3606</v>
      </c>
      <c r="C1858" t="s">
        <v>5</v>
      </c>
      <c r="D1858">
        <v>8100</v>
      </c>
    </row>
    <row r="1859" spans="1:4" x14ac:dyDescent="0.4">
      <c r="A1859" s="1" t="s">
        <v>3607</v>
      </c>
      <c r="B1859" t="s">
        <v>3608</v>
      </c>
      <c r="C1859" t="s">
        <v>5</v>
      </c>
      <c r="D1859">
        <v>76127</v>
      </c>
    </row>
    <row r="1860" spans="1:4" x14ac:dyDescent="0.4">
      <c r="A1860" s="1" t="s">
        <v>3609</v>
      </c>
      <c r="B1860" t="s">
        <v>3610</v>
      </c>
      <c r="C1860" t="s">
        <v>5</v>
      </c>
    </row>
    <row r="1861" spans="1:4" x14ac:dyDescent="0.4">
      <c r="A1861" s="1" t="s">
        <v>3611</v>
      </c>
      <c r="B1861" t="s">
        <v>3612</v>
      </c>
      <c r="C1861" t="s">
        <v>5</v>
      </c>
    </row>
    <row r="1862" spans="1:4" x14ac:dyDescent="0.4">
      <c r="A1862" s="1" t="s">
        <v>3613</v>
      </c>
      <c r="B1862" t="s">
        <v>3614</v>
      </c>
      <c r="C1862" t="s">
        <v>5</v>
      </c>
    </row>
    <row r="1863" spans="1:4" x14ac:dyDescent="0.4">
      <c r="A1863" s="1" t="s">
        <v>3615</v>
      </c>
      <c r="B1863" t="s">
        <v>3616</v>
      </c>
      <c r="C1863" t="s">
        <v>5</v>
      </c>
    </row>
    <row r="1864" spans="1:4" x14ac:dyDescent="0.4">
      <c r="A1864" s="1" t="s">
        <v>3617</v>
      </c>
      <c r="B1864" t="s">
        <v>3618</v>
      </c>
      <c r="C1864" t="s">
        <v>5</v>
      </c>
      <c r="D1864">
        <v>19800</v>
      </c>
    </row>
    <row r="1865" spans="1:4" x14ac:dyDescent="0.4">
      <c r="A1865" s="1" t="s">
        <v>3619</v>
      </c>
      <c r="B1865" t="s">
        <v>3620</v>
      </c>
      <c r="C1865" t="s">
        <v>5</v>
      </c>
      <c r="D1865">
        <v>37800</v>
      </c>
    </row>
    <row r="1866" spans="1:4" x14ac:dyDescent="0.4">
      <c r="A1866" s="1" t="s">
        <v>3621</v>
      </c>
      <c r="B1866" t="s">
        <v>3622</v>
      </c>
      <c r="C1866" t="s">
        <v>5</v>
      </c>
      <c r="D1866">
        <v>17300</v>
      </c>
    </row>
    <row r="1867" spans="1:4" x14ac:dyDescent="0.4">
      <c r="A1867" s="1" t="s">
        <v>3623</v>
      </c>
      <c r="B1867" t="s">
        <v>3624</v>
      </c>
      <c r="C1867" t="s">
        <v>5</v>
      </c>
      <c r="D1867">
        <v>17300</v>
      </c>
    </row>
    <row r="1868" spans="1:4" x14ac:dyDescent="0.4">
      <c r="A1868" s="1" t="s">
        <v>3625</v>
      </c>
      <c r="B1868" t="s">
        <v>3626</v>
      </c>
      <c r="C1868" t="s">
        <v>5</v>
      </c>
      <c r="D1868">
        <v>17300</v>
      </c>
    </row>
    <row r="1869" spans="1:4" x14ac:dyDescent="0.4">
      <c r="A1869" s="1" t="s">
        <v>3627</v>
      </c>
      <c r="B1869" t="s">
        <v>3628</v>
      </c>
      <c r="C1869" t="s">
        <v>5</v>
      </c>
      <c r="D1869">
        <v>17300</v>
      </c>
    </row>
    <row r="1870" spans="1:4" x14ac:dyDescent="0.4">
      <c r="A1870" s="1" t="s">
        <v>3629</v>
      </c>
      <c r="B1870" t="s">
        <v>3630</v>
      </c>
      <c r="C1870" t="s">
        <v>5</v>
      </c>
      <c r="D1870">
        <v>15000</v>
      </c>
    </row>
    <row r="1871" spans="1:4" x14ac:dyDescent="0.4">
      <c r="A1871" s="1" t="s">
        <v>3631</v>
      </c>
      <c r="B1871" t="s">
        <v>3632</v>
      </c>
      <c r="C1871" t="s">
        <v>5</v>
      </c>
      <c r="D1871">
        <v>38000</v>
      </c>
    </row>
    <row r="1872" spans="1:4" x14ac:dyDescent="0.4">
      <c r="A1872" s="1" t="s">
        <v>3633</v>
      </c>
      <c r="B1872" t="e">
        <f>-終息-Panasonic DE-1005</f>
        <v>#NAME?</v>
      </c>
      <c r="C1872" t="s">
        <v>5</v>
      </c>
    </row>
    <row r="1873" spans="1:4" x14ac:dyDescent="0.4">
      <c r="A1873" s="1" t="s">
        <v>3634</v>
      </c>
      <c r="B1873" t="s">
        <v>3635</v>
      </c>
      <c r="C1873" t="s">
        <v>5</v>
      </c>
      <c r="D1873">
        <v>19000</v>
      </c>
    </row>
    <row r="1874" spans="1:4" x14ac:dyDescent="0.4">
      <c r="A1874" s="1" t="s">
        <v>3636</v>
      </c>
      <c r="B1874" t="s">
        <v>3637</v>
      </c>
      <c r="C1874" t="s">
        <v>5</v>
      </c>
      <c r="D1874">
        <v>8000</v>
      </c>
    </row>
    <row r="1875" spans="1:4" x14ac:dyDescent="0.4">
      <c r="A1875" s="1" t="s">
        <v>3638</v>
      </c>
      <c r="B1875" t="s">
        <v>3639</v>
      </c>
      <c r="C1875" t="s">
        <v>5</v>
      </c>
      <c r="D1875">
        <v>18700</v>
      </c>
    </row>
    <row r="1876" spans="1:4" x14ac:dyDescent="0.4">
      <c r="A1876" s="1" t="s">
        <v>3640</v>
      </c>
      <c r="B1876" t="s">
        <v>3641</v>
      </c>
      <c r="C1876" t="s">
        <v>5</v>
      </c>
      <c r="D1876">
        <v>82500</v>
      </c>
    </row>
    <row r="1877" spans="1:4" x14ac:dyDescent="0.4">
      <c r="A1877" s="1" t="s">
        <v>3642</v>
      </c>
      <c r="B1877" t="s">
        <v>3643</v>
      </c>
      <c r="C1877" t="s">
        <v>5</v>
      </c>
      <c r="D1877">
        <v>82500</v>
      </c>
    </row>
    <row r="1878" spans="1:4" x14ac:dyDescent="0.4">
      <c r="A1878" s="1" t="s">
        <v>3644</v>
      </c>
      <c r="B1878" t="s">
        <v>3645</v>
      </c>
      <c r="C1878" t="s">
        <v>5</v>
      </c>
      <c r="D1878">
        <v>82500</v>
      </c>
    </row>
    <row r="1879" spans="1:4" x14ac:dyDescent="0.4">
      <c r="A1879" s="1" t="s">
        <v>3646</v>
      </c>
      <c r="B1879" t="s">
        <v>3647</v>
      </c>
      <c r="C1879" t="s">
        <v>5</v>
      </c>
      <c r="D1879">
        <v>82500</v>
      </c>
    </row>
    <row r="1880" spans="1:4" x14ac:dyDescent="0.4">
      <c r="A1880" s="1" t="s">
        <v>3648</v>
      </c>
      <c r="B1880" t="s">
        <v>3649</v>
      </c>
      <c r="C1880" t="s">
        <v>5</v>
      </c>
      <c r="D1880">
        <v>80000</v>
      </c>
    </row>
    <row r="1881" spans="1:4" x14ac:dyDescent="0.4">
      <c r="A1881" s="1" t="s">
        <v>3650</v>
      </c>
      <c r="B1881" t="s">
        <v>3651</v>
      </c>
      <c r="C1881" t="s">
        <v>5</v>
      </c>
      <c r="D1881">
        <v>19000</v>
      </c>
    </row>
    <row r="1882" spans="1:4" x14ac:dyDescent="0.4">
      <c r="A1882" s="1" t="s">
        <v>3652</v>
      </c>
      <c r="B1882" t="s">
        <v>3653</v>
      </c>
    </row>
    <row r="1883" spans="1:4" x14ac:dyDescent="0.4">
      <c r="A1883" s="1" t="s">
        <v>3654</v>
      </c>
      <c r="B1883" t="s">
        <v>3655</v>
      </c>
      <c r="C1883" t="s">
        <v>5</v>
      </c>
      <c r="D1883">
        <v>4460</v>
      </c>
    </row>
    <row r="1884" spans="1:4" x14ac:dyDescent="0.4">
      <c r="A1884" s="1" t="s">
        <v>3656</v>
      </c>
      <c r="B1884" t="s">
        <v>3657</v>
      </c>
      <c r="C1884" t="s">
        <v>5</v>
      </c>
      <c r="D1884">
        <v>2220</v>
      </c>
    </row>
    <row r="1885" spans="1:4" x14ac:dyDescent="0.4">
      <c r="A1885" s="1" t="s">
        <v>3658</v>
      </c>
      <c r="B1885" t="s">
        <v>3659</v>
      </c>
      <c r="C1885" t="s">
        <v>5</v>
      </c>
      <c r="D1885">
        <v>15770</v>
      </c>
    </row>
    <row r="1886" spans="1:4" x14ac:dyDescent="0.4">
      <c r="A1886" s="1" t="s">
        <v>3660</v>
      </c>
      <c r="B1886" t="s">
        <v>3661</v>
      </c>
      <c r="C1886" t="s">
        <v>5</v>
      </c>
      <c r="D1886">
        <v>15770</v>
      </c>
    </row>
    <row r="1887" spans="1:4" x14ac:dyDescent="0.4">
      <c r="A1887" s="1" t="s">
        <v>3662</v>
      </c>
      <c r="B1887" t="s">
        <v>3663</v>
      </c>
      <c r="C1887" t="s">
        <v>5</v>
      </c>
      <c r="D1887">
        <v>15770</v>
      </c>
    </row>
    <row r="1888" spans="1:4" x14ac:dyDescent="0.4">
      <c r="A1888" s="1" t="s">
        <v>3664</v>
      </c>
      <c r="B1888" t="s">
        <v>3665</v>
      </c>
      <c r="C1888" t="s">
        <v>5</v>
      </c>
      <c r="D1888">
        <v>15770</v>
      </c>
    </row>
    <row r="1889" spans="1:4" x14ac:dyDescent="0.4">
      <c r="A1889" s="1" t="s">
        <v>3666</v>
      </c>
      <c r="B1889" t="s">
        <v>3667</v>
      </c>
      <c r="C1889" t="s">
        <v>5</v>
      </c>
      <c r="D1889">
        <v>14390</v>
      </c>
    </row>
    <row r="1890" spans="1:4" x14ac:dyDescent="0.4">
      <c r="A1890" s="1" t="s">
        <v>3668</v>
      </c>
      <c r="B1890" t="s">
        <v>3669</v>
      </c>
      <c r="C1890" t="s">
        <v>5</v>
      </c>
      <c r="D1890">
        <v>14390</v>
      </c>
    </row>
    <row r="1891" spans="1:4" x14ac:dyDescent="0.4">
      <c r="A1891" s="1" t="s">
        <v>3670</v>
      </c>
      <c r="B1891" t="s">
        <v>3671</v>
      </c>
      <c r="C1891" t="s">
        <v>5</v>
      </c>
      <c r="D1891">
        <v>14390</v>
      </c>
    </row>
    <row r="1892" spans="1:4" x14ac:dyDescent="0.4">
      <c r="A1892" s="1" t="s">
        <v>3672</v>
      </c>
      <c r="B1892" t="s">
        <v>3673</v>
      </c>
      <c r="C1892" t="s">
        <v>5</v>
      </c>
      <c r="D1892">
        <v>14390</v>
      </c>
    </row>
    <row r="1893" spans="1:4" x14ac:dyDescent="0.4">
      <c r="A1893" s="1" t="s">
        <v>3674</v>
      </c>
      <c r="B1893" t="s">
        <v>3675</v>
      </c>
      <c r="C1893" t="s">
        <v>5</v>
      </c>
      <c r="D1893">
        <v>14390</v>
      </c>
    </row>
    <row r="1894" spans="1:4" x14ac:dyDescent="0.4">
      <c r="A1894" s="1" t="s">
        <v>3676</v>
      </c>
      <c r="B1894" t="s">
        <v>3677</v>
      </c>
      <c r="C1894" t="s">
        <v>5</v>
      </c>
      <c r="D1894">
        <v>14390</v>
      </c>
    </row>
    <row r="1895" spans="1:4" x14ac:dyDescent="0.4">
      <c r="A1895" s="1" t="s">
        <v>3678</v>
      </c>
      <c r="B1895" t="s">
        <v>3679</v>
      </c>
      <c r="C1895" t="s">
        <v>5</v>
      </c>
      <c r="D1895">
        <v>14390</v>
      </c>
    </row>
    <row r="1896" spans="1:4" x14ac:dyDescent="0.4">
      <c r="A1896" s="1" t="s">
        <v>3680</v>
      </c>
      <c r="B1896" t="s">
        <v>3681</v>
      </c>
      <c r="C1896" t="s">
        <v>5</v>
      </c>
      <c r="D1896">
        <v>14390</v>
      </c>
    </row>
    <row r="1897" spans="1:4" x14ac:dyDescent="0.4">
      <c r="A1897" s="1" t="s">
        <v>3682</v>
      </c>
      <c r="B1897" t="s">
        <v>3683</v>
      </c>
      <c r="C1897" t="s">
        <v>5</v>
      </c>
      <c r="D1897">
        <v>8800</v>
      </c>
    </row>
    <row r="1898" spans="1:4" x14ac:dyDescent="0.4">
      <c r="A1898" s="1" t="s">
        <v>3684</v>
      </c>
      <c r="B1898" t="s">
        <v>3685</v>
      </c>
      <c r="C1898" t="s">
        <v>5</v>
      </c>
      <c r="D1898">
        <v>88800</v>
      </c>
    </row>
    <row r="1899" spans="1:4" x14ac:dyDescent="0.4">
      <c r="A1899" s="1" t="s">
        <v>3686</v>
      </c>
      <c r="B1899" t="s">
        <v>3687</v>
      </c>
      <c r="C1899" t="s">
        <v>5</v>
      </c>
    </row>
    <row r="1900" spans="1:4" x14ac:dyDescent="0.4">
      <c r="A1900" s="1" t="s">
        <v>3688</v>
      </c>
      <c r="B1900" t="s">
        <v>3689</v>
      </c>
      <c r="C1900" t="s">
        <v>5</v>
      </c>
    </row>
    <row r="1901" spans="1:4" x14ac:dyDescent="0.4">
      <c r="A1901" s="1" t="s">
        <v>3690</v>
      </c>
      <c r="B1901" t="s">
        <v>3691</v>
      </c>
      <c r="C1901" t="s">
        <v>5</v>
      </c>
      <c r="D1901">
        <v>8700</v>
      </c>
    </row>
    <row r="1902" spans="1:4" x14ac:dyDescent="0.4">
      <c r="A1902" s="1" t="s">
        <v>3692</v>
      </c>
      <c r="B1902" t="s">
        <v>3693</v>
      </c>
      <c r="C1902" t="s">
        <v>5</v>
      </c>
      <c r="D1902">
        <v>35000</v>
      </c>
    </row>
    <row r="1903" spans="1:4" x14ac:dyDescent="0.4">
      <c r="A1903" s="1" t="s">
        <v>3694</v>
      </c>
      <c r="B1903" t="s">
        <v>3695</v>
      </c>
      <c r="C1903" t="s">
        <v>5</v>
      </c>
      <c r="D1903">
        <v>12600</v>
      </c>
    </row>
    <row r="1904" spans="1:4" x14ac:dyDescent="0.4">
      <c r="A1904" s="1" t="s">
        <v>3696</v>
      </c>
      <c r="B1904" t="s">
        <v>3697</v>
      </c>
      <c r="C1904" t="s">
        <v>5</v>
      </c>
      <c r="D1904">
        <v>12600</v>
      </c>
    </row>
    <row r="1905" spans="1:4" x14ac:dyDescent="0.4">
      <c r="A1905" s="1" t="s">
        <v>3698</v>
      </c>
      <c r="B1905" t="s">
        <v>3699</v>
      </c>
      <c r="C1905" t="s">
        <v>5</v>
      </c>
      <c r="D1905">
        <v>13100</v>
      </c>
    </row>
    <row r="1906" spans="1:4" x14ac:dyDescent="0.4">
      <c r="A1906" s="1" t="s">
        <v>3700</v>
      </c>
      <c r="B1906" t="s">
        <v>3701</v>
      </c>
      <c r="C1906" t="s">
        <v>5</v>
      </c>
      <c r="D1906">
        <v>10300</v>
      </c>
    </row>
    <row r="1907" spans="1:4" x14ac:dyDescent="0.4">
      <c r="A1907" s="1" t="s">
        <v>3702</v>
      </c>
      <c r="B1907" t="s">
        <v>3703</v>
      </c>
      <c r="C1907" t="s">
        <v>5</v>
      </c>
    </row>
    <row r="1908" spans="1:4" x14ac:dyDescent="0.4">
      <c r="A1908" s="1" t="s">
        <v>3704</v>
      </c>
      <c r="B1908" t="s">
        <v>3705</v>
      </c>
      <c r="C1908" t="s">
        <v>5</v>
      </c>
      <c r="D1908">
        <v>12100</v>
      </c>
    </row>
    <row r="1909" spans="1:4" x14ac:dyDescent="0.4">
      <c r="A1909" s="1" t="s">
        <v>3706</v>
      </c>
      <c r="B1909" t="s">
        <v>3707</v>
      </c>
      <c r="C1909" t="s">
        <v>5</v>
      </c>
      <c r="D1909">
        <v>4500</v>
      </c>
    </row>
    <row r="1910" spans="1:4" x14ac:dyDescent="0.4">
      <c r="A1910" s="1" t="s">
        <v>3708</v>
      </c>
      <c r="B1910" t="s">
        <v>3709</v>
      </c>
      <c r="C1910" t="s">
        <v>5</v>
      </c>
      <c r="D1910">
        <v>4500</v>
      </c>
    </row>
    <row r="1911" spans="1:4" x14ac:dyDescent="0.4">
      <c r="A1911" s="1" t="s">
        <v>3710</v>
      </c>
      <c r="B1911" t="s">
        <v>3711</v>
      </c>
      <c r="C1911" t="s">
        <v>5</v>
      </c>
    </row>
    <row r="1912" spans="1:4" x14ac:dyDescent="0.4">
      <c r="A1912" s="1" t="s">
        <v>3712</v>
      </c>
      <c r="B1912" t="s">
        <v>3713</v>
      </c>
      <c r="C1912" t="s">
        <v>5</v>
      </c>
    </row>
    <row r="1913" spans="1:4" x14ac:dyDescent="0.4">
      <c r="A1913" s="1" t="s">
        <v>3714</v>
      </c>
      <c r="B1913" t="s">
        <v>3715</v>
      </c>
      <c r="C1913" t="s">
        <v>5</v>
      </c>
    </row>
    <row r="1914" spans="1:4" x14ac:dyDescent="0.4">
      <c r="A1914" s="1" t="s">
        <v>3716</v>
      </c>
      <c r="B1914" t="s">
        <v>3717</v>
      </c>
      <c r="C1914" t="s">
        <v>5</v>
      </c>
    </row>
    <row r="1915" spans="1:4" x14ac:dyDescent="0.4">
      <c r="A1915" s="1" t="s">
        <v>3718</v>
      </c>
      <c r="B1915" t="s">
        <v>3719</v>
      </c>
      <c r="C1915" t="s">
        <v>5</v>
      </c>
      <c r="D1915">
        <v>26250</v>
      </c>
    </row>
    <row r="1916" spans="1:4" x14ac:dyDescent="0.4">
      <c r="A1916" s="1" t="s">
        <v>3720</v>
      </c>
      <c r="B1916" t="s">
        <v>3721</v>
      </c>
      <c r="C1916" t="s">
        <v>5</v>
      </c>
    </row>
    <row r="1917" spans="1:4" x14ac:dyDescent="0.4">
      <c r="A1917" s="1" t="s">
        <v>3722</v>
      </c>
      <c r="B1917" t="s">
        <v>3723</v>
      </c>
      <c r="C1917" t="s">
        <v>5</v>
      </c>
      <c r="D1917">
        <v>17960</v>
      </c>
    </row>
    <row r="1918" spans="1:4" x14ac:dyDescent="0.4">
      <c r="A1918" s="1" t="s">
        <v>3724</v>
      </c>
      <c r="B1918" t="s">
        <v>3725</v>
      </c>
      <c r="C1918" t="s">
        <v>5</v>
      </c>
      <c r="D1918">
        <v>18200</v>
      </c>
    </row>
    <row r="1919" spans="1:4" x14ac:dyDescent="0.4">
      <c r="A1919" s="1" t="s">
        <v>3726</v>
      </c>
      <c r="B1919" t="s">
        <v>3727</v>
      </c>
      <c r="C1919" t="s">
        <v>5</v>
      </c>
      <c r="D1919">
        <v>26250</v>
      </c>
    </row>
    <row r="1920" spans="1:4" x14ac:dyDescent="0.4">
      <c r="A1920" s="1" t="s">
        <v>3728</v>
      </c>
      <c r="B1920" t="e">
        <f>-ｺｰﾄﾞ使用禁止-RICOH SPﾄﾞﾗﾑｶｰﾄﾘｯｼﾞ4500</f>
        <v>#NAME?</v>
      </c>
      <c r="C1920" t="s">
        <v>5</v>
      </c>
    </row>
    <row r="1921" spans="1:4" x14ac:dyDescent="0.4">
      <c r="A1921" s="1" t="s">
        <v>3729</v>
      </c>
      <c r="B1921" t="s">
        <v>3730</v>
      </c>
      <c r="C1921" t="s">
        <v>5</v>
      </c>
    </row>
    <row r="1922" spans="1:4" x14ac:dyDescent="0.4">
      <c r="A1922" s="1" t="s">
        <v>3731</v>
      </c>
      <c r="B1922" t="e">
        <f>-終息-CANON ﾄﾞﾗﾑｶｰﾄﾘｯｼﾞ502 BK</f>
        <v>#NAME?</v>
      </c>
      <c r="C1922" t="s">
        <v>5</v>
      </c>
      <c r="D1922">
        <v>35180</v>
      </c>
    </row>
    <row r="1923" spans="1:4" x14ac:dyDescent="0.4">
      <c r="A1923" s="1" t="s">
        <v>3732</v>
      </c>
      <c r="B1923" t="s">
        <v>3733</v>
      </c>
      <c r="C1923" t="s">
        <v>5</v>
      </c>
      <c r="D1923">
        <v>35180</v>
      </c>
    </row>
    <row r="1924" spans="1:4" x14ac:dyDescent="0.4">
      <c r="A1924" s="1" t="s">
        <v>3734</v>
      </c>
      <c r="B1924" t="s">
        <v>3735</v>
      </c>
      <c r="C1924" t="s">
        <v>5</v>
      </c>
      <c r="D1924">
        <v>30800</v>
      </c>
    </row>
    <row r="1925" spans="1:4" x14ac:dyDescent="0.4">
      <c r="A1925" s="1" t="s">
        <v>3736</v>
      </c>
      <c r="B1925" t="s">
        <v>3737</v>
      </c>
      <c r="C1925" t="s">
        <v>5</v>
      </c>
      <c r="D1925">
        <v>30800</v>
      </c>
    </row>
    <row r="1926" spans="1:4" x14ac:dyDescent="0.4">
      <c r="A1926" s="1" t="s">
        <v>3738</v>
      </c>
      <c r="B1926" t="s">
        <v>3739</v>
      </c>
      <c r="C1926" t="s">
        <v>5</v>
      </c>
      <c r="D1926">
        <v>30800</v>
      </c>
    </row>
    <row r="1927" spans="1:4" x14ac:dyDescent="0.4">
      <c r="A1927" s="1" t="s">
        <v>3740</v>
      </c>
      <c r="B1927" t="s">
        <v>3741</v>
      </c>
      <c r="C1927" t="s">
        <v>5</v>
      </c>
      <c r="D1927">
        <v>30800</v>
      </c>
    </row>
    <row r="1928" spans="1:4" x14ac:dyDescent="0.4">
      <c r="A1928" s="1" t="s">
        <v>3742</v>
      </c>
      <c r="B1928" t="e">
        <f>-終息-CANON ﾄﾞﾗﾑｶｰﾄﾘｯｼﾞ502 M</f>
        <v>#NAME?</v>
      </c>
      <c r="C1928" t="s">
        <v>5</v>
      </c>
      <c r="D1928">
        <v>35180</v>
      </c>
    </row>
    <row r="1929" spans="1:4" x14ac:dyDescent="0.4">
      <c r="A1929" s="1" t="s">
        <v>3743</v>
      </c>
      <c r="B1929" t="e">
        <f>-終息-CANON ﾄﾞﾗﾑｶｰﾄﾘｯｼﾞ502 Y</f>
        <v>#NAME?</v>
      </c>
      <c r="C1929" t="s">
        <v>5</v>
      </c>
      <c r="D1929">
        <v>35180</v>
      </c>
    </row>
    <row r="1930" spans="1:4" x14ac:dyDescent="0.4">
      <c r="A1930" s="1" t="s">
        <v>3744</v>
      </c>
      <c r="B1930" t="s">
        <v>3745</v>
      </c>
      <c r="C1930" t="s">
        <v>5</v>
      </c>
      <c r="D1930">
        <v>24300</v>
      </c>
    </row>
    <row r="1931" spans="1:4" x14ac:dyDescent="0.4">
      <c r="A1931" s="1" t="s">
        <v>3746</v>
      </c>
      <c r="B1931" t="s">
        <v>3747</v>
      </c>
      <c r="C1931" t="s">
        <v>5</v>
      </c>
      <c r="D1931">
        <v>17400</v>
      </c>
    </row>
    <row r="1932" spans="1:4" x14ac:dyDescent="0.4">
      <c r="A1932" s="1" t="s">
        <v>3748</v>
      </c>
      <c r="B1932" t="s">
        <v>3749</v>
      </c>
      <c r="C1932" t="s">
        <v>5</v>
      </c>
    </row>
    <row r="1933" spans="1:4" x14ac:dyDescent="0.4">
      <c r="A1933" s="1" t="s">
        <v>3750</v>
      </c>
      <c r="B1933" t="s">
        <v>3751</v>
      </c>
      <c r="C1933" t="s">
        <v>5</v>
      </c>
      <c r="D1933">
        <v>11550</v>
      </c>
    </row>
    <row r="1934" spans="1:4" x14ac:dyDescent="0.4">
      <c r="A1934" s="1" t="s">
        <v>3752</v>
      </c>
      <c r="B1934" t="s">
        <v>3753</v>
      </c>
      <c r="C1934" t="s">
        <v>5</v>
      </c>
      <c r="D1934">
        <v>11550</v>
      </c>
    </row>
    <row r="1935" spans="1:4" x14ac:dyDescent="0.4">
      <c r="A1935" s="1" t="s">
        <v>3754</v>
      </c>
      <c r="B1935" t="s">
        <v>3755</v>
      </c>
      <c r="C1935" t="s">
        <v>5</v>
      </c>
      <c r="D1935">
        <v>11550</v>
      </c>
    </row>
    <row r="1936" spans="1:4" x14ac:dyDescent="0.4">
      <c r="A1936" s="1" t="s">
        <v>3756</v>
      </c>
      <c r="B1936" t="s">
        <v>3757</v>
      </c>
      <c r="C1936" t="s">
        <v>5</v>
      </c>
      <c r="D1936">
        <v>11550</v>
      </c>
    </row>
    <row r="1937" spans="1:4" x14ac:dyDescent="0.4">
      <c r="A1937" s="1" t="s">
        <v>3758</v>
      </c>
      <c r="B1937" t="s">
        <v>3759</v>
      </c>
      <c r="C1937" t="s">
        <v>5</v>
      </c>
      <c r="D1937">
        <v>19220</v>
      </c>
    </row>
    <row r="1938" spans="1:4" x14ac:dyDescent="0.4">
      <c r="A1938" s="1" t="s">
        <v>3760</v>
      </c>
      <c r="B1938" t="s">
        <v>3761</v>
      </c>
      <c r="C1938" t="s">
        <v>5</v>
      </c>
      <c r="D1938">
        <v>19220</v>
      </c>
    </row>
    <row r="1939" spans="1:4" x14ac:dyDescent="0.4">
      <c r="A1939" s="1" t="s">
        <v>3762</v>
      </c>
      <c r="B1939" t="s">
        <v>3763</v>
      </c>
      <c r="C1939" t="s">
        <v>5</v>
      </c>
      <c r="D1939">
        <v>19220</v>
      </c>
    </row>
    <row r="1940" spans="1:4" x14ac:dyDescent="0.4">
      <c r="A1940" s="1" t="s">
        <v>3764</v>
      </c>
      <c r="B1940" t="s">
        <v>3765</v>
      </c>
      <c r="C1940" t="s">
        <v>5</v>
      </c>
      <c r="D1940">
        <v>19220</v>
      </c>
    </row>
    <row r="1941" spans="1:4" x14ac:dyDescent="0.4">
      <c r="A1941" s="1" t="s">
        <v>3766</v>
      </c>
      <c r="B1941" t="s">
        <v>3767</v>
      </c>
      <c r="C1941" t="s">
        <v>5</v>
      </c>
      <c r="D1941">
        <v>20180</v>
      </c>
    </row>
    <row r="1942" spans="1:4" x14ac:dyDescent="0.4">
      <c r="A1942" s="1" t="s">
        <v>3768</v>
      </c>
      <c r="B1942" t="s">
        <v>3769</v>
      </c>
      <c r="C1942" t="s">
        <v>5</v>
      </c>
      <c r="D1942">
        <v>20180</v>
      </c>
    </row>
    <row r="1943" spans="1:4" x14ac:dyDescent="0.4">
      <c r="A1943" s="1" t="s">
        <v>3770</v>
      </c>
      <c r="B1943" t="s">
        <v>3771</v>
      </c>
      <c r="C1943" t="s">
        <v>5</v>
      </c>
      <c r="D1943">
        <v>20180</v>
      </c>
    </row>
    <row r="1944" spans="1:4" x14ac:dyDescent="0.4">
      <c r="A1944" s="1" t="s">
        <v>3772</v>
      </c>
      <c r="B1944" t="s">
        <v>3773</v>
      </c>
      <c r="C1944" t="s">
        <v>5</v>
      </c>
      <c r="D1944">
        <v>20180</v>
      </c>
    </row>
    <row r="1945" spans="1:4" x14ac:dyDescent="0.4">
      <c r="A1945" s="1" t="s">
        <v>3774</v>
      </c>
      <c r="B1945" t="s">
        <v>3775</v>
      </c>
      <c r="C1945" t="s">
        <v>5</v>
      </c>
      <c r="D1945">
        <v>15730</v>
      </c>
    </row>
    <row r="1946" spans="1:4" x14ac:dyDescent="0.4">
      <c r="A1946" s="1" t="s">
        <v>3776</v>
      </c>
      <c r="B1946" t="s">
        <v>3777</v>
      </c>
      <c r="C1946" t="s">
        <v>5</v>
      </c>
      <c r="D1946">
        <v>21950</v>
      </c>
    </row>
    <row r="1947" spans="1:4" x14ac:dyDescent="0.4">
      <c r="A1947" s="1" t="s">
        <v>3778</v>
      </c>
      <c r="B1947" t="s">
        <v>3779</v>
      </c>
      <c r="C1947" t="s">
        <v>5</v>
      </c>
    </row>
    <row r="1948" spans="1:4" x14ac:dyDescent="0.4">
      <c r="A1948" s="1" t="s">
        <v>3780</v>
      </c>
      <c r="B1948" t="s">
        <v>3781</v>
      </c>
      <c r="C1948" t="s">
        <v>5</v>
      </c>
      <c r="D1948">
        <v>13800</v>
      </c>
    </row>
    <row r="1949" spans="1:4" x14ac:dyDescent="0.4">
      <c r="A1949" s="1" t="s">
        <v>3782</v>
      </c>
      <c r="B1949" t="s">
        <v>3783</v>
      </c>
      <c r="C1949" t="s">
        <v>5</v>
      </c>
      <c r="D1949">
        <v>3500</v>
      </c>
    </row>
    <row r="1950" spans="1:4" x14ac:dyDescent="0.4">
      <c r="A1950" s="1" t="s">
        <v>3784</v>
      </c>
      <c r="B1950" t="s">
        <v>3785</v>
      </c>
      <c r="C1950" t="s">
        <v>5</v>
      </c>
    </row>
    <row r="1951" spans="1:4" x14ac:dyDescent="0.4">
      <c r="A1951" s="1" t="s">
        <v>3786</v>
      </c>
      <c r="B1951" t="s">
        <v>3787</v>
      </c>
      <c r="C1951" t="s">
        <v>5</v>
      </c>
    </row>
    <row r="1952" spans="1:4" x14ac:dyDescent="0.4">
      <c r="A1952" s="1" t="s">
        <v>3788</v>
      </c>
      <c r="B1952" t="s">
        <v>3789</v>
      </c>
      <c r="C1952" t="s">
        <v>5</v>
      </c>
    </row>
    <row r="1953" spans="1:4" x14ac:dyDescent="0.4">
      <c r="A1953" s="1" t="s">
        <v>3790</v>
      </c>
      <c r="B1953" t="s">
        <v>3791</v>
      </c>
      <c r="C1953" t="s">
        <v>5</v>
      </c>
    </row>
    <row r="1954" spans="1:4" x14ac:dyDescent="0.4">
      <c r="A1954" s="1" t="s">
        <v>3792</v>
      </c>
      <c r="B1954" t="s">
        <v>3793</v>
      </c>
      <c r="C1954" t="s">
        <v>5</v>
      </c>
    </row>
    <row r="1955" spans="1:4" x14ac:dyDescent="0.4">
      <c r="A1955" s="1" t="s">
        <v>3794</v>
      </c>
      <c r="B1955" t="s">
        <v>3795</v>
      </c>
      <c r="C1955" t="s">
        <v>5</v>
      </c>
    </row>
    <row r="1956" spans="1:4" x14ac:dyDescent="0.4">
      <c r="A1956" s="1" t="s">
        <v>3796</v>
      </c>
      <c r="B1956" t="s">
        <v>3797</v>
      </c>
      <c r="C1956" t="s">
        <v>5</v>
      </c>
    </row>
    <row r="1957" spans="1:4" x14ac:dyDescent="0.4">
      <c r="A1957" s="1" t="s">
        <v>3798</v>
      </c>
      <c r="B1957" t="s">
        <v>3799</v>
      </c>
      <c r="C1957" t="s">
        <v>5</v>
      </c>
    </row>
    <row r="1958" spans="1:4" x14ac:dyDescent="0.4">
      <c r="A1958" s="1" t="s">
        <v>3800</v>
      </c>
      <c r="B1958" t="s">
        <v>3801</v>
      </c>
      <c r="C1958" t="s">
        <v>5</v>
      </c>
    </row>
    <row r="1959" spans="1:4" x14ac:dyDescent="0.4">
      <c r="A1959" s="1" t="s">
        <v>3802</v>
      </c>
      <c r="B1959" t="s">
        <v>3803</v>
      </c>
      <c r="C1959" t="s">
        <v>5</v>
      </c>
    </row>
    <row r="1960" spans="1:4" x14ac:dyDescent="0.4">
      <c r="A1960" s="1" t="s">
        <v>3804</v>
      </c>
      <c r="B1960" t="s">
        <v>3805</v>
      </c>
      <c r="C1960" t="s">
        <v>5</v>
      </c>
    </row>
    <row r="1961" spans="1:4" x14ac:dyDescent="0.4">
      <c r="A1961" s="1" t="s">
        <v>3806</v>
      </c>
      <c r="B1961" t="s">
        <v>3807</v>
      </c>
      <c r="C1961" t="s">
        <v>5</v>
      </c>
    </row>
    <row r="1962" spans="1:4" x14ac:dyDescent="0.4">
      <c r="A1962" s="1" t="s">
        <v>3808</v>
      </c>
      <c r="B1962" t="s">
        <v>3809</v>
      </c>
      <c r="C1962" t="s">
        <v>5</v>
      </c>
    </row>
    <row r="1963" spans="1:4" x14ac:dyDescent="0.4">
      <c r="A1963" s="1" t="s">
        <v>3810</v>
      </c>
      <c r="B1963" t="s">
        <v>3811</v>
      </c>
      <c r="D1963">
        <v>25000</v>
      </c>
    </row>
    <row r="1964" spans="1:4" x14ac:dyDescent="0.4">
      <c r="A1964" s="1" t="s">
        <v>3812</v>
      </c>
      <c r="B1964" t="s">
        <v>3813</v>
      </c>
      <c r="C1964" t="s">
        <v>5</v>
      </c>
      <c r="D1964">
        <v>21000</v>
      </c>
    </row>
    <row r="1965" spans="1:4" x14ac:dyDescent="0.4">
      <c r="A1965" s="1" t="s">
        <v>3814</v>
      </c>
      <c r="B1965" t="s">
        <v>3815</v>
      </c>
      <c r="C1965" t="s">
        <v>5</v>
      </c>
      <c r="D1965">
        <v>1500</v>
      </c>
    </row>
    <row r="1966" spans="1:4" x14ac:dyDescent="0.4">
      <c r="A1966" s="1" t="s">
        <v>3816</v>
      </c>
      <c r="B1966" t="s">
        <v>3817</v>
      </c>
      <c r="C1966" t="s">
        <v>5</v>
      </c>
      <c r="D1966">
        <v>1500</v>
      </c>
    </row>
    <row r="1967" spans="1:4" x14ac:dyDescent="0.4">
      <c r="A1967" s="1" t="s">
        <v>3818</v>
      </c>
      <c r="B1967" t="s">
        <v>3819</v>
      </c>
      <c r="C1967" t="s">
        <v>5</v>
      </c>
      <c r="D1967">
        <v>14000</v>
      </c>
    </row>
    <row r="1968" spans="1:4" x14ac:dyDescent="0.4">
      <c r="A1968" s="1" t="s">
        <v>3820</v>
      </c>
      <c r="B1968" t="s">
        <v>3821</v>
      </c>
      <c r="C1968" t="s">
        <v>5</v>
      </c>
      <c r="D1968">
        <v>18200</v>
      </c>
    </row>
    <row r="1969" spans="1:4" x14ac:dyDescent="0.4">
      <c r="A1969" s="1" t="s">
        <v>3822</v>
      </c>
      <c r="B1969" t="s">
        <v>3823</v>
      </c>
      <c r="C1969" t="s">
        <v>5</v>
      </c>
      <c r="D1969">
        <v>29900</v>
      </c>
    </row>
    <row r="1970" spans="1:4" x14ac:dyDescent="0.4">
      <c r="A1970" s="1" t="s">
        <v>3824</v>
      </c>
      <c r="B1970" t="s">
        <v>3825</v>
      </c>
      <c r="C1970" t="s">
        <v>5</v>
      </c>
      <c r="D1970">
        <v>47700</v>
      </c>
    </row>
    <row r="1971" spans="1:4" x14ac:dyDescent="0.4">
      <c r="A1971" s="1" t="s">
        <v>3826</v>
      </c>
      <c r="B1971" t="s">
        <v>3827</v>
      </c>
      <c r="C1971" t="s">
        <v>5</v>
      </c>
      <c r="D1971">
        <v>33000</v>
      </c>
    </row>
    <row r="1972" spans="1:4" x14ac:dyDescent="0.4">
      <c r="A1972" s="1" t="s">
        <v>3828</v>
      </c>
      <c r="B1972" t="s">
        <v>3829</v>
      </c>
      <c r="C1972" t="s">
        <v>5</v>
      </c>
      <c r="D1972">
        <v>65600</v>
      </c>
    </row>
    <row r="1973" spans="1:4" x14ac:dyDescent="0.4">
      <c r="A1973" s="1" t="s">
        <v>3830</v>
      </c>
      <c r="B1973" t="s">
        <v>3831</v>
      </c>
      <c r="C1973" t="s">
        <v>5</v>
      </c>
      <c r="D1973">
        <v>31100</v>
      </c>
    </row>
    <row r="1974" spans="1:4" x14ac:dyDescent="0.4">
      <c r="A1974" s="1" t="s">
        <v>3832</v>
      </c>
      <c r="B1974" t="s">
        <v>3833</v>
      </c>
      <c r="C1974" t="s">
        <v>5</v>
      </c>
      <c r="D1974">
        <v>49700</v>
      </c>
    </row>
    <row r="1975" spans="1:4" x14ac:dyDescent="0.4">
      <c r="A1975" s="1" t="s">
        <v>3834</v>
      </c>
      <c r="B1975" t="s">
        <v>3835</v>
      </c>
      <c r="C1975" t="s">
        <v>5</v>
      </c>
    </row>
    <row r="1976" spans="1:4" x14ac:dyDescent="0.4">
      <c r="A1976" s="1" t="s">
        <v>3836</v>
      </c>
      <c r="B1976" t="s">
        <v>3837</v>
      </c>
      <c r="C1976" t="s">
        <v>5</v>
      </c>
    </row>
    <row r="1977" spans="1:4" x14ac:dyDescent="0.4">
      <c r="A1977" s="1" t="s">
        <v>3838</v>
      </c>
      <c r="B1977" t="s">
        <v>3839</v>
      </c>
      <c r="C1977" t="s">
        <v>5</v>
      </c>
      <c r="D1977">
        <v>103000</v>
      </c>
    </row>
    <row r="1978" spans="1:4" x14ac:dyDescent="0.4">
      <c r="A1978" s="1" t="s">
        <v>3840</v>
      </c>
      <c r="B1978" t="s">
        <v>3841</v>
      </c>
      <c r="C1978" t="s">
        <v>5</v>
      </c>
      <c r="D1978">
        <v>20000</v>
      </c>
    </row>
    <row r="1979" spans="1:4" x14ac:dyDescent="0.4">
      <c r="A1979" s="1" t="s">
        <v>3842</v>
      </c>
      <c r="B1979" t="s">
        <v>3843</v>
      </c>
      <c r="C1979" t="s">
        <v>5</v>
      </c>
      <c r="D1979">
        <v>75000</v>
      </c>
    </row>
    <row r="1980" spans="1:4" x14ac:dyDescent="0.4">
      <c r="A1980" s="1" t="s">
        <v>3844</v>
      </c>
      <c r="B1980" t="s">
        <v>3845</v>
      </c>
      <c r="C1980" t="s">
        <v>5</v>
      </c>
      <c r="D1980">
        <v>50000</v>
      </c>
    </row>
    <row r="1981" spans="1:4" x14ac:dyDescent="0.4">
      <c r="A1981" s="1" t="s">
        <v>3846</v>
      </c>
      <c r="B1981" t="s">
        <v>3847</v>
      </c>
      <c r="C1981" t="s">
        <v>5</v>
      </c>
      <c r="D1981">
        <v>37000</v>
      </c>
    </row>
    <row r="1982" spans="1:4" x14ac:dyDescent="0.4">
      <c r="A1982" s="1" t="s">
        <v>3848</v>
      </c>
      <c r="B1982" t="s">
        <v>3849</v>
      </c>
      <c r="C1982" t="s">
        <v>5</v>
      </c>
      <c r="D1982">
        <v>10100</v>
      </c>
    </row>
    <row r="1983" spans="1:4" x14ac:dyDescent="0.4">
      <c r="A1983" s="1" t="s">
        <v>3850</v>
      </c>
      <c r="B1983" t="s">
        <v>3851</v>
      </c>
      <c r="C1983" t="s">
        <v>5</v>
      </c>
      <c r="D1983">
        <v>10100</v>
      </c>
    </row>
    <row r="1984" spans="1:4" x14ac:dyDescent="0.4">
      <c r="A1984" s="1" t="s">
        <v>3852</v>
      </c>
      <c r="B1984" t="s">
        <v>3853</v>
      </c>
      <c r="C1984" t="s">
        <v>5</v>
      </c>
      <c r="D1984">
        <v>10100</v>
      </c>
    </row>
    <row r="1985" spans="1:4" x14ac:dyDescent="0.4">
      <c r="A1985" s="1" t="s">
        <v>3854</v>
      </c>
      <c r="B1985" t="s">
        <v>3855</v>
      </c>
      <c r="C1985" t="s">
        <v>5</v>
      </c>
      <c r="D1985">
        <v>20300</v>
      </c>
    </row>
    <row r="1986" spans="1:4" x14ac:dyDescent="0.4">
      <c r="A1986" s="1" t="s">
        <v>3856</v>
      </c>
      <c r="B1986" t="s">
        <v>3857</v>
      </c>
      <c r="C1986" t="s">
        <v>5</v>
      </c>
      <c r="D1986">
        <v>40500</v>
      </c>
    </row>
    <row r="1987" spans="1:4" x14ac:dyDescent="0.4">
      <c r="A1987" s="1" t="s">
        <v>3858</v>
      </c>
      <c r="B1987" t="s">
        <v>3859</v>
      </c>
      <c r="C1987" t="s">
        <v>5</v>
      </c>
      <c r="D1987">
        <v>40500</v>
      </c>
    </row>
    <row r="1988" spans="1:4" x14ac:dyDescent="0.4">
      <c r="A1988" s="1" t="s">
        <v>3860</v>
      </c>
      <c r="B1988" t="s">
        <v>3861</v>
      </c>
      <c r="C1988" t="s">
        <v>5</v>
      </c>
      <c r="D1988">
        <v>39300</v>
      </c>
    </row>
    <row r="1989" spans="1:4" x14ac:dyDescent="0.4">
      <c r="A1989" s="1" t="s">
        <v>3862</v>
      </c>
      <c r="B1989" t="s">
        <v>3863</v>
      </c>
      <c r="C1989" t="s">
        <v>5</v>
      </c>
      <c r="D1989">
        <v>31500</v>
      </c>
    </row>
    <row r="1990" spans="1:4" x14ac:dyDescent="0.4">
      <c r="A1990" s="1" t="s">
        <v>3864</v>
      </c>
      <c r="B1990" t="s">
        <v>3865</v>
      </c>
      <c r="C1990" t="s">
        <v>5</v>
      </c>
      <c r="D1990">
        <v>71400</v>
      </c>
    </row>
    <row r="1991" spans="1:4" x14ac:dyDescent="0.4">
      <c r="A1991" s="1" t="s">
        <v>3866</v>
      </c>
      <c r="B1991" t="s">
        <v>3867</v>
      </c>
      <c r="C1991" t="s">
        <v>5</v>
      </c>
      <c r="D1991">
        <v>35700</v>
      </c>
    </row>
    <row r="1992" spans="1:4" x14ac:dyDescent="0.4">
      <c r="A1992" s="1" t="s">
        <v>3868</v>
      </c>
      <c r="B1992" t="s">
        <v>3869</v>
      </c>
      <c r="C1992" t="s">
        <v>5</v>
      </c>
      <c r="D1992">
        <v>54810</v>
      </c>
    </row>
    <row r="1993" spans="1:4" x14ac:dyDescent="0.4">
      <c r="A1993" s="1" t="s">
        <v>3870</v>
      </c>
      <c r="B1993" t="s">
        <v>3871</v>
      </c>
      <c r="C1993" t="s">
        <v>5</v>
      </c>
      <c r="D1993">
        <v>31500</v>
      </c>
    </row>
    <row r="1994" spans="1:4" x14ac:dyDescent="0.4">
      <c r="A1994" s="1" t="s">
        <v>3872</v>
      </c>
      <c r="B1994" t="s">
        <v>3873</v>
      </c>
      <c r="C1994" t="s">
        <v>5</v>
      </c>
    </row>
    <row r="1995" spans="1:4" x14ac:dyDescent="0.4">
      <c r="A1995" s="1" t="s">
        <v>3874</v>
      </c>
      <c r="B1995" t="s">
        <v>3875</v>
      </c>
      <c r="C1995" t="s">
        <v>5</v>
      </c>
      <c r="D1995">
        <v>5000</v>
      </c>
    </row>
    <row r="1996" spans="1:4" x14ac:dyDescent="0.4">
      <c r="A1996" s="1" t="s">
        <v>3876</v>
      </c>
      <c r="B1996" t="s">
        <v>3877</v>
      </c>
      <c r="C1996" t="s">
        <v>5</v>
      </c>
      <c r="D1996">
        <v>6800</v>
      </c>
    </row>
    <row r="1997" spans="1:4" x14ac:dyDescent="0.4">
      <c r="A1997" s="1" t="s">
        <v>3878</v>
      </c>
      <c r="B1997" t="s">
        <v>3879</v>
      </c>
      <c r="C1997" t="s">
        <v>5</v>
      </c>
      <c r="D1997">
        <v>8300</v>
      </c>
    </row>
    <row r="1998" spans="1:4" x14ac:dyDescent="0.4">
      <c r="A1998" s="1" t="s">
        <v>3880</v>
      </c>
      <c r="B1998" t="s">
        <v>3881</v>
      </c>
      <c r="C1998" t="s">
        <v>5</v>
      </c>
      <c r="D1998">
        <v>12100</v>
      </c>
    </row>
    <row r="1999" spans="1:4" x14ac:dyDescent="0.4">
      <c r="A1999" s="1" t="s">
        <v>3882</v>
      </c>
      <c r="B1999" t="s">
        <v>3883</v>
      </c>
      <c r="C1999" t="s">
        <v>5</v>
      </c>
      <c r="D1999">
        <v>11100</v>
      </c>
    </row>
    <row r="2000" spans="1:4" x14ac:dyDescent="0.4">
      <c r="A2000" s="1" t="s">
        <v>3884</v>
      </c>
      <c r="B2000" t="s">
        <v>3885</v>
      </c>
      <c r="C2000" t="s">
        <v>5</v>
      </c>
      <c r="D2000">
        <v>8100</v>
      </c>
    </row>
    <row r="2001" spans="1:4" x14ac:dyDescent="0.4">
      <c r="A2001" s="1" t="s">
        <v>3886</v>
      </c>
      <c r="B2001" t="s">
        <v>3887</v>
      </c>
      <c r="C2001" t="s">
        <v>5</v>
      </c>
      <c r="D2001">
        <v>5700</v>
      </c>
    </row>
    <row r="2002" spans="1:4" x14ac:dyDescent="0.4">
      <c r="A2002" s="1" t="s">
        <v>3888</v>
      </c>
      <c r="B2002" t="s">
        <v>3889</v>
      </c>
      <c r="C2002" t="s">
        <v>5</v>
      </c>
      <c r="D2002">
        <v>13500</v>
      </c>
    </row>
    <row r="2003" spans="1:4" x14ac:dyDescent="0.4">
      <c r="A2003" s="1" t="s">
        <v>3890</v>
      </c>
      <c r="B2003" t="s">
        <v>3891</v>
      </c>
      <c r="D2003">
        <v>1200</v>
      </c>
    </row>
    <row r="2004" spans="1:4" x14ac:dyDescent="0.4">
      <c r="A2004" s="1" t="s">
        <v>3892</v>
      </c>
      <c r="B2004" t="s">
        <v>3893</v>
      </c>
      <c r="C2004" t="s">
        <v>5</v>
      </c>
      <c r="D2004">
        <v>2500</v>
      </c>
    </row>
    <row r="2005" spans="1:4" x14ac:dyDescent="0.4">
      <c r="A2005" s="1" t="s">
        <v>3894</v>
      </c>
      <c r="B2005" t="s">
        <v>3895</v>
      </c>
    </row>
    <row r="2006" spans="1:4" x14ac:dyDescent="0.4">
      <c r="A2006" s="1" t="s">
        <v>3896</v>
      </c>
      <c r="B2006" t="s">
        <v>3897</v>
      </c>
      <c r="C2006" t="s">
        <v>5</v>
      </c>
    </row>
    <row r="2007" spans="1:4" x14ac:dyDescent="0.4">
      <c r="A2007" s="1" t="s">
        <v>3898</v>
      </c>
      <c r="B2007" t="s">
        <v>3899</v>
      </c>
      <c r="C2007" t="s">
        <v>5</v>
      </c>
    </row>
    <row r="2008" spans="1:4" x14ac:dyDescent="0.4">
      <c r="A2008" s="1" t="s">
        <v>3900</v>
      </c>
      <c r="B2008" t="s">
        <v>3901</v>
      </c>
      <c r="C2008" t="s">
        <v>5</v>
      </c>
    </row>
    <row r="2009" spans="1:4" x14ac:dyDescent="0.4">
      <c r="A2009" s="1" t="s">
        <v>3902</v>
      </c>
      <c r="B2009" t="s">
        <v>3903</v>
      </c>
      <c r="D2009">
        <v>9360</v>
      </c>
    </row>
    <row r="2010" spans="1:4" x14ac:dyDescent="0.4">
      <c r="A2010" s="1" t="s">
        <v>3904</v>
      </c>
      <c r="B2010" t="s">
        <v>3905</v>
      </c>
      <c r="D2010">
        <v>5580</v>
      </c>
    </row>
    <row r="2011" spans="1:4" x14ac:dyDescent="0.4">
      <c r="A2011" s="1" t="s">
        <v>3906</v>
      </c>
      <c r="B2011" t="s">
        <v>3907</v>
      </c>
      <c r="C2011" t="s">
        <v>5</v>
      </c>
      <c r="D2011">
        <v>52000</v>
      </c>
    </row>
    <row r="2012" spans="1:4" x14ac:dyDescent="0.4">
      <c r="A2012" s="1" t="s">
        <v>3908</v>
      </c>
      <c r="B2012" t="s">
        <v>3909</v>
      </c>
      <c r="C2012" t="s">
        <v>5</v>
      </c>
      <c r="D2012">
        <v>141000</v>
      </c>
    </row>
    <row r="2013" spans="1:4" x14ac:dyDescent="0.4">
      <c r="A2013" s="1" t="s">
        <v>3910</v>
      </c>
      <c r="B2013" t="s">
        <v>3911</v>
      </c>
      <c r="C2013" t="s">
        <v>5</v>
      </c>
      <c r="D2013">
        <v>52000</v>
      </c>
    </row>
    <row r="2014" spans="1:4" x14ac:dyDescent="0.4">
      <c r="A2014" s="1" t="s">
        <v>3912</v>
      </c>
      <c r="B2014" t="s">
        <v>3913</v>
      </c>
      <c r="C2014" t="s">
        <v>5</v>
      </c>
      <c r="D2014">
        <v>35400</v>
      </c>
    </row>
    <row r="2015" spans="1:4" x14ac:dyDescent="0.4">
      <c r="A2015" s="1" t="s">
        <v>3914</v>
      </c>
      <c r="B2015" t="s">
        <v>3915</v>
      </c>
      <c r="C2015" t="s">
        <v>5</v>
      </c>
      <c r="D2015">
        <v>65000</v>
      </c>
    </row>
    <row r="2016" spans="1:4" x14ac:dyDescent="0.4">
      <c r="A2016" s="1" t="s">
        <v>3916</v>
      </c>
      <c r="B2016" t="s">
        <v>3917</v>
      </c>
      <c r="C2016" t="s">
        <v>5</v>
      </c>
      <c r="D2016">
        <v>70000</v>
      </c>
    </row>
    <row r="2017" spans="1:4" x14ac:dyDescent="0.4">
      <c r="A2017" s="1" t="s">
        <v>3918</v>
      </c>
      <c r="B2017" t="s">
        <v>3919</v>
      </c>
      <c r="C2017" t="s">
        <v>5</v>
      </c>
      <c r="D2017">
        <v>61000</v>
      </c>
    </row>
    <row r="2018" spans="1:4" x14ac:dyDescent="0.4">
      <c r="A2018" s="1" t="s">
        <v>3920</v>
      </c>
      <c r="B2018" t="s">
        <v>3921</v>
      </c>
      <c r="C2018" t="s">
        <v>5</v>
      </c>
      <c r="D2018">
        <v>72000</v>
      </c>
    </row>
    <row r="2019" spans="1:4" x14ac:dyDescent="0.4">
      <c r="A2019" s="1" t="s">
        <v>3922</v>
      </c>
      <c r="B2019" t="s">
        <v>3923</v>
      </c>
      <c r="C2019" t="s">
        <v>5</v>
      </c>
      <c r="D2019">
        <v>66809</v>
      </c>
    </row>
    <row r="2020" spans="1:4" x14ac:dyDescent="0.4">
      <c r="A2020" s="1" t="s">
        <v>3924</v>
      </c>
      <c r="B2020" t="s">
        <v>3925</v>
      </c>
      <c r="C2020" t="s">
        <v>5</v>
      </c>
      <c r="D2020">
        <v>92000</v>
      </c>
    </row>
    <row r="2021" spans="1:4" x14ac:dyDescent="0.4">
      <c r="A2021" s="1" t="s">
        <v>3926</v>
      </c>
      <c r="B2021" t="s">
        <v>3927</v>
      </c>
      <c r="C2021" t="s">
        <v>5</v>
      </c>
      <c r="D2021">
        <v>33000</v>
      </c>
    </row>
    <row r="2022" spans="1:4" x14ac:dyDescent="0.4">
      <c r="A2022" s="1" t="s">
        <v>3928</v>
      </c>
      <c r="B2022" t="s">
        <v>3929</v>
      </c>
      <c r="C2022" t="s">
        <v>5</v>
      </c>
      <c r="D2022">
        <v>30000</v>
      </c>
    </row>
    <row r="2023" spans="1:4" x14ac:dyDescent="0.4">
      <c r="A2023" s="1" t="s">
        <v>3930</v>
      </c>
      <c r="B2023" t="s">
        <v>3931</v>
      </c>
      <c r="C2023" t="s">
        <v>5</v>
      </c>
      <c r="D2023">
        <v>11500</v>
      </c>
    </row>
    <row r="2024" spans="1:4" x14ac:dyDescent="0.4">
      <c r="A2024" s="1" t="s">
        <v>3932</v>
      </c>
      <c r="B2024" t="s">
        <v>3933</v>
      </c>
      <c r="C2024" t="s">
        <v>5</v>
      </c>
      <c r="D2024">
        <v>11500</v>
      </c>
    </row>
    <row r="2025" spans="1:4" x14ac:dyDescent="0.4">
      <c r="A2025" s="1" t="s">
        <v>3934</v>
      </c>
      <c r="B2025" t="s">
        <v>3935</v>
      </c>
      <c r="C2025" t="s">
        <v>5</v>
      </c>
      <c r="D2025">
        <v>11500</v>
      </c>
    </row>
    <row r="2026" spans="1:4" x14ac:dyDescent="0.4">
      <c r="A2026" s="1" t="s">
        <v>3936</v>
      </c>
      <c r="B2026" t="s">
        <v>3937</v>
      </c>
      <c r="C2026" t="s">
        <v>5</v>
      </c>
      <c r="D2026">
        <v>23200</v>
      </c>
    </row>
    <row r="2027" spans="1:4" x14ac:dyDescent="0.4">
      <c r="A2027" s="1" t="s">
        <v>3938</v>
      </c>
      <c r="B2027" t="s">
        <v>3939</v>
      </c>
      <c r="C2027" t="s">
        <v>5</v>
      </c>
      <c r="D2027">
        <v>23200</v>
      </c>
    </row>
    <row r="2028" spans="1:4" x14ac:dyDescent="0.4">
      <c r="A2028" s="1" t="s">
        <v>3940</v>
      </c>
      <c r="B2028" t="s">
        <v>3941</v>
      </c>
      <c r="C2028" t="s">
        <v>5</v>
      </c>
      <c r="D2028">
        <v>23200</v>
      </c>
    </row>
    <row r="2029" spans="1:4" x14ac:dyDescent="0.4">
      <c r="A2029" s="1" t="s">
        <v>3942</v>
      </c>
      <c r="B2029" t="s">
        <v>3943</v>
      </c>
      <c r="C2029" t="s">
        <v>5</v>
      </c>
      <c r="D2029">
        <v>11800</v>
      </c>
    </row>
    <row r="2030" spans="1:4" x14ac:dyDescent="0.4">
      <c r="A2030" s="1" t="s">
        <v>3944</v>
      </c>
      <c r="B2030" t="s">
        <v>3945</v>
      </c>
      <c r="C2030" t="s">
        <v>5</v>
      </c>
      <c r="D2030">
        <v>11800</v>
      </c>
    </row>
    <row r="2031" spans="1:4" x14ac:dyDescent="0.4">
      <c r="A2031" s="1" t="s">
        <v>3946</v>
      </c>
      <c r="B2031" t="s">
        <v>3947</v>
      </c>
      <c r="C2031" t="s">
        <v>5</v>
      </c>
      <c r="D2031">
        <v>11800</v>
      </c>
    </row>
    <row r="2032" spans="1:4" x14ac:dyDescent="0.4">
      <c r="A2032" s="1" t="s">
        <v>3948</v>
      </c>
      <c r="B2032" t="s">
        <v>3949</v>
      </c>
      <c r="C2032" t="s">
        <v>5</v>
      </c>
      <c r="D2032">
        <v>15200</v>
      </c>
    </row>
    <row r="2033" spans="1:4" x14ac:dyDescent="0.4">
      <c r="A2033" s="1" t="s">
        <v>3950</v>
      </c>
      <c r="B2033" t="s">
        <v>3951</v>
      </c>
      <c r="C2033" t="s">
        <v>5</v>
      </c>
      <c r="D2033">
        <v>15200</v>
      </c>
    </row>
    <row r="2034" spans="1:4" x14ac:dyDescent="0.4">
      <c r="A2034" s="1" t="s">
        <v>3952</v>
      </c>
      <c r="B2034" t="s">
        <v>3953</v>
      </c>
      <c r="C2034" t="s">
        <v>5</v>
      </c>
      <c r="D2034">
        <v>15200</v>
      </c>
    </row>
    <row r="2035" spans="1:4" x14ac:dyDescent="0.4">
      <c r="A2035" s="1" t="s">
        <v>3954</v>
      </c>
      <c r="B2035" t="s">
        <v>3955</v>
      </c>
      <c r="C2035" t="s">
        <v>5</v>
      </c>
      <c r="D2035">
        <v>15200</v>
      </c>
    </row>
    <row r="2036" spans="1:4" x14ac:dyDescent="0.4">
      <c r="A2036" s="1" t="s">
        <v>3956</v>
      </c>
      <c r="B2036" t="s">
        <v>3957</v>
      </c>
      <c r="C2036" t="s">
        <v>5</v>
      </c>
      <c r="D2036">
        <v>15200</v>
      </c>
    </row>
    <row r="2037" spans="1:4" x14ac:dyDescent="0.4">
      <c r="A2037" s="1" t="s">
        <v>3958</v>
      </c>
      <c r="B2037" t="s">
        <v>3959</v>
      </c>
      <c r="C2037" t="s">
        <v>5</v>
      </c>
      <c r="D2037">
        <v>15200</v>
      </c>
    </row>
    <row r="2038" spans="1:4" x14ac:dyDescent="0.4">
      <c r="A2038" s="1" t="s">
        <v>3960</v>
      </c>
      <c r="B2038" t="s">
        <v>3961</v>
      </c>
      <c r="C2038" t="s">
        <v>5</v>
      </c>
      <c r="D2038">
        <v>22000</v>
      </c>
    </row>
    <row r="2039" spans="1:4" x14ac:dyDescent="0.4">
      <c r="A2039" s="1" t="s">
        <v>3962</v>
      </c>
      <c r="B2039" t="s">
        <v>3963</v>
      </c>
      <c r="C2039" t="s">
        <v>5</v>
      </c>
      <c r="D2039">
        <v>22000</v>
      </c>
    </row>
    <row r="2040" spans="1:4" x14ac:dyDescent="0.4">
      <c r="A2040" s="1" t="s">
        <v>3964</v>
      </c>
      <c r="B2040" t="s">
        <v>3965</v>
      </c>
      <c r="C2040" t="s">
        <v>5</v>
      </c>
      <c r="D2040">
        <v>22000</v>
      </c>
    </row>
    <row r="2041" spans="1:4" x14ac:dyDescent="0.4">
      <c r="A2041" s="1" t="s">
        <v>3966</v>
      </c>
      <c r="B2041" t="s">
        <v>3967</v>
      </c>
      <c r="C2041" t="s">
        <v>5</v>
      </c>
      <c r="D2041">
        <v>50800</v>
      </c>
    </row>
    <row r="2042" spans="1:4" x14ac:dyDescent="0.4">
      <c r="A2042" s="1" t="s">
        <v>3968</v>
      </c>
      <c r="B2042" t="s">
        <v>3969</v>
      </c>
      <c r="C2042" t="s">
        <v>5</v>
      </c>
      <c r="D2042">
        <v>27370</v>
      </c>
    </row>
    <row r="2043" spans="1:4" x14ac:dyDescent="0.4">
      <c r="A2043" s="1" t="s">
        <v>3970</v>
      </c>
      <c r="B2043" t="s">
        <v>3971</v>
      </c>
      <c r="C2043" t="s">
        <v>5</v>
      </c>
      <c r="D2043">
        <v>72000</v>
      </c>
    </row>
    <row r="2044" spans="1:4" x14ac:dyDescent="0.4">
      <c r="A2044" s="1" t="s">
        <v>3972</v>
      </c>
      <c r="B2044" t="s">
        <v>3973</v>
      </c>
      <c r="C2044" t="s">
        <v>5</v>
      </c>
    </row>
    <row r="2045" spans="1:4" x14ac:dyDescent="0.4">
      <c r="A2045" s="1" t="s">
        <v>3974</v>
      </c>
      <c r="B2045" t="s">
        <v>3975</v>
      </c>
      <c r="C2045" t="s">
        <v>5</v>
      </c>
      <c r="D2045">
        <v>30000</v>
      </c>
    </row>
    <row r="2046" spans="1:4" x14ac:dyDescent="0.4">
      <c r="A2046" s="1" t="s">
        <v>3976</v>
      </c>
      <c r="B2046" t="s">
        <v>3977</v>
      </c>
      <c r="C2046" t="s">
        <v>5</v>
      </c>
      <c r="D2046">
        <v>30000</v>
      </c>
    </row>
    <row r="2047" spans="1:4" x14ac:dyDescent="0.4">
      <c r="A2047" s="1" t="s">
        <v>3978</v>
      </c>
      <c r="B2047" t="s">
        <v>3979</v>
      </c>
      <c r="C2047" t="s">
        <v>5</v>
      </c>
      <c r="D2047">
        <v>20000</v>
      </c>
    </row>
    <row r="2048" spans="1:4" x14ac:dyDescent="0.4">
      <c r="A2048" s="1" t="s">
        <v>3980</v>
      </c>
      <c r="B2048" t="s">
        <v>3981</v>
      </c>
      <c r="C2048" t="s">
        <v>5</v>
      </c>
      <c r="D2048">
        <v>20000</v>
      </c>
    </row>
    <row r="2049" spans="1:4" x14ac:dyDescent="0.4">
      <c r="A2049" s="1" t="s">
        <v>3982</v>
      </c>
      <c r="B2049" t="s">
        <v>3983</v>
      </c>
      <c r="C2049" t="s">
        <v>5</v>
      </c>
      <c r="D2049">
        <v>20000</v>
      </c>
    </row>
    <row r="2050" spans="1:4" x14ac:dyDescent="0.4">
      <c r="A2050" s="1" t="s">
        <v>3984</v>
      </c>
      <c r="B2050" t="s">
        <v>3985</v>
      </c>
      <c r="C2050" t="s">
        <v>5</v>
      </c>
      <c r="D2050">
        <v>20000</v>
      </c>
    </row>
    <row r="2051" spans="1:4" x14ac:dyDescent="0.4">
      <c r="A2051" s="1" t="s">
        <v>3986</v>
      </c>
      <c r="B2051" t="s">
        <v>3987</v>
      </c>
      <c r="C2051" t="s">
        <v>5</v>
      </c>
      <c r="D2051">
        <v>29200</v>
      </c>
    </row>
    <row r="2052" spans="1:4" x14ac:dyDescent="0.4">
      <c r="A2052" s="1" t="s">
        <v>3988</v>
      </c>
      <c r="B2052" t="s">
        <v>3989</v>
      </c>
      <c r="C2052" t="s">
        <v>5</v>
      </c>
      <c r="D2052">
        <v>30000</v>
      </c>
    </row>
    <row r="2053" spans="1:4" x14ac:dyDescent="0.4">
      <c r="A2053" s="1" t="s">
        <v>3990</v>
      </c>
      <c r="B2053" t="s">
        <v>3991</v>
      </c>
      <c r="C2053" t="s">
        <v>5</v>
      </c>
      <c r="D2053">
        <v>32000</v>
      </c>
    </row>
    <row r="2054" spans="1:4" x14ac:dyDescent="0.4">
      <c r="A2054" s="1" t="s">
        <v>3992</v>
      </c>
      <c r="B2054" t="s">
        <v>3993</v>
      </c>
      <c r="C2054" t="s">
        <v>5</v>
      </c>
      <c r="D2054">
        <v>30000</v>
      </c>
    </row>
    <row r="2055" spans="1:4" x14ac:dyDescent="0.4">
      <c r="A2055" s="1" t="s">
        <v>3994</v>
      </c>
      <c r="B2055" t="s">
        <v>3995</v>
      </c>
      <c r="C2055" t="s">
        <v>5</v>
      </c>
    </row>
    <row r="2056" spans="1:4" x14ac:dyDescent="0.4">
      <c r="A2056" s="1" t="s">
        <v>3996</v>
      </c>
      <c r="B2056" t="s">
        <v>3997</v>
      </c>
      <c r="C2056" t="s">
        <v>5</v>
      </c>
      <c r="D2056">
        <v>20000</v>
      </c>
    </row>
    <row r="2057" spans="1:4" x14ac:dyDescent="0.4">
      <c r="A2057" s="1" t="s">
        <v>3998</v>
      </c>
      <c r="B2057" t="s">
        <v>3999</v>
      </c>
      <c r="C2057" t="s">
        <v>5</v>
      </c>
      <c r="D2057">
        <v>20000</v>
      </c>
    </row>
    <row r="2058" spans="1:4" x14ac:dyDescent="0.4">
      <c r="A2058" s="1" t="s">
        <v>4000</v>
      </c>
      <c r="B2058" t="s">
        <v>4001</v>
      </c>
      <c r="C2058" t="s">
        <v>5</v>
      </c>
      <c r="D2058">
        <v>22000</v>
      </c>
    </row>
    <row r="2059" spans="1:4" x14ac:dyDescent="0.4">
      <c r="A2059" s="1" t="s">
        <v>4002</v>
      </c>
      <c r="B2059" t="s">
        <v>4003</v>
      </c>
      <c r="C2059" t="s">
        <v>5</v>
      </c>
      <c r="D2059">
        <v>43700</v>
      </c>
    </row>
    <row r="2060" spans="1:4" x14ac:dyDescent="0.4">
      <c r="A2060" s="1" t="s">
        <v>4004</v>
      </c>
      <c r="B2060" t="s">
        <v>4005</v>
      </c>
      <c r="C2060" t="s">
        <v>5</v>
      </c>
      <c r="D2060">
        <v>12800</v>
      </c>
    </row>
    <row r="2061" spans="1:4" x14ac:dyDescent="0.4">
      <c r="A2061" s="1" t="s">
        <v>4006</v>
      </c>
      <c r="B2061" t="s">
        <v>4007</v>
      </c>
      <c r="C2061" t="s">
        <v>5</v>
      </c>
    </row>
    <row r="2062" spans="1:4" x14ac:dyDescent="0.4">
      <c r="A2062" s="1" t="s">
        <v>4008</v>
      </c>
      <c r="B2062" t="s">
        <v>4009</v>
      </c>
      <c r="C2062" t="s">
        <v>5</v>
      </c>
      <c r="D2062">
        <v>20300</v>
      </c>
    </row>
    <row r="2063" spans="1:4" x14ac:dyDescent="0.4">
      <c r="A2063" s="1" t="s">
        <v>4010</v>
      </c>
      <c r="B2063" t="s">
        <v>4011</v>
      </c>
      <c r="C2063" t="s">
        <v>5</v>
      </c>
      <c r="D2063">
        <v>9200</v>
      </c>
    </row>
    <row r="2064" spans="1:4" x14ac:dyDescent="0.4">
      <c r="A2064" s="1" t="s">
        <v>4012</v>
      </c>
      <c r="B2064" t="s">
        <v>4013</v>
      </c>
      <c r="C2064" t="s">
        <v>5</v>
      </c>
      <c r="D2064">
        <v>33500</v>
      </c>
    </row>
    <row r="2065" spans="1:4" x14ac:dyDescent="0.4">
      <c r="A2065" s="1" t="s">
        <v>4014</v>
      </c>
      <c r="B2065" t="s">
        <v>4015</v>
      </c>
      <c r="C2065" t="s">
        <v>5</v>
      </c>
      <c r="D2065">
        <v>3800</v>
      </c>
    </row>
    <row r="2066" spans="1:4" x14ac:dyDescent="0.4">
      <c r="A2066" s="1" t="s">
        <v>4016</v>
      </c>
      <c r="B2066" t="s">
        <v>4017</v>
      </c>
      <c r="C2066" t="s">
        <v>5</v>
      </c>
      <c r="D2066">
        <v>5900</v>
      </c>
    </row>
    <row r="2067" spans="1:4" x14ac:dyDescent="0.4">
      <c r="A2067" s="1" t="s">
        <v>4018</v>
      </c>
      <c r="B2067" t="s">
        <v>4019</v>
      </c>
      <c r="C2067" t="s">
        <v>5</v>
      </c>
      <c r="D2067">
        <v>2000</v>
      </c>
    </row>
    <row r="2068" spans="1:4" x14ac:dyDescent="0.4">
      <c r="A2068" s="1" t="s">
        <v>4020</v>
      </c>
      <c r="B2068" t="s">
        <v>4021</v>
      </c>
      <c r="C2068" t="s">
        <v>5</v>
      </c>
      <c r="D2068">
        <v>5000</v>
      </c>
    </row>
    <row r="2069" spans="1:4" x14ac:dyDescent="0.4">
      <c r="A2069" s="1" t="s">
        <v>4022</v>
      </c>
      <c r="B2069" t="s">
        <v>4023</v>
      </c>
      <c r="C2069" t="s">
        <v>5</v>
      </c>
      <c r="D2069">
        <v>7000</v>
      </c>
    </row>
    <row r="2070" spans="1:4" x14ac:dyDescent="0.4">
      <c r="A2070" s="1" t="s">
        <v>4024</v>
      </c>
      <c r="B2070" t="s">
        <v>4025</v>
      </c>
      <c r="C2070" t="s">
        <v>5</v>
      </c>
      <c r="D2070">
        <v>2000</v>
      </c>
    </row>
    <row r="2071" spans="1:4" x14ac:dyDescent="0.4">
      <c r="A2071" s="1" t="s">
        <v>4026</v>
      </c>
      <c r="B2071" t="s">
        <v>4027</v>
      </c>
      <c r="C2071" t="s">
        <v>5</v>
      </c>
      <c r="D2071">
        <v>3800</v>
      </c>
    </row>
    <row r="2072" spans="1:4" x14ac:dyDescent="0.4">
      <c r="A2072" s="1" t="s">
        <v>4028</v>
      </c>
      <c r="B2072" t="s">
        <v>4029</v>
      </c>
      <c r="C2072" t="s">
        <v>5</v>
      </c>
      <c r="D2072">
        <v>5900</v>
      </c>
    </row>
    <row r="2073" spans="1:4" x14ac:dyDescent="0.4">
      <c r="A2073" s="1" t="s">
        <v>4030</v>
      </c>
      <c r="B2073" t="s">
        <v>4031</v>
      </c>
      <c r="C2073" t="s">
        <v>5</v>
      </c>
      <c r="D2073">
        <v>2000</v>
      </c>
    </row>
    <row r="2074" spans="1:4" x14ac:dyDescent="0.4">
      <c r="A2074" s="1" t="s">
        <v>4032</v>
      </c>
      <c r="B2074" t="s">
        <v>4033</v>
      </c>
      <c r="C2074" t="s">
        <v>5</v>
      </c>
      <c r="D2074">
        <v>3800</v>
      </c>
    </row>
    <row r="2075" spans="1:4" x14ac:dyDescent="0.4">
      <c r="A2075" s="1" t="s">
        <v>4034</v>
      </c>
      <c r="B2075" t="s">
        <v>4035</v>
      </c>
      <c r="C2075" t="s">
        <v>5</v>
      </c>
      <c r="D2075">
        <v>5900</v>
      </c>
    </row>
    <row r="2076" spans="1:4" x14ac:dyDescent="0.4">
      <c r="A2076" s="1" t="s">
        <v>4036</v>
      </c>
      <c r="B2076" t="s">
        <v>4037</v>
      </c>
      <c r="C2076" t="s">
        <v>5</v>
      </c>
      <c r="D2076">
        <v>2000</v>
      </c>
    </row>
    <row r="2077" spans="1:4" x14ac:dyDescent="0.4">
      <c r="A2077" s="1" t="s">
        <v>4038</v>
      </c>
      <c r="B2077" t="s">
        <v>4039</v>
      </c>
      <c r="C2077" t="s">
        <v>5</v>
      </c>
      <c r="D2077">
        <v>3800</v>
      </c>
    </row>
    <row r="2078" spans="1:4" x14ac:dyDescent="0.4">
      <c r="A2078" s="1" t="s">
        <v>4040</v>
      </c>
      <c r="B2078" t="s">
        <v>4041</v>
      </c>
      <c r="C2078" t="s">
        <v>5</v>
      </c>
      <c r="D2078">
        <v>5900</v>
      </c>
    </row>
    <row r="2079" spans="1:4" x14ac:dyDescent="0.4">
      <c r="A2079" s="1" t="s">
        <v>4042</v>
      </c>
      <c r="B2079" t="s">
        <v>4043</v>
      </c>
      <c r="C2079" t="s">
        <v>5</v>
      </c>
      <c r="D2079">
        <v>2000</v>
      </c>
    </row>
    <row r="2080" spans="1:4" x14ac:dyDescent="0.4">
      <c r="A2080" s="1" t="s">
        <v>4044</v>
      </c>
      <c r="B2080" t="s">
        <v>4045</v>
      </c>
      <c r="C2080" t="s">
        <v>5</v>
      </c>
      <c r="D2080">
        <v>4800</v>
      </c>
    </row>
    <row r="2081" spans="1:4" x14ac:dyDescent="0.4">
      <c r="A2081" s="1" t="s">
        <v>4046</v>
      </c>
      <c r="B2081" t="s">
        <v>4047</v>
      </c>
      <c r="C2081" t="s">
        <v>5</v>
      </c>
      <c r="D2081">
        <v>6700</v>
      </c>
    </row>
    <row r="2082" spans="1:4" x14ac:dyDescent="0.4">
      <c r="A2082" s="1" t="s">
        <v>4048</v>
      </c>
      <c r="B2082" t="s">
        <v>4049</v>
      </c>
      <c r="C2082" t="s">
        <v>5</v>
      </c>
      <c r="D2082">
        <v>1900</v>
      </c>
    </row>
    <row r="2083" spans="1:4" x14ac:dyDescent="0.4">
      <c r="A2083" s="1" t="s">
        <v>4050</v>
      </c>
      <c r="B2083" t="s">
        <v>4051</v>
      </c>
      <c r="C2083" t="s">
        <v>5</v>
      </c>
      <c r="D2083">
        <v>3800</v>
      </c>
    </row>
    <row r="2084" spans="1:4" x14ac:dyDescent="0.4">
      <c r="A2084" s="1" t="s">
        <v>4052</v>
      </c>
      <c r="B2084" t="s">
        <v>4053</v>
      </c>
      <c r="C2084" t="s">
        <v>5</v>
      </c>
      <c r="D2084">
        <v>5900</v>
      </c>
    </row>
    <row r="2085" spans="1:4" x14ac:dyDescent="0.4">
      <c r="A2085" s="1" t="s">
        <v>4054</v>
      </c>
      <c r="B2085" t="s">
        <v>4055</v>
      </c>
      <c r="C2085" t="s">
        <v>5</v>
      </c>
      <c r="D2085">
        <v>2000</v>
      </c>
    </row>
    <row r="2086" spans="1:4" x14ac:dyDescent="0.4">
      <c r="A2086" s="1" t="s">
        <v>4056</v>
      </c>
      <c r="B2086" t="s">
        <v>4057</v>
      </c>
      <c r="C2086" t="s">
        <v>5</v>
      </c>
      <c r="D2086">
        <v>3800</v>
      </c>
    </row>
    <row r="2087" spans="1:4" x14ac:dyDescent="0.4">
      <c r="A2087" s="1" t="s">
        <v>4058</v>
      </c>
      <c r="B2087" t="s">
        <v>4059</v>
      </c>
      <c r="C2087" t="s">
        <v>5</v>
      </c>
      <c r="D2087">
        <v>5900</v>
      </c>
    </row>
    <row r="2088" spans="1:4" x14ac:dyDescent="0.4">
      <c r="A2088" s="1" t="s">
        <v>4060</v>
      </c>
      <c r="B2088" t="s">
        <v>4061</v>
      </c>
      <c r="C2088" t="s">
        <v>5</v>
      </c>
      <c r="D2088">
        <v>2000</v>
      </c>
    </row>
    <row r="2089" spans="1:4" x14ac:dyDescent="0.4">
      <c r="A2089" s="1" t="s">
        <v>4062</v>
      </c>
      <c r="B2089" t="s">
        <v>4063</v>
      </c>
      <c r="C2089" t="s">
        <v>5</v>
      </c>
      <c r="D2089">
        <v>3800</v>
      </c>
    </row>
    <row r="2090" spans="1:4" x14ac:dyDescent="0.4">
      <c r="A2090" s="1" t="s">
        <v>4064</v>
      </c>
      <c r="B2090" t="s">
        <v>4065</v>
      </c>
      <c r="C2090" t="s">
        <v>5</v>
      </c>
      <c r="D2090">
        <v>5900</v>
      </c>
    </row>
    <row r="2091" spans="1:4" x14ac:dyDescent="0.4">
      <c r="A2091" s="1" t="s">
        <v>4066</v>
      </c>
      <c r="B2091" t="s">
        <v>4067</v>
      </c>
      <c r="C2091" t="s">
        <v>5</v>
      </c>
      <c r="D2091">
        <v>2000</v>
      </c>
    </row>
    <row r="2092" spans="1:4" x14ac:dyDescent="0.4">
      <c r="A2092" s="1" t="s">
        <v>4068</v>
      </c>
      <c r="B2092" t="s">
        <v>4069</v>
      </c>
      <c r="C2092" t="s">
        <v>5</v>
      </c>
      <c r="D2092">
        <v>4800</v>
      </c>
    </row>
    <row r="2093" spans="1:4" x14ac:dyDescent="0.4">
      <c r="A2093" s="1" t="s">
        <v>4070</v>
      </c>
      <c r="B2093" t="s">
        <v>4071</v>
      </c>
      <c r="C2093" t="s">
        <v>5</v>
      </c>
      <c r="D2093">
        <v>6700</v>
      </c>
    </row>
    <row r="2094" spans="1:4" x14ac:dyDescent="0.4">
      <c r="A2094" s="1" t="s">
        <v>4072</v>
      </c>
      <c r="B2094" t="s">
        <v>4073</v>
      </c>
      <c r="C2094" t="s">
        <v>5</v>
      </c>
      <c r="D2094">
        <v>1900</v>
      </c>
    </row>
    <row r="2095" spans="1:4" x14ac:dyDescent="0.4">
      <c r="A2095" s="1" t="s">
        <v>4074</v>
      </c>
      <c r="B2095" t="s">
        <v>4075</v>
      </c>
      <c r="C2095" t="s">
        <v>5</v>
      </c>
      <c r="D2095">
        <v>3800</v>
      </c>
    </row>
    <row r="2096" spans="1:4" x14ac:dyDescent="0.4">
      <c r="A2096" s="1" t="s">
        <v>4076</v>
      </c>
      <c r="B2096" t="s">
        <v>4077</v>
      </c>
      <c r="C2096" t="s">
        <v>5</v>
      </c>
      <c r="D2096">
        <v>5900</v>
      </c>
    </row>
    <row r="2097" spans="1:4" x14ac:dyDescent="0.4">
      <c r="A2097" s="1" t="s">
        <v>4078</v>
      </c>
      <c r="B2097" t="s">
        <v>4079</v>
      </c>
      <c r="C2097" t="s">
        <v>5</v>
      </c>
      <c r="D2097">
        <v>2000</v>
      </c>
    </row>
    <row r="2098" spans="1:4" x14ac:dyDescent="0.4">
      <c r="A2098" s="1" t="s">
        <v>4080</v>
      </c>
      <c r="B2098" t="s">
        <v>4081</v>
      </c>
      <c r="C2098" t="s">
        <v>5</v>
      </c>
      <c r="D2098">
        <v>3800</v>
      </c>
    </row>
    <row r="2099" spans="1:4" x14ac:dyDescent="0.4">
      <c r="A2099" s="1" t="s">
        <v>4082</v>
      </c>
      <c r="B2099" t="s">
        <v>4083</v>
      </c>
      <c r="C2099" t="s">
        <v>5</v>
      </c>
      <c r="D2099">
        <v>5900</v>
      </c>
    </row>
    <row r="2100" spans="1:4" x14ac:dyDescent="0.4">
      <c r="A2100" s="1" t="s">
        <v>4084</v>
      </c>
      <c r="B2100" t="s">
        <v>4085</v>
      </c>
      <c r="C2100" t="s">
        <v>5</v>
      </c>
      <c r="D2100">
        <v>2000</v>
      </c>
    </row>
    <row r="2101" spans="1:4" x14ac:dyDescent="0.4">
      <c r="A2101" s="1" t="s">
        <v>4086</v>
      </c>
      <c r="B2101" t="s">
        <v>4087</v>
      </c>
      <c r="C2101" t="s">
        <v>5</v>
      </c>
      <c r="D2101">
        <v>3800</v>
      </c>
    </row>
    <row r="2102" spans="1:4" x14ac:dyDescent="0.4">
      <c r="A2102" s="1" t="s">
        <v>4088</v>
      </c>
      <c r="B2102" t="s">
        <v>4089</v>
      </c>
      <c r="C2102" t="s">
        <v>5</v>
      </c>
      <c r="D2102">
        <v>5900</v>
      </c>
    </row>
    <row r="2103" spans="1:4" x14ac:dyDescent="0.4">
      <c r="A2103" s="1" t="s">
        <v>4090</v>
      </c>
      <c r="B2103" t="s">
        <v>4091</v>
      </c>
      <c r="C2103" t="s">
        <v>5</v>
      </c>
      <c r="D2103">
        <v>4800</v>
      </c>
    </row>
    <row r="2104" spans="1:4" x14ac:dyDescent="0.4">
      <c r="A2104" s="1" t="s">
        <v>4092</v>
      </c>
      <c r="B2104" t="s">
        <v>4093</v>
      </c>
      <c r="C2104" t="s">
        <v>5</v>
      </c>
      <c r="D2104">
        <v>6700</v>
      </c>
    </row>
    <row r="2105" spans="1:4" x14ac:dyDescent="0.4">
      <c r="A2105" s="1" t="s">
        <v>4094</v>
      </c>
      <c r="B2105" t="s">
        <v>4095</v>
      </c>
      <c r="C2105" t="s">
        <v>5</v>
      </c>
      <c r="D2105">
        <v>3800</v>
      </c>
    </row>
    <row r="2106" spans="1:4" x14ac:dyDescent="0.4">
      <c r="A2106" s="1" t="s">
        <v>4096</v>
      </c>
      <c r="B2106" t="s">
        <v>4097</v>
      </c>
      <c r="C2106" t="s">
        <v>5</v>
      </c>
      <c r="D2106">
        <v>5900</v>
      </c>
    </row>
    <row r="2107" spans="1:4" x14ac:dyDescent="0.4">
      <c r="A2107" s="1" t="s">
        <v>4098</v>
      </c>
      <c r="B2107" t="s">
        <v>4099</v>
      </c>
      <c r="C2107" t="s">
        <v>5</v>
      </c>
      <c r="D2107">
        <v>3800</v>
      </c>
    </row>
    <row r="2108" spans="1:4" x14ac:dyDescent="0.4">
      <c r="A2108" s="1" t="s">
        <v>4100</v>
      </c>
      <c r="B2108" t="s">
        <v>4101</v>
      </c>
      <c r="C2108" t="s">
        <v>5</v>
      </c>
      <c r="D2108">
        <v>5900</v>
      </c>
    </row>
    <row r="2109" spans="1:4" x14ac:dyDescent="0.4">
      <c r="A2109" s="1" t="s">
        <v>4102</v>
      </c>
      <c r="B2109" t="s">
        <v>4103</v>
      </c>
      <c r="C2109" t="s">
        <v>5</v>
      </c>
    </row>
    <row r="2110" spans="1:4" x14ac:dyDescent="0.4">
      <c r="A2110" s="1" t="s">
        <v>4104</v>
      </c>
      <c r="B2110" t="s">
        <v>4105</v>
      </c>
      <c r="C2110" t="s">
        <v>5</v>
      </c>
    </row>
    <row r="2111" spans="1:4" x14ac:dyDescent="0.4">
      <c r="A2111" s="1" t="s">
        <v>4106</v>
      </c>
      <c r="B2111" t="s">
        <v>4107</v>
      </c>
      <c r="C2111" t="s">
        <v>5</v>
      </c>
    </row>
    <row r="2112" spans="1:4" x14ac:dyDescent="0.4">
      <c r="A2112" s="1" t="s">
        <v>4108</v>
      </c>
      <c r="B2112" t="s">
        <v>4109</v>
      </c>
      <c r="C2112" t="s">
        <v>5</v>
      </c>
    </row>
    <row r="2113" spans="1:4" x14ac:dyDescent="0.4">
      <c r="A2113" s="1" t="s">
        <v>4110</v>
      </c>
      <c r="B2113" t="s">
        <v>4111</v>
      </c>
      <c r="C2113" t="s">
        <v>5</v>
      </c>
    </row>
    <row r="2114" spans="1:4" x14ac:dyDescent="0.4">
      <c r="A2114" s="1" t="s">
        <v>4112</v>
      </c>
      <c r="B2114" t="s">
        <v>4113</v>
      </c>
      <c r="C2114" t="s">
        <v>5</v>
      </c>
    </row>
    <row r="2115" spans="1:4" x14ac:dyDescent="0.4">
      <c r="A2115" s="1" t="s">
        <v>4114</v>
      </c>
      <c r="B2115" t="s">
        <v>4115</v>
      </c>
      <c r="C2115" t="s">
        <v>5</v>
      </c>
    </row>
    <row r="2116" spans="1:4" x14ac:dyDescent="0.4">
      <c r="A2116" s="1" t="s">
        <v>4116</v>
      </c>
      <c r="B2116" t="s">
        <v>4117</v>
      </c>
      <c r="C2116" t="s">
        <v>5</v>
      </c>
    </row>
    <row r="2117" spans="1:4" x14ac:dyDescent="0.4">
      <c r="A2117" s="1" t="s">
        <v>4118</v>
      </c>
      <c r="B2117" t="e">
        <f>-終息-カシオ DJ5-DSC ﾄﾞﾗﾑｶｰﾄﾘｯｼﾞ ｼｱﾝ</f>
        <v>#NAME?</v>
      </c>
      <c r="C2117" t="s">
        <v>5</v>
      </c>
      <c r="D2117">
        <v>24000</v>
      </c>
    </row>
    <row r="2118" spans="1:4" x14ac:dyDescent="0.4">
      <c r="A2118" s="1" t="s">
        <v>4119</v>
      </c>
      <c r="B2118" t="e">
        <f>-終息-CASIO DJ5-DSC-Z ﾄﾞﾗﾑｶｰﾄﾘｯｼﾞ ｼｱﾝ</f>
        <v>#NAME?</v>
      </c>
      <c r="C2118" t="s">
        <v>5</v>
      </c>
      <c r="D2118">
        <v>25000</v>
      </c>
    </row>
    <row r="2119" spans="1:4" x14ac:dyDescent="0.4">
      <c r="A2119" s="1" t="s">
        <v>4120</v>
      </c>
      <c r="B2119" t="e">
        <f>-終息-カシオ DJ5-DSK ﾄﾞﾗﾑｶｰﾄﾘｯｼﾞ ﾌﾞﾗｯｸ</f>
        <v>#NAME?</v>
      </c>
      <c r="C2119" t="s">
        <v>5</v>
      </c>
      <c r="D2119">
        <v>24000</v>
      </c>
    </row>
    <row r="2120" spans="1:4" x14ac:dyDescent="0.4">
      <c r="A2120" s="1" t="s">
        <v>4121</v>
      </c>
      <c r="B2120" t="e">
        <f>-終息-CASIO DJ5-DSK-Z ﾄﾞﾗﾑｶｰﾄﾘｯｼﾞ ﾌﾞﾗｯｸ</f>
        <v>#NAME?</v>
      </c>
      <c r="C2120" t="s">
        <v>5</v>
      </c>
      <c r="D2120">
        <v>25000</v>
      </c>
    </row>
    <row r="2121" spans="1:4" x14ac:dyDescent="0.4">
      <c r="A2121" s="1" t="s">
        <v>4122</v>
      </c>
      <c r="B2121" t="e">
        <f>-終息-カシオ DJ5-DSM ﾄﾞﾗﾑｶｰﾄﾘｯｼﾞ ﾏｾﾞﾝﾀ</f>
        <v>#NAME?</v>
      </c>
      <c r="C2121" t="s">
        <v>5</v>
      </c>
      <c r="D2121">
        <v>24000</v>
      </c>
    </row>
    <row r="2122" spans="1:4" x14ac:dyDescent="0.4">
      <c r="A2122" s="1" t="s">
        <v>4123</v>
      </c>
      <c r="B2122" t="e">
        <f>-終息-CASIO DJ5-DSM-Z ﾄﾞﾗﾑｶｰﾄﾘｯｼﾞ ﾏｾﾞﾝﾀ</f>
        <v>#NAME?</v>
      </c>
      <c r="C2122" t="s">
        <v>5</v>
      </c>
      <c r="D2122">
        <v>25000</v>
      </c>
    </row>
    <row r="2123" spans="1:4" x14ac:dyDescent="0.4">
      <c r="A2123" s="1" t="s">
        <v>4124</v>
      </c>
      <c r="B2123" t="e">
        <f>-終息-カシオ DJ5-DSY ﾄﾞﾗﾑｶｰﾄﾘｯｼﾞ ｲｴﾛｰ</f>
        <v>#NAME?</v>
      </c>
      <c r="C2123" t="s">
        <v>5</v>
      </c>
      <c r="D2123">
        <v>24000</v>
      </c>
    </row>
    <row r="2124" spans="1:4" x14ac:dyDescent="0.4">
      <c r="A2124" s="1" t="s">
        <v>4125</v>
      </c>
      <c r="B2124" t="e">
        <f>-終息-CASIO DJ5-DSY-Z ﾄﾞﾗﾑｶｰﾄﾘｯｼﾞ ｲｴﾛｰ</f>
        <v>#NAME?</v>
      </c>
      <c r="C2124" t="s">
        <v>5</v>
      </c>
      <c r="D2124">
        <v>25000</v>
      </c>
    </row>
    <row r="2125" spans="1:4" x14ac:dyDescent="0.4">
      <c r="A2125" s="1" t="s">
        <v>4126</v>
      </c>
      <c r="B2125" t="e">
        <f>-終息-CASIO DJ5-TSC-Z ﾄﾅｰ ｼｱﾝ</f>
        <v>#NAME?</v>
      </c>
      <c r="C2125" t="s">
        <v>5</v>
      </c>
      <c r="D2125">
        <v>18000</v>
      </c>
    </row>
    <row r="2126" spans="1:4" x14ac:dyDescent="0.4">
      <c r="A2126" s="1" t="s">
        <v>4127</v>
      </c>
      <c r="B2126" t="e">
        <f>-終息-CASIO DJ5-TSK-Z ﾄﾅｰ ﾌﾞﾗｯｸ</f>
        <v>#NAME?</v>
      </c>
      <c r="C2126" t="s">
        <v>5</v>
      </c>
      <c r="D2126">
        <v>16500</v>
      </c>
    </row>
    <row r="2127" spans="1:4" x14ac:dyDescent="0.4">
      <c r="A2127" s="1" t="s">
        <v>4128</v>
      </c>
      <c r="B2127" t="e">
        <f>-終息-CASIO DJ5-TSM-Z ﾄﾅｰ ﾏｾﾞﾝﾀ</f>
        <v>#NAME?</v>
      </c>
      <c r="C2127" t="s">
        <v>5</v>
      </c>
      <c r="D2127">
        <v>18000</v>
      </c>
    </row>
    <row r="2128" spans="1:4" x14ac:dyDescent="0.4">
      <c r="A2128" s="1" t="s">
        <v>4129</v>
      </c>
      <c r="B2128" t="e">
        <f>-終息-CASIO DJ5-TSY-Z ﾄﾅｰ ｲｴﾛｰ</f>
        <v>#NAME?</v>
      </c>
      <c r="C2128" t="s">
        <v>5</v>
      </c>
      <c r="D2128">
        <v>18000</v>
      </c>
    </row>
    <row r="2129" spans="1:4" x14ac:dyDescent="0.4">
      <c r="A2129" s="1" t="s">
        <v>4130</v>
      </c>
      <c r="B2129" t="e">
        <f>-終息-カシオ  #REF!-TSC-G 回収協力ﾄﾅｰ ｼｱﾝ</f>
        <v>#NAME?</v>
      </c>
      <c r="C2129" t="s">
        <v>5</v>
      </c>
      <c r="D2129">
        <v>30000</v>
      </c>
    </row>
    <row r="2130" spans="1:4" x14ac:dyDescent="0.4">
      <c r="A2130" s="1" t="s">
        <v>4131</v>
      </c>
      <c r="B2130" t="e">
        <f>-終息-カシオ  #REF!-TSM-G 回収協力ﾄﾅｰ ﾏｾﾞﾝﾀ</f>
        <v>#NAME?</v>
      </c>
      <c r="C2130" t="s">
        <v>5</v>
      </c>
      <c r="D2130">
        <v>30000</v>
      </c>
    </row>
    <row r="2131" spans="1:4" x14ac:dyDescent="0.4">
      <c r="A2131" s="1" t="s">
        <v>4132</v>
      </c>
      <c r="B2131" t="e">
        <f>-終息-カシオ  #REF!-TSY-G 回収協力ﾄﾅｰ ｲｴﾛｰ</f>
        <v>#NAME?</v>
      </c>
      <c r="C2131" t="s">
        <v>5</v>
      </c>
      <c r="D2131">
        <v>30000</v>
      </c>
    </row>
    <row r="2132" spans="1:4" x14ac:dyDescent="0.4">
      <c r="A2132" s="1" t="s">
        <v>4133</v>
      </c>
      <c r="B2132" t="s">
        <v>4134</v>
      </c>
      <c r="C2132" t="s">
        <v>5</v>
      </c>
    </row>
    <row r="2133" spans="1:4" x14ac:dyDescent="0.4">
      <c r="A2133" s="1" t="s">
        <v>4135</v>
      </c>
      <c r="B2133" t="s">
        <v>4136</v>
      </c>
      <c r="C2133" t="s">
        <v>5</v>
      </c>
    </row>
    <row r="2134" spans="1:4" x14ac:dyDescent="0.4">
      <c r="A2134" s="1" t="s">
        <v>4137</v>
      </c>
      <c r="B2134" t="s">
        <v>4138</v>
      </c>
      <c r="C2134" t="s">
        <v>5</v>
      </c>
    </row>
    <row r="2135" spans="1:4" x14ac:dyDescent="0.4">
      <c r="A2135" s="1" t="s">
        <v>4139</v>
      </c>
      <c r="B2135" t="s">
        <v>4140</v>
      </c>
      <c r="C2135" t="s">
        <v>5</v>
      </c>
    </row>
    <row r="2136" spans="1:4" x14ac:dyDescent="0.4">
      <c r="A2136" s="1" t="s">
        <v>4141</v>
      </c>
      <c r="B2136" t="s">
        <v>4142</v>
      </c>
      <c r="C2136" t="s">
        <v>5</v>
      </c>
    </row>
    <row r="2137" spans="1:4" x14ac:dyDescent="0.4">
      <c r="A2137" s="1" t="s">
        <v>4143</v>
      </c>
      <c r="B2137" t="s">
        <v>4144</v>
      </c>
      <c r="C2137" t="s">
        <v>5</v>
      </c>
    </row>
    <row r="2138" spans="1:4" x14ac:dyDescent="0.4">
      <c r="A2138" s="1" t="s">
        <v>4145</v>
      </c>
      <c r="B2138" t="s">
        <v>4146</v>
      </c>
      <c r="C2138" t="s">
        <v>5</v>
      </c>
    </row>
    <row r="2139" spans="1:4" x14ac:dyDescent="0.4">
      <c r="A2139" s="1" t="s">
        <v>4147</v>
      </c>
      <c r="B2139" t="s">
        <v>4148</v>
      </c>
      <c r="C2139" t="s">
        <v>5</v>
      </c>
    </row>
    <row r="2140" spans="1:4" x14ac:dyDescent="0.4">
      <c r="A2140" s="1" t="s">
        <v>4149</v>
      </c>
      <c r="B2140" t="s">
        <v>4150</v>
      </c>
      <c r="C2140" t="s">
        <v>5</v>
      </c>
    </row>
    <row r="2141" spans="1:4" x14ac:dyDescent="0.4">
      <c r="A2141" s="1" t="s">
        <v>4151</v>
      </c>
      <c r="B2141" t="s">
        <v>4152</v>
      </c>
      <c r="C2141" t="s">
        <v>5</v>
      </c>
    </row>
    <row r="2142" spans="1:4" x14ac:dyDescent="0.4">
      <c r="A2142" s="1" t="s">
        <v>4153</v>
      </c>
      <c r="B2142" t="s">
        <v>4154</v>
      </c>
      <c r="C2142" t="s">
        <v>5</v>
      </c>
    </row>
    <row r="2143" spans="1:4" x14ac:dyDescent="0.4">
      <c r="A2143" s="1" t="s">
        <v>4155</v>
      </c>
      <c r="B2143" t="s">
        <v>4156</v>
      </c>
      <c r="C2143" t="s">
        <v>5</v>
      </c>
    </row>
    <row r="2144" spans="1:4" x14ac:dyDescent="0.4">
      <c r="A2144" s="1" t="s">
        <v>4157</v>
      </c>
      <c r="B2144" t="s">
        <v>4158</v>
      </c>
      <c r="C2144" t="s">
        <v>5</v>
      </c>
    </row>
    <row r="2145" spans="1:3" x14ac:dyDescent="0.4">
      <c r="A2145" s="1" t="s">
        <v>4159</v>
      </c>
      <c r="B2145" t="s">
        <v>4160</v>
      </c>
      <c r="C2145" t="s">
        <v>5</v>
      </c>
    </row>
    <row r="2146" spans="1:3" x14ac:dyDescent="0.4">
      <c r="A2146" s="1" t="s">
        <v>4161</v>
      </c>
      <c r="B2146" t="s">
        <v>4162</v>
      </c>
      <c r="C2146" t="s">
        <v>5</v>
      </c>
    </row>
    <row r="2147" spans="1:3" x14ac:dyDescent="0.4">
      <c r="A2147" s="1" t="s">
        <v>4163</v>
      </c>
      <c r="B2147" t="s">
        <v>4164</v>
      </c>
      <c r="C2147" t="s">
        <v>5</v>
      </c>
    </row>
    <row r="2148" spans="1:3" x14ac:dyDescent="0.4">
      <c r="A2148" s="1" t="s">
        <v>4165</v>
      </c>
      <c r="B2148" t="s">
        <v>4166</v>
      </c>
      <c r="C2148" t="s">
        <v>5</v>
      </c>
    </row>
    <row r="2149" spans="1:3" x14ac:dyDescent="0.4">
      <c r="A2149" s="1" t="s">
        <v>4167</v>
      </c>
      <c r="B2149" t="s">
        <v>4168</v>
      </c>
      <c r="C2149" t="s">
        <v>5</v>
      </c>
    </row>
    <row r="2150" spans="1:3" x14ac:dyDescent="0.4">
      <c r="A2150" s="1" t="s">
        <v>4169</v>
      </c>
      <c r="B2150" t="s">
        <v>4170</v>
      </c>
      <c r="C2150" t="s">
        <v>5</v>
      </c>
    </row>
    <row r="2151" spans="1:3" x14ac:dyDescent="0.4">
      <c r="A2151" s="1" t="s">
        <v>4171</v>
      </c>
      <c r="B2151" t="s">
        <v>4172</v>
      </c>
      <c r="C2151" t="s">
        <v>5</v>
      </c>
    </row>
    <row r="2152" spans="1:3" x14ac:dyDescent="0.4">
      <c r="A2152" s="1" t="s">
        <v>4173</v>
      </c>
      <c r="B2152" t="s">
        <v>4174</v>
      </c>
      <c r="C2152" t="s">
        <v>5</v>
      </c>
    </row>
    <row r="2153" spans="1:3" x14ac:dyDescent="0.4">
      <c r="A2153" s="1" t="s">
        <v>4175</v>
      </c>
      <c r="B2153" t="s">
        <v>4176</v>
      </c>
      <c r="C2153" t="s">
        <v>5</v>
      </c>
    </row>
    <row r="2154" spans="1:3" x14ac:dyDescent="0.4">
      <c r="A2154" s="1" t="s">
        <v>4177</v>
      </c>
      <c r="B2154" t="s">
        <v>4178</v>
      </c>
      <c r="C2154" t="s">
        <v>5</v>
      </c>
    </row>
    <row r="2155" spans="1:3" x14ac:dyDescent="0.4">
      <c r="A2155" s="1" t="s">
        <v>4179</v>
      </c>
      <c r="B2155" t="s">
        <v>4180</v>
      </c>
      <c r="C2155" t="s">
        <v>5</v>
      </c>
    </row>
    <row r="2156" spans="1:3" x14ac:dyDescent="0.4">
      <c r="A2156" s="1" t="s">
        <v>4181</v>
      </c>
      <c r="B2156" t="s">
        <v>4182</v>
      </c>
      <c r="C2156" t="s">
        <v>5</v>
      </c>
    </row>
    <row r="2157" spans="1:3" x14ac:dyDescent="0.4">
      <c r="A2157" s="1" t="s">
        <v>4183</v>
      </c>
      <c r="B2157" t="s">
        <v>4184</v>
      </c>
      <c r="C2157" t="s">
        <v>5</v>
      </c>
    </row>
    <row r="2158" spans="1:3" x14ac:dyDescent="0.4">
      <c r="A2158" s="1" t="s">
        <v>4185</v>
      </c>
      <c r="B2158" t="s">
        <v>4186</v>
      </c>
      <c r="C2158" t="s">
        <v>5</v>
      </c>
    </row>
    <row r="2159" spans="1:3" x14ac:dyDescent="0.4">
      <c r="A2159" s="1" t="s">
        <v>4187</v>
      </c>
      <c r="B2159" t="s">
        <v>4188</v>
      </c>
    </row>
    <row r="2160" spans="1:3" x14ac:dyDescent="0.4">
      <c r="A2160" s="1" t="s">
        <v>4189</v>
      </c>
      <c r="B2160" t="s">
        <v>4190</v>
      </c>
      <c r="C2160" t="s">
        <v>5</v>
      </c>
    </row>
    <row r="2161" spans="1:4" x14ac:dyDescent="0.4">
      <c r="A2161" s="1" t="s">
        <v>4191</v>
      </c>
      <c r="B2161" t="s">
        <v>4192</v>
      </c>
      <c r="C2161" t="s">
        <v>5</v>
      </c>
    </row>
    <row r="2162" spans="1:4" x14ac:dyDescent="0.4">
      <c r="A2162" s="1" t="s">
        <v>4193</v>
      </c>
      <c r="B2162" t="s">
        <v>4194</v>
      </c>
      <c r="C2162" t="s">
        <v>5</v>
      </c>
    </row>
    <row r="2163" spans="1:4" x14ac:dyDescent="0.4">
      <c r="A2163" s="1" t="s">
        <v>4195</v>
      </c>
      <c r="B2163" t="s">
        <v>4196</v>
      </c>
      <c r="C2163" t="s">
        <v>5</v>
      </c>
    </row>
    <row r="2164" spans="1:4" x14ac:dyDescent="0.4">
      <c r="A2164" s="1" t="s">
        <v>4197</v>
      </c>
      <c r="B2164" t="s">
        <v>4198</v>
      </c>
      <c r="C2164" t="s">
        <v>5</v>
      </c>
    </row>
    <row r="2165" spans="1:4" x14ac:dyDescent="0.4">
      <c r="A2165" s="1" t="s">
        <v>4199</v>
      </c>
      <c r="B2165" t="s">
        <v>4200</v>
      </c>
      <c r="C2165" t="s">
        <v>5</v>
      </c>
    </row>
    <row r="2166" spans="1:4" x14ac:dyDescent="0.4">
      <c r="A2166" s="1" t="s">
        <v>4201</v>
      </c>
      <c r="B2166" t="s">
        <v>4202</v>
      </c>
      <c r="C2166" t="s">
        <v>5</v>
      </c>
    </row>
    <row r="2167" spans="1:4" x14ac:dyDescent="0.4">
      <c r="A2167" s="1" t="s">
        <v>4203</v>
      </c>
      <c r="B2167" t="s">
        <v>4204</v>
      </c>
      <c r="C2167" t="s">
        <v>5</v>
      </c>
    </row>
    <row r="2168" spans="1:4" x14ac:dyDescent="0.4">
      <c r="A2168" s="1" t="s">
        <v>4205</v>
      </c>
      <c r="B2168" t="s">
        <v>4206</v>
      </c>
      <c r="C2168" t="s">
        <v>5</v>
      </c>
      <c r="D2168">
        <v>20600</v>
      </c>
    </row>
    <row r="2169" spans="1:4" x14ac:dyDescent="0.4">
      <c r="A2169" s="1" t="s">
        <v>4207</v>
      </c>
      <c r="B2169" t="s">
        <v>4208</v>
      </c>
      <c r="C2169" t="s">
        <v>5</v>
      </c>
      <c r="D2169">
        <v>17100</v>
      </c>
    </row>
    <row r="2170" spans="1:4" x14ac:dyDescent="0.4">
      <c r="A2170" s="1" t="s">
        <v>4209</v>
      </c>
      <c r="B2170" t="s">
        <v>4210</v>
      </c>
      <c r="C2170" t="s">
        <v>5</v>
      </c>
      <c r="D2170">
        <v>22100</v>
      </c>
    </row>
    <row r="2171" spans="1:4" x14ac:dyDescent="0.4">
      <c r="A2171" s="1" t="s">
        <v>4211</v>
      </c>
      <c r="B2171" t="s">
        <v>4212</v>
      </c>
      <c r="C2171" t="s">
        <v>5</v>
      </c>
      <c r="D2171">
        <v>22100</v>
      </c>
    </row>
    <row r="2172" spans="1:4" x14ac:dyDescent="0.4">
      <c r="A2172" s="1" t="s">
        <v>4213</v>
      </c>
      <c r="B2172" t="s">
        <v>4214</v>
      </c>
      <c r="C2172" t="s">
        <v>5</v>
      </c>
      <c r="D2172">
        <v>22100</v>
      </c>
    </row>
    <row r="2173" spans="1:4" x14ac:dyDescent="0.4">
      <c r="A2173" s="1" t="s">
        <v>4215</v>
      </c>
      <c r="B2173" t="s">
        <v>4216</v>
      </c>
      <c r="C2173" t="s">
        <v>5</v>
      </c>
    </row>
    <row r="2174" spans="1:4" x14ac:dyDescent="0.4">
      <c r="A2174" s="1" t="s">
        <v>4217</v>
      </c>
      <c r="B2174" t="s">
        <v>4218</v>
      </c>
      <c r="C2174" t="s">
        <v>5</v>
      </c>
    </row>
    <row r="2175" spans="1:4" x14ac:dyDescent="0.4">
      <c r="A2175" s="1" t="s">
        <v>4219</v>
      </c>
      <c r="B2175" t="s">
        <v>4220</v>
      </c>
      <c r="C2175" t="s">
        <v>5</v>
      </c>
    </row>
    <row r="2176" spans="1:4" x14ac:dyDescent="0.4">
      <c r="A2176" s="1" t="s">
        <v>4221</v>
      </c>
      <c r="B2176" t="s">
        <v>4222</v>
      </c>
      <c r="C2176" t="s">
        <v>5</v>
      </c>
    </row>
    <row r="2177" spans="1:4" x14ac:dyDescent="0.4">
      <c r="A2177" s="1" t="s">
        <v>4223</v>
      </c>
      <c r="B2177" t="s">
        <v>4224</v>
      </c>
      <c r="C2177" t="s">
        <v>5</v>
      </c>
    </row>
    <row r="2178" spans="1:4" x14ac:dyDescent="0.4">
      <c r="A2178" s="1" t="s">
        <v>4225</v>
      </c>
      <c r="B2178" t="s">
        <v>4226</v>
      </c>
      <c r="C2178" t="s">
        <v>5</v>
      </c>
      <c r="D2178">
        <v>38600</v>
      </c>
    </row>
    <row r="2179" spans="1:4" x14ac:dyDescent="0.4">
      <c r="A2179" s="1" t="s">
        <v>4227</v>
      </c>
      <c r="B2179" t="s">
        <v>4228</v>
      </c>
      <c r="C2179" t="s">
        <v>5</v>
      </c>
      <c r="D2179">
        <v>2750</v>
      </c>
    </row>
    <row r="2180" spans="1:4" x14ac:dyDescent="0.4">
      <c r="A2180" s="1" t="s">
        <v>4229</v>
      </c>
      <c r="B2180" t="s">
        <v>4230</v>
      </c>
    </row>
    <row r="2181" spans="1:4" x14ac:dyDescent="0.4">
      <c r="A2181" s="1" t="s">
        <v>4231</v>
      </c>
      <c r="B2181" t="s">
        <v>4232</v>
      </c>
      <c r="C2181" t="s">
        <v>5</v>
      </c>
    </row>
    <row r="2182" spans="1:4" x14ac:dyDescent="0.4">
      <c r="A2182" s="1" t="s">
        <v>4233</v>
      </c>
      <c r="B2182" t="s">
        <v>4234</v>
      </c>
      <c r="C2182" t="s">
        <v>5</v>
      </c>
    </row>
    <row r="2183" spans="1:4" x14ac:dyDescent="0.4">
      <c r="A2183" s="1" t="s">
        <v>4235</v>
      </c>
      <c r="B2183" t="s">
        <v>4236</v>
      </c>
      <c r="C2183" t="s">
        <v>5</v>
      </c>
    </row>
    <row r="2184" spans="1:4" x14ac:dyDescent="0.4">
      <c r="A2184" s="1" t="s">
        <v>4237</v>
      </c>
      <c r="B2184" t="s">
        <v>4238</v>
      </c>
      <c r="C2184" t="s">
        <v>5</v>
      </c>
    </row>
    <row r="2185" spans="1:4" x14ac:dyDescent="0.4">
      <c r="A2185" s="1" t="s">
        <v>4239</v>
      </c>
      <c r="B2185" t="s">
        <v>4240</v>
      </c>
      <c r="C2185" t="s">
        <v>5</v>
      </c>
    </row>
    <row r="2186" spans="1:4" x14ac:dyDescent="0.4">
      <c r="A2186" s="1" t="s">
        <v>4241</v>
      </c>
      <c r="B2186" t="s">
        <v>4242</v>
      </c>
      <c r="C2186" t="s">
        <v>5</v>
      </c>
    </row>
    <row r="2187" spans="1:4" x14ac:dyDescent="0.4">
      <c r="A2187" s="1" t="s">
        <v>4243</v>
      </c>
      <c r="B2187" t="s">
        <v>4244</v>
      </c>
      <c r="C2187" t="s">
        <v>5</v>
      </c>
    </row>
    <row r="2188" spans="1:4" x14ac:dyDescent="0.4">
      <c r="A2188" s="1" t="s">
        <v>4245</v>
      </c>
      <c r="B2188" t="s">
        <v>4246</v>
      </c>
      <c r="C2188" t="s">
        <v>5</v>
      </c>
    </row>
    <row r="2189" spans="1:4" x14ac:dyDescent="0.4">
      <c r="A2189" s="1" t="s">
        <v>4247</v>
      </c>
      <c r="B2189" t="s">
        <v>4248</v>
      </c>
      <c r="C2189" t="s">
        <v>5</v>
      </c>
    </row>
    <row r="2190" spans="1:4" x14ac:dyDescent="0.4">
      <c r="A2190" s="1" t="s">
        <v>4249</v>
      </c>
      <c r="B2190" t="s">
        <v>4250</v>
      </c>
      <c r="C2190" t="s">
        <v>5</v>
      </c>
    </row>
    <row r="2191" spans="1:4" x14ac:dyDescent="0.4">
      <c r="A2191" s="1" t="s">
        <v>4251</v>
      </c>
      <c r="B2191" t="s">
        <v>4252</v>
      </c>
      <c r="C2191" t="s">
        <v>5</v>
      </c>
    </row>
    <row r="2192" spans="1:4" x14ac:dyDescent="0.4">
      <c r="A2192" s="1" t="s">
        <v>4253</v>
      </c>
      <c r="B2192" t="s">
        <v>4254</v>
      </c>
      <c r="C2192" t="s">
        <v>5</v>
      </c>
    </row>
    <row r="2193" spans="1:3" x14ac:dyDescent="0.4">
      <c r="A2193" s="1" t="s">
        <v>4255</v>
      </c>
      <c r="B2193" t="s">
        <v>4256</v>
      </c>
      <c r="C2193" t="s">
        <v>5</v>
      </c>
    </row>
    <row r="2194" spans="1:3" x14ac:dyDescent="0.4">
      <c r="A2194" s="1" t="s">
        <v>4257</v>
      </c>
      <c r="B2194" t="s">
        <v>4258</v>
      </c>
      <c r="C2194" t="s">
        <v>5</v>
      </c>
    </row>
    <row r="2195" spans="1:3" x14ac:dyDescent="0.4">
      <c r="A2195" s="1" t="s">
        <v>4259</v>
      </c>
      <c r="B2195" t="s">
        <v>4260</v>
      </c>
      <c r="C2195" t="s">
        <v>5</v>
      </c>
    </row>
    <row r="2196" spans="1:3" x14ac:dyDescent="0.4">
      <c r="A2196" s="1" t="s">
        <v>4261</v>
      </c>
      <c r="B2196" t="s">
        <v>4262</v>
      </c>
      <c r="C2196" t="s">
        <v>5</v>
      </c>
    </row>
    <row r="2197" spans="1:3" x14ac:dyDescent="0.4">
      <c r="A2197" s="1" t="s">
        <v>4263</v>
      </c>
      <c r="B2197" t="s">
        <v>4264</v>
      </c>
      <c r="C2197" t="s">
        <v>5</v>
      </c>
    </row>
    <row r="2198" spans="1:3" x14ac:dyDescent="0.4">
      <c r="A2198" s="1" t="s">
        <v>4265</v>
      </c>
      <c r="B2198" t="s">
        <v>4266</v>
      </c>
      <c r="C2198" t="s">
        <v>5</v>
      </c>
    </row>
    <row r="2199" spans="1:3" x14ac:dyDescent="0.4">
      <c r="A2199" s="1" t="s">
        <v>4267</v>
      </c>
      <c r="B2199" t="s">
        <v>4268</v>
      </c>
      <c r="C2199" t="s">
        <v>5</v>
      </c>
    </row>
    <row r="2200" spans="1:3" x14ac:dyDescent="0.4">
      <c r="A2200" s="1" t="s">
        <v>4269</v>
      </c>
      <c r="B2200" t="s">
        <v>4270</v>
      </c>
      <c r="C2200" t="s">
        <v>5</v>
      </c>
    </row>
    <row r="2201" spans="1:3" x14ac:dyDescent="0.4">
      <c r="A2201" s="1" t="s">
        <v>4271</v>
      </c>
      <c r="B2201" t="s">
        <v>4272</v>
      </c>
      <c r="C2201" t="s">
        <v>5</v>
      </c>
    </row>
    <row r="2202" spans="1:3" x14ac:dyDescent="0.4">
      <c r="A2202" s="1" t="s">
        <v>4273</v>
      </c>
      <c r="B2202" t="s">
        <v>4274</v>
      </c>
      <c r="C2202" t="s">
        <v>5</v>
      </c>
    </row>
    <row r="2203" spans="1:3" x14ac:dyDescent="0.4">
      <c r="A2203" s="1" t="s">
        <v>4275</v>
      </c>
      <c r="B2203" t="s">
        <v>4276</v>
      </c>
      <c r="C2203" t="s">
        <v>5</v>
      </c>
    </row>
    <row r="2204" spans="1:3" x14ac:dyDescent="0.4">
      <c r="A2204" s="1" t="s">
        <v>4277</v>
      </c>
      <c r="B2204" t="s">
        <v>4278</v>
      </c>
      <c r="C2204" t="s">
        <v>5</v>
      </c>
    </row>
    <row r="2205" spans="1:3" x14ac:dyDescent="0.4">
      <c r="A2205" s="1" t="s">
        <v>4279</v>
      </c>
      <c r="B2205" t="s">
        <v>4280</v>
      </c>
      <c r="C2205" t="s">
        <v>5</v>
      </c>
    </row>
    <row r="2206" spans="1:3" x14ac:dyDescent="0.4">
      <c r="A2206" s="1" t="s">
        <v>4281</v>
      </c>
      <c r="B2206" t="s">
        <v>4282</v>
      </c>
      <c r="C2206" t="s">
        <v>5</v>
      </c>
    </row>
    <row r="2207" spans="1:3" x14ac:dyDescent="0.4">
      <c r="A2207" s="1" t="s">
        <v>4283</v>
      </c>
      <c r="B2207" t="s">
        <v>4284</v>
      </c>
      <c r="C2207" t="s">
        <v>5</v>
      </c>
    </row>
    <row r="2208" spans="1:3" x14ac:dyDescent="0.4">
      <c r="A2208" s="1" t="s">
        <v>4285</v>
      </c>
      <c r="B2208" t="s">
        <v>4286</v>
      </c>
      <c r="C2208" t="s">
        <v>5</v>
      </c>
    </row>
    <row r="2209" spans="1:3" x14ac:dyDescent="0.4">
      <c r="A2209" s="1" t="s">
        <v>4287</v>
      </c>
      <c r="B2209" t="s">
        <v>4288</v>
      </c>
      <c r="C2209" t="s">
        <v>5</v>
      </c>
    </row>
    <row r="2210" spans="1:3" x14ac:dyDescent="0.4">
      <c r="A2210" s="1" t="s">
        <v>4289</v>
      </c>
      <c r="B2210" t="s">
        <v>4290</v>
      </c>
      <c r="C2210" t="s">
        <v>5</v>
      </c>
    </row>
    <row r="2211" spans="1:3" x14ac:dyDescent="0.4">
      <c r="A2211" s="1" t="s">
        <v>4291</v>
      </c>
      <c r="B2211" t="s">
        <v>4292</v>
      </c>
      <c r="C2211" t="s">
        <v>5</v>
      </c>
    </row>
    <row r="2212" spans="1:3" x14ac:dyDescent="0.4">
      <c r="A2212" s="1" t="s">
        <v>4293</v>
      </c>
      <c r="B2212" t="s">
        <v>4294</v>
      </c>
      <c r="C2212" t="s">
        <v>5</v>
      </c>
    </row>
    <row r="2213" spans="1:3" x14ac:dyDescent="0.4">
      <c r="A2213" s="1" t="s">
        <v>4295</v>
      </c>
      <c r="B2213" t="s">
        <v>4296</v>
      </c>
      <c r="C2213" t="s">
        <v>5</v>
      </c>
    </row>
    <row r="2214" spans="1:3" x14ac:dyDescent="0.4">
      <c r="A2214" s="1" t="s">
        <v>4297</v>
      </c>
      <c r="B2214" t="s">
        <v>4298</v>
      </c>
      <c r="C2214" t="s">
        <v>5</v>
      </c>
    </row>
    <row r="2215" spans="1:3" x14ac:dyDescent="0.4">
      <c r="A2215" s="1" t="s">
        <v>4299</v>
      </c>
      <c r="B2215" t="s">
        <v>4300</v>
      </c>
      <c r="C2215" t="s">
        <v>5</v>
      </c>
    </row>
    <row r="2216" spans="1:3" x14ac:dyDescent="0.4">
      <c r="A2216" s="1" t="s">
        <v>4301</v>
      </c>
      <c r="B2216" t="s">
        <v>4302</v>
      </c>
      <c r="C2216" t="s">
        <v>5</v>
      </c>
    </row>
    <row r="2217" spans="1:3" x14ac:dyDescent="0.4">
      <c r="A2217" s="1" t="s">
        <v>4303</v>
      </c>
      <c r="B2217" t="s">
        <v>4304</v>
      </c>
      <c r="C2217" t="s">
        <v>5</v>
      </c>
    </row>
    <row r="2218" spans="1:3" x14ac:dyDescent="0.4">
      <c r="A2218" s="1" t="s">
        <v>4305</v>
      </c>
      <c r="B2218" t="s">
        <v>4306</v>
      </c>
      <c r="C2218" t="s">
        <v>5</v>
      </c>
    </row>
    <row r="2219" spans="1:3" x14ac:dyDescent="0.4">
      <c r="A2219" s="1" t="s">
        <v>4307</v>
      </c>
      <c r="B2219" t="s">
        <v>4308</v>
      </c>
      <c r="C2219" t="s">
        <v>5</v>
      </c>
    </row>
    <row r="2220" spans="1:3" x14ac:dyDescent="0.4">
      <c r="A2220" s="1" t="s">
        <v>4309</v>
      </c>
      <c r="B2220" t="s">
        <v>4310</v>
      </c>
      <c r="C2220" t="s">
        <v>5</v>
      </c>
    </row>
    <row r="2221" spans="1:3" x14ac:dyDescent="0.4">
      <c r="A2221" s="1" t="s">
        <v>4311</v>
      </c>
      <c r="B2221" t="s">
        <v>4312</v>
      </c>
      <c r="C2221" t="s">
        <v>5</v>
      </c>
    </row>
    <row r="2222" spans="1:3" x14ac:dyDescent="0.4">
      <c r="A2222" s="1" t="s">
        <v>4313</v>
      </c>
      <c r="B2222" t="s">
        <v>4314</v>
      </c>
      <c r="C2222" t="s">
        <v>5</v>
      </c>
    </row>
    <row r="2223" spans="1:3" x14ac:dyDescent="0.4">
      <c r="A2223" s="1" t="s">
        <v>4315</v>
      </c>
      <c r="B2223" t="s">
        <v>4316</v>
      </c>
      <c r="C2223" t="s">
        <v>5</v>
      </c>
    </row>
    <row r="2224" spans="1:3" x14ac:dyDescent="0.4">
      <c r="A2224" s="1" t="s">
        <v>4317</v>
      </c>
      <c r="B2224" t="s">
        <v>4318</v>
      </c>
      <c r="C2224" t="s">
        <v>5</v>
      </c>
    </row>
    <row r="2225" spans="1:4" x14ac:dyDescent="0.4">
      <c r="A2225" s="1" t="s">
        <v>4319</v>
      </c>
      <c r="B2225" t="s">
        <v>4320</v>
      </c>
      <c r="C2225" t="s">
        <v>5</v>
      </c>
    </row>
    <row r="2226" spans="1:4" x14ac:dyDescent="0.4">
      <c r="A2226" s="1" t="s">
        <v>4321</v>
      </c>
      <c r="B2226" t="s">
        <v>4322</v>
      </c>
      <c r="C2226" t="s">
        <v>5</v>
      </c>
    </row>
    <row r="2227" spans="1:4" x14ac:dyDescent="0.4">
      <c r="A2227" s="1" t="s">
        <v>4323</v>
      </c>
      <c r="B2227" t="s">
        <v>4324</v>
      </c>
      <c r="C2227" t="s">
        <v>5</v>
      </c>
    </row>
    <row r="2228" spans="1:4" x14ac:dyDescent="0.4">
      <c r="A2228" s="1" t="s">
        <v>4325</v>
      </c>
      <c r="B2228" t="s">
        <v>1734</v>
      </c>
      <c r="C2228" t="s">
        <v>5</v>
      </c>
    </row>
    <row r="2229" spans="1:4" x14ac:dyDescent="0.4">
      <c r="A2229" s="1" t="s">
        <v>4326</v>
      </c>
      <c r="B2229" t="s">
        <v>4327</v>
      </c>
      <c r="C2229" t="s">
        <v>5</v>
      </c>
    </row>
    <row r="2230" spans="1:4" x14ac:dyDescent="0.4">
      <c r="A2230" s="1" t="s">
        <v>4328</v>
      </c>
      <c r="B2230" t="s">
        <v>4329</v>
      </c>
      <c r="C2230" t="s">
        <v>5</v>
      </c>
      <c r="D2230">
        <v>1500</v>
      </c>
    </row>
    <row r="2231" spans="1:4" x14ac:dyDescent="0.4">
      <c r="A2231" s="1" t="s">
        <v>4330</v>
      </c>
      <c r="B2231" t="s">
        <v>4331</v>
      </c>
      <c r="C2231" t="s">
        <v>5</v>
      </c>
    </row>
    <row r="2232" spans="1:4" x14ac:dyDescent="0.4">
      <c r="A2232" s="1" t="s">
        <v>4332</v>
      </c>
      <c r="B2232" t="s">
        <v>4333</v>
      </c>
      <c r="C2232" t="s">
        <v>5</v>
      </c>
    </row>
    <row r="2233" spans="1:4" x14ac:dyDescent="0.4">
      <c r="A2233" s="1" t="s">
        <v>4334</v>
      </c>
      <c r="B2233" t="s">
        <v>4335</v>
      </c>
      <c r="C2233" t="s">
        <v>5</v>
      </c>
    </row>
    <row r="2234" spans="1:4" x14ac:dyDescent="0.4">
      <c r="A2234" s="1" t="s">
        <v>4336</v>
      </c>
      <c r="B2234" t="s">
        <v>4337</v>
      </c>
      <c r="C2234" t="s">
        <v>5</v>
      </c>
    </row>
    <row r="2235" spans="1:4" x14ac:dyDescent="0.4">
      <c r="A2235" s="1" t="s">
        <v>4338</v>
      </c>
      <c r="B2235" t="s">
        <v>4339</v>
      </c>
      <c r="C2235" t="s">
        <v>5</v>
      </c>
    </row>
    <row r="2236" spans="1:4" x14ac:dyDescent="0.4">
      <c r="A2236" s="1" t="s">
        <v>4340</v>
      </c>
      <c r="B2236" t="s">
        <v>4341</v>
      </c>
      <c r="C2236" t="s">
        <v>5</v>
      </c>
    </row>
    <row r="2237" spans="1:4" x14ac:dyDescent="0.4">
      <c r="A2237" s="1" t="s">
        <v>4342</v>
      </c>
      <c r="B2237" t="s">
        <v>4343</v>
      </c>
      <c r="C2237" t="s">
        <v>5</v>
      </c>
    </row>
    <row r="2238" spans="1:4" x14ac:dyDescent="0.4">
      <c r="A2238" s="1" t="s">
        <v>4344</v>
      </c>
      <c r="B2238" t="s">
        <v>4345</v>
      </c>
      <c r="C2238" t="s">
        <v>5</v>
      </c>
    </row>
    <row r="2239" spans="1:4" x14ac:dyDescent="0.4">
      <c r="A2239" s="1" t="s">
        <v>4346</v>
      </c>
      <c r="B2239" t="s">
        <v>4347</v>
      </c>
      <c r="C2239" t="s">
        <v>5</v>
      </c>
    </row>
    <row r="2240" spans="1:4" x14ac:dyDescent="0.4">
      <c r="A2240" s="1" t="s">
        <v>4348</v>
      </c>
      <c r="B2240" t="s">
        <v>4349</v>
      </c>
      <c r="C2240" t="s">
        <v>5</v>
      </c>
    </row>
    <row r="2241" spans="1:4" x14ac:dyDescent="0.4">
      <c r="A2241" s="1" t="s">
        <v>4350</v>
      </c>
      <c r="B2241" t="s">
        <v>4351</v>
      </c>
      <c r="C2241" t="s">
        <v>5</v>
      </c>
    </row>
    <row r="2242" spans="1:4" x14ac:dyDescent="0.4">
      <c r="A2242" s="1" t="s">
        <v>4352</v>
      </c>
      <c r="B2242" t="s">
        <v>4353</v>
      </c>
      <c r="C2242" t="s">
        <v>5</v>
      </c>
    </row>
    <row r="2243" spans="1:4" x14ac:dyDescent="0.4">
      <c r="A2243" s="1" t="s">
        <v>4354</v>
      </c>
      <c r="B2243" t="s">
        <v>4355</v>
      </c>
      <c r="C2243" t="s">
        <v>5</v>
      </c>
    </row>
    <row r="2244" spans="1:4" x14ac:dyDescent="0.4">
      <c r="A2244" s="1" t="s">
        <v>4356</v>
      </c>
      <c r="B2244" t="s">
        <v>4357</v>
      </c>
      <c r="C2244" t="s">
        <v>5</v>
      </c>
    </row>
    <row r="2245" spans="1:4" x14ac:dyDescent="0.4">
      <c r="A2245" s="1" t="s">
        <v>4358</v>
      </c>
      <c r="B2245" t="s">
        <v>4359</v>
      </c>
      <c r="C2245" t="s">
        <v>5</v>
      </c>
    </row>
    <row r="2246" spans="1:4" x14ac:dyDescent="0.4">
      <c r="A2246" s="1" t="s">
        <v>4360</v>
      </c>
      <c r="B2246" t="s">
        <v>4361</v>
      </c>
      <c r="C2246" t="s">
        <v>5</v>
      </c>
    </row>
    <row r="2247" spans="1:4" x14ac:dyDescent="0.4">
      <c r="A2247" s="1" t="s">
        <v>4362</v>
      </c>
      <c r="B2247" t="s">
        <v>4363</v>
      </c>
      <c r="C2247" t="s">
        <v>5</v>
      </c>
    </row>
    <row r="2248" spans="1:4" x14ac:dyDescent="0.4">
      <c r="A2248" s="1" t="s">
        <v>4364</v>
      </c>
      <c r="B2248" t="s">
        <v>4365</v>
      </c>
      <c r="C2248" t="s">
        <v>5</v>
      </c>
      <c r="D2248">
        <v>5300</v>
      </c>
    </row>
    <row r="2249" spans="1:4" x14ac:dyDescent="0.4">
      <c r="A2249" s="1" t="s">
        <v>4366</v>
      </c>
      <c r="B2249" t="s">
        <v>4367</v>
      </c>
      <c r="C2249" t="s">
        <v>5</v>
      </c>
    </row>
    <row r="2250" spans="1:4" x14ac:dyDescent="0.4">
      <c r="A2250" s="1" t="s">
        <v>4368</v>
      </c>
      <c r="B2250" t="s">
        <v>4369</v>
      </c>
      <c r="C2250" t="s">
        <v>5</v>
      </c>
      <c r="D2250">
        <v>30600</v>
      </c>
    </row>
    <row r="2251" spans="1:4" x14ac:dyDescent="0.4">
      <c r="A2251" s="1" t="s">
        <v>4370</v>
      </c>
      <c r="B2251" t="s">
        <v>4371</v>
      </c>
      <c r="C2251" t="s">
        <v>5</v>
      </c>
    </row>
    <row r="2252" spans="1:4" x14ac:dyDescent="0.4">
      <c r="A2252" s="1" t="s">
        <v>4372</v>
      </c>
      <c r="B2252" t="s">
        <v>4373</v>
      </c>
      <c r="C2252" t="s">
        <v>5</v>
      </c>
      <c r="D2252">
        <v>15900</v>
      </c>
    </row>
    <row r="2253" spans="1:4" x14ac:dyDescent="0.4">
      <c r="A2253" s="1" t="s">
        <v>4374</v>
      </c>
      <c r="B2253" t="s">
        <v>4375</v>
      </c>
      <c r="C2253" t="s">
        <v>5</v>
      </c>
      <c r="D2253">
        <v>26800</v>
      </c>
    </row>
    <row r="2254" spans="1:4" x14ac:dyDescent="0.4">
      <c r="A2254" s="1" t="s">
        <v>4376</v>
      </c>
      <c r="B2254" t="s">
        <v>4377</v>
      </c>
      <c r="C2254" t="s">
        <v>5</v>
      </c>
    </row>
    <row r="2255" spans="1:4" x14ac:dyDescent="0.4">
      <c r="A2255" s="1" t="s">
        <v>4378</v>
      </c>
      <c r="B2255" t="s">
        <v>4379</v>
      </c>
      <c r="C2255" t="s">
        <v>5</v>
      </c>
      <c r="D2255">
        <v>8300</v>
      </c>
    </row>
    <row r="2256" spans="1:4" x14ac:dyDescent="0.4">
      <c r="A2256" s="1" t="s">
        <v>4380</v>
      </c>
      <c r="B2256" t="s">
        <v>4381</v>
      </c>
      <c r="C2256" t="s">
        <v>5</v>
      </c>
    </row>
    <row r="2257" spans="1:4" x14ac:dyDescent="0.4">
      <c r="A2257" s="1" t="s">
        <v>4382</v>
      </c>
      <c r="B2257" t="e">
        <f>-終息-EPSON ｲﾝｸｶｰﾄﾘｯｼﾞ ICBK62</f>
        <v>#NAME?</v>
      </c>
      <c r="C2257" t="s">
        <v>5</v>
      </c>
    </row>
    <row r="2258" spans="1:4" x14ac:dyDescent="0.4">
      <c r="A2258" s="1" t="s">
        <v>4383</v>
      </c>
      <c r="B2258" t="s">
        <v>4384</v>
      </c>
      <c r="C2258" t="s">
        <v>5</v>
      </c>
    </row>
    <row r="2259" spans="1:4" x14ac:dyDescent="0.4">
      <c r="A2259" s="1" t="s">
        <v>4385</v>
      </c>
      <c r="B2259" t="s">
        <v>4386</v>
      </c>
      <c r="C2259" t="s">
        <v>5</v>
      </c>
      <c r="D2259">
        <v>9600</v>
      </c>
    </row>
    <row r="2260" spans="1:4" x14ac:dyDescent="0.4">
      <c r="A2260" s="1" t="s">
        <v>4387</v>
      </c>
      <c r="B2260" t="s">
        <v>4388</v>
      </c>
      <c r="C2260" t="s">
        <v>5</v>
      </c>
    </row>
    <row r="2261" spans="1:4" x14ac:dyDescent="0.4">
      <c r="A2261" s="1" t="s">
        <v>4389</v>
      </c>
      <c r="B2261" t="s">
        <v>4390</v>
      </c>
      <c r="C2261" t="s">
        <v>5</v>
      </c>
    </row>
    <row r="2262" spans="1:4" x14ac:dyDescent="0.4">
      <c r="A2262" s="1" t="s">
        <v>4391</v>
      </c>
      <c r="B2262" t="s">
        <v>4392</v>
      </c>
      <c r="C2262" t="s">
        <v>5</v>
      </c>
    </row>
    <row r="2263" spans="1:4" x14ac:dyDescent="0.4">
      <c r="A2263" s="1" t="s">
        <v>4393</v>
      </c>
      <c r="B2263" t="s">
        <v>4394</v>
      </c>
      <c r="C2263" t="s">
        <v>5</v>
      </c>
    </row>
    <row r="2264" spans="1:4" x14ac:dyDescent="0.4">
      <c r="A2264" s="1" t="s">
        <v>4395</v>
      </c>
      <c r="B2264" t="s">
        <v>4396</v>
      </c>
      <c r="C2264" t="s">
        <v>5</v>
      </c>
    </row>
    <row r="2265" spans="1:4" x14ac:dyDescent="0.4">
      <c r="A2265" s="1" t="s">
        <v>4397</v>
      </c>
      <c r="B2265" t="s">
        <v>4398</v>
      </c>
      <c r="C2265" t="s">
        <v>5</v>
      </c>
    </row>
    <row r="2266" spans="1:4" x14ac:dyDescent="0.4">
      <c r="A2266" s="1" t="s">
        <v>4399</v>
      </c>
      <c r="B2266" t="s">
        <v>4400</v>
      </c>
      <c r="C2266" t="s">
        <v>5</v>
      </c>
    </row>
    <row r="2267" spans="1:4" x14ac:dyDescent="0.4">
      <c r="A2267" s="1" t="s">
        <v>4401</v>
      </c>
      <c r="B2267" t="s">
        <v>4402</v>
      </c>
      <c r="C2267" t="s">
        <v>5</v>
      </c>
    </row>
    <row r="2268" spans="1:4" x14ac:dyDescent="0.4">
      <c r="A2268" s="1" t="s">
        <v>4403</v>
      </c>
      <c r="B2268" t="s">
        <v>4404</v>
      </c>
      <c r="C2268" t="s">
        <v>5</v>
      </c>
    </row>
    <row r="2269" spans="1:4" x14ac:dyDescent="0.4">
      <c r="A2269" s="1" t="s">
        <v>4405</v>
      </c>
      <c r="B2269" t="s">
        <v>4406</v>
      </c>
      <c r="C2269" t="s">
        <v>5</v>
      </c>
    </row>
    <row r="2270" spans="1:4" x14ac:dyDescent="0.4">
      <c r="A2270" s="1" t="s">
        <v>4407</v>
      </c>
      <c r="B2270" t="s">
        <v>4408</v>
      </c>
      <c r="C2270" t="s">
        <v>5</v>
      </c>
    </row>
    <row r="2271" spans="1:4" x14ac:dyDescent="0.4">
      <c r="A2271" s="1" t="s">
        <v>4409</v>
      </c>
      <c r="B2271" t="s">
        <v>4410</v>
      </c>
      <c r="C2271" t="s">
        <v>5</v>
      </c>
    </row>
    <row r="2272" spans="1:4" x14ac:dyDescent="0.4">
      <c r="A2272" s="1" t="s">
        <v>4411</v>
      </c>
      <c r="B2272" t="s">
        <v>4412</v>
      </c>
      <c r="C2272" t="s">
        <v>5</v>
      </c>
    </row>
    <row r="2273" spans="1:4" x14ac:dyDescent="0.4">
      <c r="A2273" s="1" t="s">
        <v>4413</v>
      </c>
      <c r="B2273" t="s">
        <v>4414</v>
      </c>
      <c r="C2273" t="s">
        <v>5</v>
      </c>
    </row>
    <row r="2274" spans="1:4" x14ac:dyDescent="0.4">
      <c r="A2274" s="1" t="s">
        <v>4415</v>
      </c>
      <c r="B2274" t="s">
        <v>4416</v>
      </c>
      <c r="C2274" t="s">
        <v>5</v>
      </c>
    </row>
    <row r="2275" spans="1:4" x14ac:dyDescent="0.4">
      <c r="A2275" s="1" t="s">
        <v>4417</v>
      </c>
      <c r="B2275" t="s">
        <v>4418</v>
      </c>
      <c r="C2275" t="s">
        <v>5</v>
      </c>
    </row>
    <row r="2276" spans="1:4" x14ac:dyDescent="0.4">
      <c r="A2276" s="1" t="s">
        <v>4419</v>
      </c>
      <c r="B2276" t="s">
        <v>4420</v>
      </c>
      <c r="C2276" t="s">
        <v>5</v>
      </c>
    </row>
    <row r="2277" spans="1:4" x14ac:dyDescent="0.4">
      <c r="A2277" s="1" t="s">
        <v>4421</v>
      </c>
      <c r="B2277" t="s">
        <v>4422</v>
      </c>
      <c r="C2277" t="s">
        <v>5</v>
      </c>
    </row>
    <row r="2278" spans="1:4" x14ac:dyDescent="0.4">
      <c r="A2278" s="1" t="s">
        <v>4423</v>
      </c>
      <c r="B2278" t="s">
        <v>4424</v>
      </c>
      <c r="C2278" t="s">
        <v>2808</v>
      </c>
    </row>
    <row r="2279" spans="1:4" x14ac:dyDescent="0.4">
      <c r="A2279" s="1" t="s">
        <v>4425</v>
      </c>
      <c r="B2279" t="s">
        <v>4426</v>
      </c>
      <c r="C2279" t="s">
        <v>5</v>
      </c>
    </row>
    <row r="2280" spans="1:4" x14ac:dyDescent="0.4">
      <c r="A2280" s="1" t="s">
        <v>4427</v>
      </c>
      <c r="B2280" t="s">
        <v>4428</v>
      </c>
      <c r="C2280" t="s">
        <v>5</v>
      </c>
    </row>
    <row r="2281" spans="1:4" x14ac:dyDescent="0.4">
      <c r="A2281" s="1" t="s">
        <v>4429</v>
      </c>
      <c r="B2281" t="s">
        <v>4430</v>
      </c>
      <c r="C2281" t="s">
        <v>5</v>
      </c>
    </row>
    <row r="2282" spans="1:4" x14ac:dyDescent="0.4">
      <c r="A2282" s="1" t="s">
        <v>4431</v>
      </c>
      <c r="B2282" t="s">
        <v>4432</v>
      </c>
      <c r="C2282" t="s">
        <v>5</v>
      </c>
    </row>
    <row r="2283" spans="1:4" x14ac:dyDescent="0.4">
      <c r="A2283" s="1" t="s">
        <v>4433</v>
      </c>
      <c r="B2283" t="s">
        <v>4434</v>
      </c>
      <c r="C2283" t="s">
        <v>5</v>
      </c>
    </row>
    <row r="2284" spans="1:4" x14ac:dyDescent="0.4">
      <c r="A2284" s="1" t="s">
        <v>4435</v>
      </c>
      <c r="B2284" t="s">
        <v>4436</v>
      </c>
      <c r="C2284" t="s">
        <v>5</v>
      </c>
    </row>
    <row r="2285" spans="1:4" x14ac:dyDescent="0.4">
      <c r="A2285" s="1" t="s">
        <v>4437</v>
      </c>
      <c r="B2285" t="s">
        <v>4438</v>
      </c>
      <c r="C2285" t="s">
        <v>5</v>
      </c>
      <c r="D2285">
        <v>5000</v>
      </c>
    </row>
    <row r="2286" spans="1:4" x14ac:dyDescent="0.4">
      <c r="A2286" s="1" t="s">
        <v>4439</v>
      </c>
      <c r="B2286" t="s">
        <v>4440</v>
      </c>
      <c r="C2286" t="s">
        <v>5</v>
      </c>
      <c r="D2286">
        <v>5300</v>
      </c>
    </row>
    <row r="2287" spans="1:4" x14ac:dyDescent="0.4">
      <c r="A2287" s="1" t="s">
        <v>4441</v>
      </c>
      <c r="B2287" t="e">
        <f>-終息-EPSON ｲﾝｸ ICC41A ｼｱﾝ</f>
        <v>#NAME?</v>
      </c>
      <c r="C2287" t="s">
        <v>5</v>
      </c>
      <c r="D2287">
        <v>7800</v>
      </c>
    </row>
    <row r="2288" spans="1:4" x14ac:dyDescent="0.4">
      <c r="A2288" s="1" t="s">
        <v>4442</v>
      </c>
      <c r="B2288" t="s">
        <v>4443</v>
      </c>
      <c r="C2288" t="s">
        <v>5</v>
      </c>
    </row>
    <row r="2289" spans="1:4" x14ac:dyDescent="0.4">
      <c r="A2289" s="1" t="s">
        <v>4444</v>
      </c>
      <c r="B2289" t="s">
        <v>4445</v>
      </c>
      <c r="C2289" t="s">
        <v>5</v>
      </c>
      <c r="D2289">
        <v>30600</v>
      </c>
    </row>
    <row r="2290" spans="1:4" x14ac:dyDescent="0.4">
      <c r="A2290" s="1" t="s">
        <v>4446</v>
      </c>
      <c r="B2290" t="s">
        <v>4447</v>
      </c>
      <c r="C2290" t="s">
        <v>5</v>
      </c>
    </row>
    <row r="2291" spans="1:4" x14ac:dyDescent="0.4">
      <c r="A2291" s="1" t="s">
        <v>4448</v>
      </c>
      <c r="B2291" t="s">
        <v>4449</v>
      </c>
      <c r="C2291" t="s">
        <v>5</v>
      </c>
      <c r="D2291">
        <v>15900</v>
      </c>
    </row>
    <row r="2292" spans="1:4" x14ac:dyDescent="0.4">
      <c r="A2292" s="1" t="s">
        <v>4450</v>
      </c>
      <c r="B2292" t="s">
        <v>4451</v>
      </c>
      <c r="C2292" t="s">
        <v>5</v>
      </c>
      <c r="D2292">
        <v>26800</v>
      </c>
    </row>
    <row r="2293" spans="1:4" x14ac:dyDescent="0.4">
      <c r="A2293" s="1" t="s">
        <v>4452</v>
      </c>
      <c r="B2293" t="s">
        <v>4453</v>
      </c>
      <c r="C2293" t="s">
        <v>5</v>
      </c>
    </row>
    <row r="2294" spans="1:4" x14ac:dyDescent="0.4">
      <c r="A2294" s="1" t="s">
        <v>4454</v>
      </c>
      <c r="B2294" t="s">
        <v>4455</v>
      </c>
      <c r="C2294" t="s">
        <v>5</v>
      </c>
      <c r="D2294">
        <v>8300</v>
      </c>
    </row>
    <row r="2295" spans="1:4" x14ac:dyDescent="0.4">
      <c r="A2295" s="1" t="s">
        <v>4456</v>
      </c>
      <c r="B2295" t="e">
        <f>-終息-EPSON ｲﾝｸｶｰﾄﾘｯｼﾞ HZH60</f>
        <v>#NAME?</v>
      </c>
      <c r="C2295" t="s">
        <v>5</v>
      </c>
    </row>
    <row r="2296" spans="1:4" x14ac:dyDescent="0.4">
      <c r="A2296" s="1" t="s">
        <v>4457</v>
      </c>
      <c r="B2296" t="s">
        <v>4458</v>
      </c>
      <c r="C2296" t="s">
        <v>5</v>
      </c>
    </row>
    <row r="2297" spans="1:4" x14ac:dyDescent="0.4">
      <c r="A2297" s="1" t="s">
        <v>4459</v>
      </c>
      <c r="B2297" t="s">
        <v>4460</v>
      </c>
      <c r="C2297" t="s">
        <v>5</v>
      </c>
      <c r="D2297">
        <v>9600</v>
      </c>
    </row>
    <row r="2298" spans="1:4" x14ac:dyDescent="0.4">
      <c r="A2298" s="1" t="s">
        <v>4461</v>
      </c>
      <c r="B2298" t="s">
        <v>4462</v>
      </c>
      <c r="C2298" t="s">
        <v>5</v>
      </c>
    </row>
    <row r="2299" spans="1:4" x14ac:dyDescent="0.4">
      <c r="A2299" s="1" t="s">
        <v>4463</v>
      </c>
      <c r="B2299" t="s">
        <v>4464</v>
      </c>
      <c r="C2299" t="s">
        <v>5</v>
      </c>
    </row>
    <row r="2300" spans="1:4" x14ac:dyDescent="0.4">
      <c r="A2300" s="1" t="s">
        <v>4465</v>
      </c>
      <c r="B2300" t="s">
        <v>4466</v>
      </c>
      <c r="C2300" t="s">
        <v>5</v>
      </c>
    </row>
    <row r="2301" spans="1:4" x14ac:dyDescent="0.4">
      <c r="A2301" s="1" t="s">
        <v>4467</v>
      </c>
      <c r="B2301" t="s">
        <v>4468</v>
      </c>
      <c r="C2301" t="s">
        <v>5</v>
      </c>
    </row>
    <row r="2302" spans="1:4" x14ac:dyDescent="0.4">
      <c r="A2302" s="1" t="s">
        <v>4469</v>
      </c>
      <c r="B2302" t="s">
        <v>4470</v>
      </c>
      <c r="C2302" t="s">
        <v>5</v>
      </c>
    </row>
    <row r="2303" spans="1:4" x14ac:dyDescent="0.4">
      <c r="A2303" s="1" t="s">
        <v>4471</v>
      </c>
      <c r="B2303" t="s">
        <v>4472</v>
      </c>
      <c r="C2303" t="s">
        <v>5</v>
      </c>
    </row>
    <row r="2304" spans="1:4" x14ac:dyDescent="0.4">
      <c r="A2304" s="1" t="s">
        <v>4473</v>
      </c>
      <c r="B2304" t="s">
        <v>4474</v>
      </c>
      <c r="C2304" t="s">
        <v>5</v>
      </c>
    </row>
    <row r="2305" spans="1:4" x14ac:dyDescent="0.4">
      <c r="A2305" s="1" t="s">
        <v>4475</v>
      </c>
      <c r="B2305" t="s">
        <v>4476</v>
      </c>
      <c r="C2305" t="s">
        <v>5</v>
      </c>
    </row>
    <row r="2306" spans="1:4" x14ac:dyDescent="0.4">
      <c r="A2306" s="1" t="s">
        <v>4477</v>
      </c>
      <c r="B2306" t="s">
        <v>4478</v>
      </c>
      <c r="C2306" t="s">
        <v>5</v>
      </c>
    </row>
    <row r="2307" spans="1:4" x14ac:dyDescent="0.4">
      <c r="A2307" s="1" t="s">
        <v>4479</v>
      </c>
      <c r="B2307" t="s">
        <v>4480</v>
      </c>
      <c r="C2307" t="s">
        <v>5</v>
      </c>
    </row>
    <row r="2308" spans="1:4" x14ac:dyDescent="0.4">
      <c r="A2308" s="1" t="s">
        <v>4481</v>
      </c>
      <c r="B2308" t="s">
        <v>4482</v>
      </c>
      <c r="C2308" t="s">
        <v>5</v>
      </c>
    </row>
    <row r="2309" spans="1:4" x14ac:dyDescent="0.4">
      <c r="A2309" s="1" t="s">
        <v>4483</v>
      </c>
      <c r="B2309" t="s">
        <v>4484</v>
      </c>
      <c r="C2309" t="s">
        <v>5</v>
      </c>
    </row>
    <row r="2310" spans="1:4" x14ac:dyDescent="0.4">
      <c r="A2310" s="1" t="s">
        <v>4485</v>
      </c>
      <c r="B2310" t="s">
        <v>4486</v>
      </c>
      <c r="C2310" t="s">
        <v>5</v>
      </c>
    </row>
    <row r="2311" spans="1:4" x14ac:dyDescent="0.4">
      <c r="A2311" s="1" t="s">
        <v>4487</v>
      </c>
      <c r="B2311" t="s">
        <v>4488</v>
      </c>
      <c r="C2311" t="s">
        <v>5</v>
      </c>
    </row>
    <row r="2312" spans="1:4" x14ac:dyDescent="0.4">
      <c r="A2312" s="1" t="s">
        <v>4489</v>
      </c>
      <c r="B2312" t="s">
        <v>4490</v>
      </c>
      <c r="C2312" t="s">
        <v>2808</v>
      </c>
    </row>
    <row r="2313" spans="1:4" x14ac:dyDescent="0.4">
      <c r="A2313" s="1" t="s">
        <v>4491</v>
      </c>
      <c r="B2313" t="s">
        <v>4492</v>
      </c>
      <c r="C2313" t="s">
        <v>5</v>
      </c>
    </row>
    <row r="2314" spans="1:4" x14ac:dyDescent="0.4">
      <c r="A2314" s="1" t="s">
        <v>4493</v>
      </c>
      <c r="B2314" t="s">
        <v>4494</v>
      </c>
      <c r="C2314" t="s">
        <v>5</v>
      </c>
    </row>
    <row r="2315" spans="1:4" x14ac:dyDescent="0.4">
      <c r="A2315" s="1" t="s">
        <v>4495</v>
      </c>
      <c r="B2315" t="s">
        <v>4496</v>
      </c>
      <c r="C2315" t="s">
        <v>5</v>
      </c>
    </row>
    <row r="2316" spans="1:4" x14ac:dyDescent="0.4">
      <c r="A2316" s="1" t="s">
        <v>4497</v>
      </c>
      <c r="B2316" t="s">
        <v>4498</v>
      </c>
      <c r="C2316" t="s">
        <v>5</v>
      </c>
    </row>
    <row r="2317" spans="1:4" x14ac:dyDescent="0.4">
      <c r="A2317" s="1" t="s">
        <v>4499</v>
      </c>
      <c r="B2317" t="s">
        <v>4500</v>
      </c>
      <c r="C2317" t="s">
        <v>5</v>
      </c>
    </row>
    <row r="2318" spans="1:4" x14ac:dyDescent="0.4">
      <c r="A2318" s="1" t="s">
        <v>4501</v>
      </c>
      <c r="B2318" t="s">
        <v>4502</v>
      </c>
      <c r="C2318" t="s">
        <v>5</v>
      </c>
    </row>
    <row r="2319" spans="1:4" x14ac:dyDescent="0.4">
      <c r="A2319" s="1" t="s">
        <v>4503</v>
      </c>
      <c r="B2319" t="s">
        <v>4504</v>
      </c>
      <c r="C2319" t="s">
        <v>5</v>
      </c>
      <c r="D2319">
        <v>2700</v>
      </c>
    </row>
    <row r="2320" spans="1:4" x14ac:dyDescent="0.4">
      <c r="A2320" s="1" t="s">
        <v>4505</v>
      </c>
      <c r="B2320" t="s">
        <v>4506</v>
      </c>
      <c r="C2320" t="s">
        <v>5</v>
      </c>
    </row>
    <row r="2321" spans="1:4" x14ac:dyDescent="0.4">
      <c r="A2321" s="1" t="s">
        <v>4507</v>
      </c>
      <c r="B2321" t="s">
        <v>4508</v>
      </c>
      <c r="C2321" t="s">
        <v>5</v>
      </c>
    </row>
    <row r="2322" spans="1:4" x14ac:dyDescent="0.4">
      <c r="A2322" s="1" t="s">
        <v>4509</v>
      </c>
      <c r="B2322" t="s">
        <v>4510</v>
      </c>
      <c r="C2322" t="s">
        <v>5</v>
      </c>
      <c r="D2322">
        <v>15900</v>
      </c>
    </row>
    <row r="2323" spans="1:4" x14ac:dyDescent="0.4">
      <c r="A2323" s="1" t="s">
        <v>4511</v>
      </c>
      <c r="B2323" t="s">
        <v>4512</v>
      </c>
      <c r="C2323" t="s">
        <v>5</v>
      </c>
      <c r="D2323">
        <v>26800</v>
      </c>
    </row>
    <row r="2324" spans="1:4" x14ac:dyDescent="0.4">
      <c r="A2324" s="1" t="s">
        <v>4513</v>
      </c>
      <c r="B2324" t="s">
        <v>4514</v>
      </c>
      <c r="C2324" t="s">
        <v>5</v>
      </c>
      <c r="D2324">
        <v>9600</v>
      </c>
    </row>
    <row r="2325" spans="1:4" x14ac:dyDescent="0.4">
      <c r="A2325" s="1" t="s">
        <v>4515</v>
      </c>
      <c r="B2325" t="s">
        <v>4516</v>
      </c>
      <c r="C2325" t="s">
        <v>5</v>
      </c>
      <c r="D2325">
        <v>5300</v>
      </c>
    </row>
    <row r="2326" spans="1:4" x14ac:dyDescent="0.4">
      <c r="A2326" s="1" t="s">
        <v>4517</v>
      </c>
      <c r="B2326" t="s">
        <v>4518</v>
      </c>
      <c r="C2326" t="s">
        <v>5</v>
      </c>
      <c r="D2326">
        <v>30600</v>
      </c>
    </row>
    <row r="2327" spans="1:4" x14ac:dyDescent="0.4">
      <c r="A2327" s="1" t="s">
        <v>4519</v>
      </c>
      <c r="B2327" t="s">
        <v>4520</v>
      </c>
      <c r="C2327" t="s">
        <v>5</v>
      </c>
      <c r="D2327">
        <v>15900</v>
      </c>
    </row>
    <row r="2328" spans="1:4" x14ac:dyDescent="0.4">
      <c r="A2328" s="1" t="s">
        <v>4521</v>
      </c>
      <c r="B2328" t="s">
        <v>4522</v>
      </c>
      <c r="C2328" t="s">
        <v>5</v>
      </c>
      <c r="D2328">
        <v>26800</v>
      </c>
    </row>
    <row r="2329" spans="1:4" x14ac:dyDescent="0.4">
      <c r="A2329" s="1" t="s">
        <v>4523</v>
      </c>
      <c r="B2329" t="s">
        <v>4524</v>
      </c>
      <c r="C2329" t="s">
        <v>5</v>
      </c>
      <c r="D2329">
        <v>8300</v>
      </c>
    </row>
    <row r="2330" spans="1:4" x14ac:dyDescent="0.4">
      <c r="A2330" s="1" t="s">
        <v>4525</v>
      </c>
      <c r="B2330" t="s">
        <v>4526</v>
      </c>
      <c r="C2330" t="s">
        <v>5</v>
      </c>
      <c r="D2330">
        <v>9600</v>
      </c>
    </row>
    <row r="2331" spans="1:4" x14ac:dyDescent="0.4">
      <c r="A2331" s="1" t="s">
        <v>4527</v>
      </c>
      <c r="B2331" t="s">
        <v>4528</v>
      </c>
      <c r="C2331" t="s">
        <v>5</v>
      </c>
    </row>
    <row r="2332" spans="1:4" x14ac:dyDescent="0.4">
      <c r="A2332" s="1" t="s">
        <v>4529</v>
      </c>
      <c r="B2332" t="s">
        <v>4530</v>
      </c>
      <c r="C2332" t="s">
        <v>5</v>
      </c>
    </row>
    <row r="2333" spans="1:4" x14ac:dyDescent="0.4">
      <c r="A2333" s="1" t="s">
        <v>4531</v>
      </c>
      <c r="B2333" t="s">
        <v>4532</v>
      </c>
      <c r="C2333" t="s">
        <v>5</v>
      </c>
      <c r="D2333">
        <v>5300</v>
      </c>
    </row>
    <row r="2334" spans="1:4" x14ac:dyDescent="0.4">
      <c r="A2334" s="1" t="s">
        <v>4533</v>
      </c>
      <c r="B2334" t="s">
        <v>4534</v>
      </c>
      <c r="C2334" t="s">
        <v>5</v>
      </c>
    </row>
    <row r="2335" spans="1:4" x14ac:dyDescent="0.4">
      <c r="A2335" s="1" t="s">
        <v>4535</v>
      </c>
      <c r="B2335" t="s">
        <v>4536</v>
      </c>
      <c r="C2335" t="s">
        <v>5</v>
      </c>
      <c r="D2335">
        <v>30600</v>
      </c>
    </row>
    <row r="2336" spans="1:4" x14ac:dyDescent="0.4">
      <c r="A2336" s="1" t="s">
        <v>4537</v>
      </c>
      <c r="B2336" t="s">
        <v>4538</v>
      </c>
      <c r="C2336" t="s">
        <v>5</v>
      </c>
      <c r="D2336">
        <v>15900</v>
      </c>
    </row>
    <row r="2337" spans="1:4" x14ac:dyDescent="0.4">
      <c r="A2337" s="1" t="s">
        <v>4539</v>
      </c>
      <c r="B2337" t="s">
        <v>4540</v>
      </c>
      <c r="C2337" t="s">
        <v>5</v>
      </c>
      <c r="D2337">
        <v>26800</v>
      </c>
    </row>
    <row r="2338" spans="1:4" x14ac:dyDescent="0.4">
      <c r="A2338" s="1" t="s">
        <v>4541</v>
      </c>
      <c r="B2338" t="s">
        <v>4542</v>
      </c>
      <c r="C2338" t="s">
        <v>5</v>
      </c>
      <c r="D2338">
        <v>8300</v>
      </c>
    </row>
    <row r="2339" spans="1:4" x14ac:dyDescent="0.4">
      <c r="A2339" s="1" t="s">
        <v>4543</v>
      </c>
      <c r="B2339" t="s">
        <v>4544</v>
      </c>
      <c r="C2339" t="s">
        <v>5</v>
      </c>
      <c r="D2339">
        <v>9600</v>
      </c>
    </row>
    <row r="2340" spans="1:4" x14ac:dyDescent="0.4">
      <c r="A2340" s="1" t="s">
        <v>4545</v>
      </c>
      <c r="B2340" t="s">
        <v>4546</v>
      </c>
      <c r="C2340" t="s">
        <v>5</v>
      </c>
    </row>
    <row r="2341" spans="1:4" x14ac:dyDescent="0.4">
      <c r="A2341" s="1" t="s">
        <v>4547</v>
      </c>
      <c r="B2341" t="s">
        <v>4548</v>
      </c>
      <c r="C2341" t="s">
        <v>5</v>
      </c>
    </row>
    <row r="2342" spans="1:4" x14ac:dyDescent="0.4">
      <c r="A2342" s="1" t="s">
        <v>4549</v>
      </c>
      <c r="B2342" t="s">
        <v>4550</v>
      </c>
      <c r="C2342" t="s">
        <v>5</v>
      </c>
    </row>
    <row r="2343" spans="1:4" x14ac:dyDescent="0.4">
      <c r="A2343" s="1" t="s">
        <v>4551</v>
      </c>
      <c r="B2343" t="s">
        <v>4552</v>
      </c>
      <c r="C2343" t="s">
        <v>5</v>
      </c>
    </row>
    <row r="2344" spans="1:4" x14ac:dyDescent="0.4">
      <c r="A2344" s="1" t="s">
        <v>4553</v>
      </c>
      <c r="B2344" t="s">
        <v>4554</v>
      </c>
      <c r="C2344" t="s">
        <v>5</v>
      </c>
    </row>
    <row r="2345" spans="1:4" x14ac:dyDescent="0.4">
      <c r="A2345" s="1" t="s">
        <v>4555</v>
      </c>
      <c r="B2345" t="s">
        <v>4556</v>
      </c>
      <c r="C2345" t="s">
        <v>5</v>
      </c>
    </row>
    <row r="2346" spans="1:4" x14ac:dyDescent="0.4">
      <c r="A2346" s="1" t="s">
        <v>4557</v>
      </c>
      <c r="B2346" t="s">
        <v>4558</v>
      </c>
      <c r="C2346" t="s">
        <v>5</v>
      </c>
      <c r="D2346">
        <v>5300</v>
      </c>
    </row>
    <row r="2347" spans="1:4" x14ac:dyDescent="0.4">
      <c r="A2347" s="1" t="s">
        <v>4559</v>
      </c>
      <c r="B2347" t="s">
        <v>4560</v>
      </c>
      <c r="C2347" t="s">
        <v>5</v>
      </c>
      <c r="D2347">
        <v>30600</v>
      </c>
    </row>
    <row r="2348" spans="1:4" x14ac:dyDescent="0.4">
      <c r="A2348" s="1" t="s">
        <v>4561</v>
      </c>
      <c r="B2348" t="s">
        <v>4562</v>
      </c>
      <c r="C2348" t="s">
        <v>5</v>
      </c>
      <c r="D2348">
        <v>15900</v>
      </c>
    </row>
    <row r="2349" spans="1:4" x14ac:dyDescent="0.4">
      <c r="A2349" s="1" t="s">
        <v>4563</v>
      </c>
      <c r="B2349" t="s">
        <v>4564</v>
      </c>
      <c r="C2349" t="s">
        <v>5</v>
      </c>
      <c r="D2349">
        <v>26800</v>
      </c>
    </row>
    <row r="2350" spans="1:4" x14ac:dyDescent="0.4">
      <c r="A2350" s="1" t="s">
        <v>4565</v>
      </c>
      <c r="B2350" t="s">
        <v>4566</v>
      </c>
      <c r="C2350" t="s">
        <v>5</v>
      </c>
      <c r="D2350">
        <v>8300</v>
      </c>
    </row>
    <row r="2351" spans="1:4" x14ac:dyDescent="0.4">
      <c r="A2351" s="1" t="s">
        <v>4567</v>
      </c>
      <c r="B2351" t="s">
        <v>4568</v>
      </c>
      <c r="C2351" t="s">
        <v>5</v>
      </c>
      <c r="D2351">
        <v>9600</v>
      </c>
    </row>
    <row r="2352" spans="1:4" x14ac:dyDescent="0.4">
      <c r="A2352" s="1" t="s">
        <v>4569</v>
      </c>
      <c r="B2352" t="s">
        <v>4570</v>
      </c>
      <c r="C2352" t="s">
        <v>5</v>
      </c>
    </row>
    <row r="2353" spans="1:4" x14ac:dyDescent="0.4">
      <c r="A2353" s="1" t="s">
        <v>4571</v>
      </c>
      <c r="B2353" t="s">
        <v>4572</v>
      </c>
      <c r="C2353" t="s">
        <v>5</v>
      </c>
      <c r="D2353">
        <v>5300</v>
      </c>
    </row>
    <row r="2354" spans="1:4" x14ac:dyDescent="0.4">
      <c r="A2354" s="1" t="s">
        <v>4573</v>
      </c>
      <c r="B2354" t="s">
        <v>4574</v>
      </c>
      <c r="C2354" t="s">
        <v>5</v>
      </c>
    </row>
    <row r="2355" spans="1:4" x14ac:dyDescent="0.4">
      <c r="A2355" s="1" t="s">
        <v>4575</v>
      </c>
      <c r="B2355" t="s">
        <v>4576</v>
      </c>
      <c r="C2355" t="s">
        <v>5</v>
      </c>
    </row>
    <row r="2356" spans="1:4" x14ac:dyDescent="0.4">
      <c r="A2356" s="1" t="s">
        <v>4577</v>
      </c>
      <c r="B2356" t="s">
        <v>4578</v>
      </c>
      <c r="C2356" t="s">
        <v>5</v>
      </c>
    </row>
    <row r="2357" spans="1:4" x14ac:dyDescent="0.4">
      <c r="A2357" s="1" t="s">
        <v>4579</v>
      </c>
      <c r="B2357" t="s">
        <v>4580</v>
      </c>
      <c r="C2357" t="s">
        <v>5</v>
      </c>
    </row>
    <row r="2358" spans="1:4" x14ac:dyDescent="0.4">
      <c r="A2358" s="1" t="s">
        <v>4581</v>
      </c>
      <c r="B2358" t="s">
        <v>4582</v>
      </c>
      <c r="C2358" t="s">
        <v>5</v>
      </c>
    </row>
    <row r="2359" spans="1:4" x14ac:dyDescent="0.4">
      <c r="A2359" s="1" t="s">
        <v>4583</v>
      </c>
      <c r="B2359" t="s">
        <v>4584</v>
      </c>
      <c r="C2359" t="s">
        <v>5</v>
      </c>
      <c r="D2359">
        <v>5000</v>
      </c>
    </row>
    <row r="2360" spans="1:4" x14ac:dyDescent="0.4">
      <c r="A2360" s="1" t="s">
        <v>4585</v>
      </c>
      <c r="B2360" t="s">
        <v>4586</v>
      </c>
      <c r="C2360" t="s">
        <v>5</v>
      </c>
      <c r="D2360">
        <v>5300</v>
      </c>
    </row>
    <row r="2361" spans="1:4" x14ac:dyDescent="0.4">
      <c r="A2361" s="1" t="s">
        <v>4587</v>
      </c>
      <c r="B2361" t="e">
        <f>-終息-EPSON ｲﾝｸ ICM41A ﾏｾﾞﾝﾀ</f>
        <v>#NAME?</v>
      </c>
      <c r="C2361" t="s">
        <v>5</v>
      </c>
      <c r="D2361">
        <v>7800</v>
      </c>
    </row>
    <row r="2362" spans="1:4" x14ac:dyDescent="0.4">
      <c r="A2362" s="1" t="s">
        <v>4588</v>
      </c>
      <c r="B2362" t="s">
        <v>4589</v>
      </c>
      <c r="C2362" t="s">
        <v>5</v>
      </c>
    </row>
    <row r="2363" spans="1:4" x14ac:dyDescent="0.4">
      <c r="A2363" s="1" t="s">
        <v>4590</v>
      </c>
      <c r="B2363" t="s">
        <v>4591</v>
      </c>
      <c r="C2363" t="s">
        <v>5</v>
      </c>
    </row>
    <row r="2364" spans="1:4" x14ac:dyDescent="0.4">
      <c r="A2364" s="1" t="s">
        <v>4592</v>
      </c>
      <c r="B2364" t="s">
        <v>4593</v>
      </c>
      <c r="C2364" t="s">
        <v>5</v>
      </c>
    </row>
    <row r="2365" spans="1:4" x14ac:dyDescent="0.4">
      <c r="A2365" s="1" t="s">
        <v>4594</v>
      </c>
      <c r="B2365" t="e">
        <f>-終息-EPSON ｲﾝｸｶｰﾄﾘｯｼﾞ HZR60</f>
        <v>#NAME?</v>
      </c>
      <c r="C2365" t="s">
        <v>5</v>
      </c>
    </row>
    <row r="2366" spans="1:4" x14ac:dyDescent="0.4">
      <c r="A2366" s="1" t="s">
        <v>4595</v>
      </c>
      <c r="B2366" t="s">
        <v>4596</v>
      </c>
      <c r="C2366" t="s">
        <v>5</v>
      </c>
    </row>
    <row r="2367" spans="1:4" x14ac:dyDescent="0.4">
      <c r="A2367" s="1" t="s">
        <v>4597</v>
      </c>
      <c r="B2367" t="s">
        <v>4598</v>
      </c>
      <c r="C2367" t="s">
        <v>5</v>
      </c>
    </row>
    <row r="2368" spans="1:4" x14ac:dyDescent="0.4">
      <c r="A2368" s="1" t="s">
        <v>4599</v>
      </c>
      <c r="B2368" t="s">
        <v>4600</v>
      </c>
      <c r="C2368" t="s">
        <v>5</v>
      </c>
    </row>
    <row r="2369" spans="1:4" x14ac:dyDescent="0.4">
      <c r="A2369" s="1" t="s">
        <v>4601</v>
      </c>
      <c r="B2369" t="s">
        <v>4602</v>
      </c>
      <c r="C2369" t="s">
        <v>5</v>
      </c>
    </row>
    <row r="2370" spans="1:4" x14ac:dyDescent="0.4">
      <c r="A2370" s="1" t="s">
        <v>4603</v>
      </c>
      <c r="B2370" t="s">
        <v>4604</v>
      </c>
      <c r="C2370" t="s">
        <v>5</v>
      </c>
    </row>
    <row r="2371" spans="1:4" x14ac:dyDescent="0.4">
      <c r="A2371" s="1" t="s">
        <v>4605</v>
      </c>
      <c r="B2371" t="s">
        <v>4606</v>
      </c>
      <c r="C2371" t="s">
        <v>5</v>
      </c>
    </row>
    <row r="2372" spans="1:4" x14ac:dyDescent="0.4">
      <c r="A2372" s="1" t="s">
        <v>4607</v>
      </c>
      <c r="B2372" t="s">
        <v>4608</v>
      </c>
      <c r="C2372" t="s">
        <v>5</v>
      </c>
    </row>
    <row r="2373" spans="1:4" x14ac:dyDescent="0.4">
      <c r="A2373" s="1" t="s">
        <v>4609</v>
      </c>
      <c r="B2373" t="s">
        <v>4610</v>
      </c>
      <c r="C2373" t="s">
        <v>5</v>
      </c>
    </row>
    <row r="2374" spans="1:4" x14ac:dyDescent="0.4">
      <c r="A2374" s="1" t="s">
        <v>4611</v>
      </c>
      <c r="B2374" t="s">
        <v>4612</v>
      </c>
      <c r="C2374" t="s">
        <v>5</v>
      </c>
    </row>
    <row r="2375" spans="1:4" x14ac:dyDescent="0.4">
      <c r="A2375" s="1" t="s">
        <v>4613</v>
      </c>
      <c r="B2375" t="s">
        <v>4614</v>
      </c>
      <c r="C2375" t="s">
        <v>5</v>
      </c>
    </row>
    <row r="2376" spans="1:4" x14ac:dyDescent="0.4">
      <c r="A2376" s="1" t="s">
        <v>4615</v>
      </c>
      <c r="B2376" t="s">
        <v>4616</v>
      </c>
      <c r="C2376" t="s">
        <v>5</v>
      </c>
    </row>
    <row r="2377" spans="1:4" x14ac:dyDescent="0.4">
      <c r="A2377" s="1" t="s">
        <v>4617</v>
      </c>
      <c r="B2377" t="s">
        <v>4618</v>
      </c>
      <c r="C2377" t="s">
        <v>5</v>
      </c>
    </row>
    <row r="2378" spans="1:4" x14ac:dyDescent="0.4">
      <c r="A2378" s="1" t="s">
        <v>4619</v>
      </c>
      <c r="B2378" t="s">
        <v>4620</v>
      </c>
      <c r="C2378" t="s">
        <v>5</v>
      </c>
    </row>
    <row r="2379" spans="1:4" x14ac:dyDescent="0.4">
      <c r="A2379" s="1" t="s">
        <v>4621</v>
      </c>
      <c r="B2379" t="s">
        <v>4622</v>
      </c>
      <c r="C2379" t="s">
        <v>5</v>
      </c>
    </row>
    <row r="2380" spans="1:4" x14ac:dyDescent="0.4">
      <c r="A2380" s="1" t="s">
        <v>4623</v>
      </c>
      <c r="B2380" t="s">
        <v>4624</v>
      </c>
      <c r="C2380" t="s">
        <v>2808</v>
      </c>
    </row>
    <row r="2381" spans="1:4" x14ac:dyDescent="0.4">
      <c r="A2381" s="1" t="s">
        <v>4625</v>
      </c>
      <c r="B2381" t="s">
        <v>4626</v>
      </c>
      <c r="C2381" t="s">
        <v>5</v>
      </c>
    </row>
    <row r="2382" spans="1:4" x14ac:dyDescent="0.4">
      <c r="A2382" s="1" t="s">
        <v>4627</v>
      </c>
      <c r="B2382" t="s">
        <v>4628</v>
      </c>
      <c r="C2382" t="s">
        <v>5</v>
      </c>
    </row>
    <row r="2383" spans="1:4" x14ac:dyDescent="0.4">
      <c r="A2383" s="1" t="s">
        <v>4629</v>
      </c>
      <c r="B2383" t="s">
        <v>4630</v>
      </c>
      <c r="C2383" t="s">
        <v>5</v>
      </c>
    </row>
    <row r="2384" spans="1:4" x14ac:dyDescent="0.4">
      <c r="A2384" s="1" t="s">
        <v>4631</v>
      </c>
      <c r="B2384" t="s">
        <v>4632</v>
      </c>
      <c r="C2384" t="s">
        <v>5</v>
      </c>
      <c r="D2384">
        <v>5000</v>
      </c>
    </row>
    <row r="2385" spans="1:4" x14ac:dyDescent="0.4">
      <c r="A2385" s="1" t="s">
        <v>4633</v>
      </c>
      <c r="B2385" t="e">
        <f>-終息-EPSON ｲﾝｸ ICMB41A ﾏｯﾄﾌﾞﾗｯｸ</f>
        <v>#NAME?</v>
      </c>
      <c r="C2385" t="s">
        <v>5</v>
      </c>
      <c r="D2385">
        <v>7800</v>
      </c>
    </row>
    <row r="2386" spans="1:4" x14ac:dyDescent="0.4">
      <c r="A2386" s="1" t="s">
        <v>4634</v>
      </c>
      <c r="B2386" t="s">
        <v>4635</v>
      </c>
      <c r="C2386" t="s">
        <v>5</v>
      </c>
      <c r="D2386">
        <v>30600</v>
      </c>
    </row>
    <row r="2387" spans="1:4" x14ac:dyDescent="0.4">
      <c r="A2387" s="1" t="s">
        <v>4636</v>
      </c>
      <c r="B2387" t="s">
        <v>4637</v>
      </c>
      <c r="C2387" t="s">
        <v>5</v>
      </c>
      <c r="D2387">
        <v>15900</v>
      </c>
    </row>
    <row r="2388" spans="1:4" x14ac:dyDescent="0.4">
      <c r="A2388" s="1" t="s">
        <v>4638</v>
      </c>
      <c r="B2388" t="s">
        <v>4639</v>
      </c>
      <c r="C2388" t="s">
        <v>5</v>
      </c>
      <c r="D2388">
        <v>26800</v>
      </c>
    </row>
    <row r="2389" spans="1:4" x14ac:dyDescent="0.4">
      <c r="A2389" s="1" t="s">
        <v>4640</v>
      </c>
      <c r="B2389" t="s">
        <v>4641</v>
      </c>
      <c r="C2389" t="s">
        <v>5</v>
      </c>
      <c r="D2389">
        <v>8300</v>
      </c>
    </row>
    <row r="2390" spans="1:4" x14ac:dyDescent="0.4">
      <c r="A2390" s="1" t="s">
        <v>4642</v>
      </c>
      <c r="B2390" t="s">
        <v>4643</v>
      </c>
      <c r="C2390" t="s">
        <v>5</v>
      </c>
      <c r="D2390">
        <v>9600</v>
      </c>
    </row>
    <row r="2391" spans="1:4" x14ac:dyDescent="0.4">
      <c r="A2391" s="1" t="s">
        <v>4644</v>
      </c>
      <c r="B2391" t="s">
        <v>4645</v>
      </c>
      <c r="C2391" t="s">
        <v>5</v>
      </c>
    </row>
    <row r="2392" spans="1:4" x14ac:dyDescent="0.4">
      <c r="A2392" s="1" t="s">
        <v>4646</v>
      </c>
      <c r="B2392" t="s">
        <v>4647</v>
      </c>
      <c r="C2392" t="s">
        <v>5</v>
      </c>
    </row>
    <row r="2393" spans="1:4" x14ac:dyDescent="0.4">
      <c r="A2393" s="1" t="s">
        <v>4648</v>
      </c>
      <c r="B2393" t="s">
        <v>4649</v>
      </c>
      <c r="C2393" t="s">
        <v>5</v>
      </c>
      <c r="D2393">
        <v>2000</v>
      </c>
    </row>
    <row r="2394" spans="1:4" x14ac:dyDescent="0.4">
      <c r="A2394" s="1" t="s">
        <v>4650</v>
      </c>
      <c r="B2394" t="s">
        <v>4651</v>
      </c>
      <c r="C2394" t="s">
        <v>5</v>
      </c>
      <c r="D2394">
        <v>15900</v>
      </c>
    </row>
    <row r="2395" spans="1:4" x14ac:dyDescent="0.4">
      <c r="A2395" s="1" t="s">
        <v>4652</v>
      </c>
      <c r="B2395" t="s">
        <v>4653</v>
      </c>
      <c r="C2395" t="s">
        <v>5</v>
      </c>
      <c r="D2395">
        <v>26800</v>
      </c>
    </row>
    <row r="2396" spans="1:4" x14ac:dyDescent="0.4">
      <c r="A2396" s="1" t="s">
        <v>4654</v>
      </c>
      <c r="B2396" t="s">
        <v>4655</v>
      </c>
      <c r="C2396" t="s">
        <v>5</v>
      </c>
      <c r="D2396">
        <v>9600</v>
      </c>
    </row>
    <row r="2397" spans="1:4" x14ac:dyDescent="0.4">
      <c r="A2397" s="1" t="s">
        <v>4656</v>
      </c>
      <c r="B2397" t="s">
        <v>4657</v>
      </c>
      <c r="C2397" t="s">
        <v>5</v>
      </c>
    </row>
    <row r="2398" spans="1:4" x14ac:dyDescent="0.4">
      <c r="A2398" s="1" t="s">
        <v>4658</v>
      </c>
      <c r="B2398" t="s">
        <v>4659</v>
      </c>
      <c r="C2398" t="s">
        <v>5</v>
      </c>
      <c r="D2398">
        <v>5300</v>
      </c>
    </row>
    <row r="2399" spans="1:4" x14ac:dyDescent="0.4">
      <c r="A2399" s="1" t="s">
        <v>4660</v>
      </c>
      <c r="B2399" t="s">
        <v>4661</v>
      </c>
      <c r="C2399" t="s">
        <v>5</v>
      </c>
      <c r="D2399">
        <v>30600</v>
      </c>
    </row>
    <row r="2400" spans="1:4" x14ac:dyDescent="0.4">
      <c r="A2400" s="1" t="s">
        <v>4662</v>
      </c>
      <c r="B2400" t="s">
        <v>4663</v>
      </c>
      <c r="C2400" t="s">
        <v>5</v>
      </c>
      <c r="D2400">
        <v>15900</v>
      </c>
    </row>
    <row r="2401" spans="1:4" x14ac:dyDescent="0.4">
      <c r="A2401" s="1" t="s">
        <v>4664</v>
      </c>
      <c r="B2401" t="s">
        <v>4665</v>
      </c>
      <c r="C2401" t="s">
        <v>5</v>
      </c>
      <c r="D2401">
        <v>26800</v>
      </c>
    </row>
    <row r="2402" spans="1:4" x14ac:dyDescent="0.4">
      <c r="A2402" s="1" t="s">
        <v>4666</v>
      </c>
      <c r="B2402" t="s">
        <v>4667</v>
      </c>
      <c r="C2402" t="s">
        <v>5</v>
      </c>
      <c r="D2402">
        <v>8300</v>
      </c>
    </row>
    <row r="2403" spans="1:4" x14ac:dyDescent="0.4">
      <c r="A2403" s="1" t="s">
        <v>4668</v>
      </c>
      <c r="B2403" t="s">
        <v>4669</v>
      </c>
      <c r="C2403" t="s">
        <v>5</v>
      </c>
      <c r="D2403">
        <v>9600</v>
      </c>
    </row>
    <row r="2404" spans="1:4" x14ac:dyDescent="0.4">
      <c r="A2404" s="1" t="s">
        <v>4670</v>
      </c>
      <c r="B2404" t="s">
        <v>4671</v>
      </c>
      <c r="C2404" t="s">
        <v>5</v>
      </c>
    </row>
    <row r="2405" spans="1:4" x14ac:dyDescent="0.4">
      <c r="A2405" s="1" t="s">
        <v>4672</v>
      </c>
      <c r="B2405" t="s">
        <v>4673</v>
      </c>
      <c r="C2405" t="s">
        <v>5</v>
      </c>
    </row>
    <row r="2406" spans="1:4" x14ac:dyDescent="0.4">
      <c r="A2406" s="1" t="s">
        <v>4674</v>
      </c>
      <c r="B2406" t="s">
        <v>4675</v>
      </c>
      <c r="C2406" t="s">
        <v>5</v>
      </c>
      <c r="D2406">
        <v>5300</v>
      </c>
    </row>
    <row r="2407" spans="1:4" x14ac:dyDescent="0.4">
      <c r="A2407" s="1" t="s">
        <v>4676</v>
      </c>
      <c r="B2407" t="s">
        <v>4677</v>
      </c>
      <c r="C2407" t="s">
        <v>5</v>
      </c>
      <c r="D2407">
        <v>30600</v>
      </c>
    </row>
    <row r="2408" spans="1:4" x14ac:dyDescent="0.4">
      <c r="A2408" s="1" t="s">
        <v>4678</v>
      </c>
      <c r="B2408" t="s">
        <v>4679</v>
      </c>
      <c r="C2408" t="s">
        <v>5</v>
      </c>
      <c r="D2408">
        <v>15900</v>
      </c>
    </row>
    <row r="2409" spans="1:4" x14ac:dyDescent="0.4">
      <c r="A2409" s="1" t="s">
        <v>4680</v>
      </c>
      <c r="B2409" t="s">
        <v>4681</v>
      </c>
      <c r="C2409" t="s">
        <v>5</v>
      </c>
      <c r="D2409">
        <v>26800</v>
      </c>
    </row>
    <row r="2410" spans="1:4" x14ac:dyDescent="0.4">
      <c r="A2410" s="1" t="s">
        <v>4682</v>
      </c>
      <c r="B2410" t="s">
        <v>4683</v>
      </c>
      <c r="C2410" t="s">
        <v>5</v>
      </c>
      <c r="D2410">
        <v>8300</v>
      </c>
    </row>
    <row r="2411" spans="1:4" x14ac:dyDescent="0.4">
      <c r="A2411" s="1" t="s">
        <v>4684</v>
      </c>
      <c r="B2411" t="s">
        <v>4685</v>
      </c>
      <c r="C2411" t="s">
        <v>5</v>
      </c>
      <c r="D2411">
        <v>9600</v>
      </c>
    </row>
    <row r="2412" spans="1:4" x14ac:dyDescent="0.4">
      <c r="A2412" s="1" t="s">
        <v>4686</v>
      </c>
      <c r="B2412" t="s">
        <v>4687</v>
      </c>
      <c r="C2412" t="s">
        <v>5</v>
      </c>
    </row>
    <row r="2413" spans="1:4" x14ac:dyDescent="0.4">
      <c r="A2413" s="1" t="s">
        <v>4688</v>
      </c>
      <c r="B2413" t="s">
        <v>4689</v>
      </c>
      <c r="C2413" t="s">
        <v>5</v>
      </c>
    </row>
    <row r="2414" spans="1:4" x14ac:dyDescent="0.4">
      <c r="A2414" s="1" t="s">
        <v>4690</v>
      </c>
      <c r="B2414" t="s">
        <v>4691</v>
      </c>
      <c r="C2414" t="s">
        <v>5</v>
      </c>
      <c r="D2414">
        <v>5900</v>
      </c>
    </row>
    <row r="2415" spans="1:4" x14ac:dyDescent="0.4">
      <c r="A2415" s="1" t="s">
        <v>4692</v>
      </c>
      <c r="B2415" t="s">
        <v>4693</v>
      </c>
      <c r="C2415" t="s">
        <v>5</v>
      </c>
      <c r="D2415">
        <v>68000</v>
      </c>
    </row>
    <row r="2416" spans="1:4" x14ac:dyDescent="0.4">
      <c r="A2416" s="1" t="s">
        <v>4694</v>
      </c>
      <c r="B2416" t="s">
        <v>4695</v>
      </c>
      <c r="C2416" t="s">
        <v>5</v>
      </c>
      <c r="D2416">
        <v>5000</v>
      </c>
    </row>
    <row r="2417" spans="1:4" x14ac:dyDescent="0.4">
      <c r="A2417" s="1" t="s">
        <v>4696</v>
      </c>
      <c r="B2417" t="s">
        <v>4697</v>
      </c>
      <c r="C2417" t="s">
        <v>5</v>
      </c>
      <c r="D2417">
        <v>5300</v>
      </c>
    </row>
    <row r="2418" spans="1:4" x14ac:dyDescent="0.4">
      <c r="A2418" s="1" t="s">
        <v>4698</v>
      </c>
      <c r="B2418" t="e">
        <f>-終息-EPSON ｲﾝｸ ICY41A ｲｴﾛｰ</f>
        <v>#NAME?</v>
      </c>
      <c r="C2418" t="s">
        <v>5</v>
      </c>
      <c r="D2418">
        <v>7800</v>
      </c>
    </row>
    <row r="2419" spans="1:4" x14ac:dyDescent="0.4">
      <c r="A2419" s="1" t="s">
        <v>4699</v>
      </c>
      <c r="B2419" t="s">
        <v>4700</v>
      </c>
      <c r="C2419" t="s">
        <v>5</v>
      </c>
    </row>
    <row r="2420" spans="1:4" x14ac:dyDescent="0.4">
      <c r="A2420" s="1" t="s">
        <v>4701</v>
      </c>
      <c r="B2420" t="s">
        <v>4702</v>
      </c>
      <c r="C2420" t="s">
        <v>5</v>
      </c>
      <c r="D2420">
        <v>30600</v>
      </c>
    </row>
    <row r="2421" spans="1:4" x14ac:dyDescent="0.4">
      <c r="A2421" s="1" t="s">
        <v>4703</v>
      </c>
      <c r="B2421" t="s">
        <v>4704</v>
      </c>
      <c r="C2421" t="s">
        <v>5</v>
      </c>
    </row>
    <row r="2422" spans="1:4" x14ac:dyDescent="0.4">
      <c r="A2422" s="1" t="s">
        <v>4705</v>
      </c>
      <c r="B2422" t="s">
        <v>4706</v>
      </c>
      <c r="C2422" t="s">
        <v>5</v>
      </c>
      <c r="D2422">
        <v>15900</v>
      </c>
    </row>
    <row r="2423" spans="1:4" x14ac:dyDescent="0.4">
      <c r="A2423" s="1" t="s">
        <v>4707</v>
      </c>
      <c r="B2423" t="s">
        <v>4708</v>
      </c>
      <c r="C2423" t="s">
        <v>5</v>
      </c>
      <c r="D2423">
        <v>26800</v>
      </c>
    </row>
    <row r="2424" spans="1:4" x14ac:dyDescent="0.4">
      <c r="A2424" s="1" t="s">
        <v>4709</v>
      </c>
      <c r="B2424" t="s">
        <v>4710</v>
      </c>
      <c r="C2424" t="s">
        <v>5</v>
      </c>
    </row>
    <row r="2425" spans="1:4" x14ac:dyDescent="0.4">
      <c r="A2425" s="1" t="s">
        <v>4711</v>
      </c>
      <c r="B2425" t="s">
        <v>4712</v>
      </c>
      <c r="C2425" t="s">
        <v>5</v>
      </c>
      <c r="D2425">
        <v>8300</v>
      </c>
    </row>
    <row r="2426" spans="1:4" x14ac:dyDescent="0.4">
      <c r="A2426" s="1" t="s">
        <v>4713</v>
      </c>
      <c r="B2426" t="e">
        <f>-終息-EPSON ｲﾝｸｶｰﾄﾘｯｼﾞ IAD60</f>
        <v>#NAME?</v>
      </c>
      <c r="C2426" t="s">
        <v>5</v>
      </c>
    </row>
    <row r="2427" spans="1:4" x14ac:dyDescent="0.4">
      <c r="A2427" s="1" t="s">
        <v>4714</v>
      </c>
      <c r="B2427" t="s">
        <v>4715</v>
      </c>
      <c r="C2427" t="s">
        <v>5</v>
      </c>
    </row>
    <row r="2428" spans="1:4" x14ac:dyDescent="0.4">
      <c r="A2428" s="1" t="s">
        <v>4716</v>
      </c>
      <c r="B2428" t="s">
        <v>4717</v>
      </c>
      <c r="C2428" t="s">
        <v>5</v>
      </c>
      <c r="D2428">
        <v>9600</v>
      </c>
    </row>
    <row r="2429" spans="1:4" x14ac:dyDescent="0.4">
      <c r="A2429" s="1" t="s">
        <v>4718</v>
      </c>
      <c r="B2429" t="s">
        <v>4719</v>
      </c>
      <c r="C2429" t="s">
        <v>5</v>
      </c>
    </row>
    <row r="2430" spans="1:4" x14ac:dyDescent="0.4">
      <c r="A2430" s="1" t="s">
        <v>4720</v>
      </c>
      <c r="B2430" t="s">
        <v>4721</v>
      </c>
      <c r="C2430" t="s">
        <v>5</v>
      </c>
    </row>
    <row r="2431" spans="1:4" x14ac:dyDescent="0.4">
      <c r="A2431" s="1" t="s">
        <v>4722</v>
      </c>
      <c r="B2431" t="s">
        <v>4723</v>
      </c>
      <c r="C2431" t="s">
        <v>5</v>
      </c>
    </row>
    <row r="2432" spans="1:4" x14ac:dyDescent="0.4">
      <c r="A2432" s="1" t="s">
        <v>4724</v>
      </c>
      <c r="B2432" t="s">
        <v>4725</v>
      </c>
      <c r="C2432" t="s">
        <v>5</v>
      </c>
    </row>
    <row r="2433" spans="1:4" x14ac:dyDescent="0.4">
      <c r="A2433" s="1" t="s">
        <v>4726</v>
      </c>
      <c r="B2433" t="s">
        <v>4727</v>
      </c>
      <c r="C2433" t="s">
        <v>5</v>
      </c>
    </row>
    <row r="2434" spans="1:4" x14ac:dyDescent="0.4">
      <c r="A2434" s="1" t="s">
        <v>4728</v>
      </c>
      <c r="B2434" t="s">
        <v>4729</v>
      </c>
      <c r="C2434" t="s">
        <v>5</v>
      </c>
    </row>
    <row r="2435" spans="1:4" x14ac:dyDescent="0.4">
      <c r="A2435" s="1" t="s">
        <v>4730</v>
      </c>
      <c r="B2435" t="s">
        <v>4731</v>
      </c>
      <c r="C2435" t="s">
        <v>5</v>
      </c>
    </row>
    <row r="2436" spans="1:4" x14ac:dyDescent="0.4">
      <c r="A2436" s="1" t="s">
        <v>4732</v>
      </c>
      <c r="B2436" t="s">
        <v>4733</v>
      </c>
      <c r="C2436" t="s">
        <v>5</v>
      </c>
    </row>
    <row r="2437" spans="1:4" x14ac:dyDescent="0.4">
      <c r="A2437" s="1" t="s">
        <v>4734</v>
      </c>
      <c r="B2437" t="s">
        <v>4735</v>
      </c>
      <c r="C2437" t="s">
        <v>5</v>
      </c>
    </row>
    <row r="2438" spans="1:4" x14ac:dyDescent="0.4">
      <c r="A2438" s="1" t="s">
        <v>4736</v>
      </c>
      <c r="B2438" t="s">
        <v>4737</v>
      </c>
      <c r="C2438" t="s">
        <v>5</v>
      </c>
    </row>
    <row r="2439" spans="1:4" x14ac:dyDescent="0.4">
      <c r="A2439" s="1" t="s">
        <v>4738</v>
      </c>
      <c r="B2439" t="s">
        <v>4739</v>
      </c>
      <c r="C2439" t="s">
        <v>5</v>
      </c>
    </row>
    <row r="2440" spans="1:4" x14ac:dyDescent="0.4">
      <c r="A2440" s="1" t="s">
        <v>4740</v>
      </c>
      <c r="B2440" t="s">
        <v>4741</v>
      </c>
      <c r="C2440" t="s">
        <v>5</v>
      </c>
    </row>
    <row r="2441" spans="1:4" x14ac:dyDescent="0.4">
      <c r="A2441" s="1" t="s">
        <v>4742</v>
      </c>
      <c r="B2441" t="s">
        <v>4743</v>
      </c>
      <c r="C2441" t="s">
        <v>5</v>
      </c>
    </row>
    <row r="2442" spans="1:4" x14ac:dyDescent="0.4">
      <c r="A2442" s="1" t="s">
        <v>4744</v>
      </c>
      <c r="B2442" t="s">
        <v>4745</v>
      </c>
      <c r="C2442" t="s">
        <v>5</v>
      </c>
    </row>
    <row r="2443" spans="1:4" x14ac:dyDescent="0.4">
      <c r="A2443" s="1" t="s">
        <v>4746</v>
      </c>
      <c r="B2443" t="s">
        <v>4747</v>
      </c>
      <c r="C2443" t="s">
        <v>2808</v>
      </c>
    </row>
    <row r="2444" spans="1:4" x14ac:dyDescent="0.4">
      <c r="A2444" s="1" t="s">
        <v>4748</v>
      </c>
      <c r="B2444" t="s">
        <v>4749</v>
      </c>
      <c r="C2444" t="s">
        <v>5</v>
      </c>
    </row>
    <row r="2445" spans="1:4" x14ac:dyDescent="0.4">
      <c r="A2445" s="1" t="s">
        <v>4750</v>
      </c>
      <c r="B2445" t="s">
        <v>4751</v>
      </c>
      <c r="C2445" t="s">
        <v>5</v>
      </c>
    </row>
    <row r="2446" spans="1:4" x14ac:dyDescent="0.4">
      <c r="A2446" s="1" t="s">
        <v>4752</v>
      </c>
      <c r="B2446" t="s">
        <v>4753</v>
      </c>
      <c r="C2446" t="s">
        <v>5</v>
      </c>
    </row>
    <row r="2447" spans="1:4" x14ac:dyDescent="0.4">
      <c r="A2447" s="1" t="s">
        <v>4754</v>
      </c>
      <c r="B2447" t="s">
        <v>4755</v>
      </c>
      <c r="C2447" t="s">
        <v>5</v>
      </c>
    </row>
    <row r="2448" spans="1:4" x14ac:dyDescent="0.4">
      <c r="A2448" s="1" t="s">
        <v>4756</v>
      </c>
      <c r="B2448" t="s">
        <v>4757</v>
      </c>
      <c r="C2448" t="s">
        <v>5</v>
      </c>
      <c r="D2448">
        <v>32000</v>
      </c>
    </row>
    <row r="2449" spans="1:4" x14ac:dyDescent="0.4">
      <c r="A2449" s="1" t="s">
        <v>4758</v>
      </c>
      <c r="B2449" t="s">
        <v>4759</v>
      </c>
      <c r="C2449" t="s">
        <v>5</v>
      </c>
      <c r="D2449">
        <v>32000</v>
      </c>
    </row>
    <row r="2450" spans="1:4" x14ac:dyDescent="0.4">
      <c r="A2450" s="1" t="s">
        <v>4760</v>
      </c>
      <c r="B2450" t="s">
        <v>4761</v>
      </c>
      <c r="C2450" t="s">
        <v>5</v>
      </c>
      <c r="D2450">
        <v>32000</v>
      </c>
    </row>
    <row r="2451" spans="1:4" x14ac:dyDescent="0.4">
      <c r="A2451" s="1" t="s">
        <v>4762</v>
      </c>
      <c r="B2451" t="s">
        <v>4763</v>
      </c>
      <c r="C2451" t="s">
        <v>5</v>
      </c>
      <c r="D2451">
        <v>32000</v>
      </c>
    </row>
    <row r="2452" spans="1:4" x14ac:dyDescent="0.4">
      <c r="A2452" s="1" t="s">
        <v>4764</v>
      </c>
      <c r="B2452" t="s">
        <v>4765</v>
      </c>
      <c r="C2452" t="s">
        <v>5</v>
      </c>
      <c r="D2452">
        <v>16000</v>
      </c>
    </row>
    <row r="2453" spans="1:4" x14ac:dyDescent="0.4">
      <c r="A2453" s="1" t="s">
        <v>4766</v>
      </c>
      <c r="B2453" t="s">
        <v>4767</v>
      </c>
      <c r="C2453" t="s">
        <v>5</v>
      </c>
      <c r="D2453">
        <v>16000</v>
      </c>
    </row>
    <row r="2454" spans="1:4" x14ac:dyDescent="0.4">
      <c r="A2454" s="1" t="s">
        <v>4768</v>
      </c>
      <c r="B2454" t="s">
        <v>4769</v>
      </c>
      <c r="C2454" t="s">
        <v>5</v>
      </c>
      <c r="D2454">
        <v>16000</v>
      </c>
    </row>
    <row r="2455" spans="1:4" x14ac:dyDescent="0.4">
      <c r="A2455" s="1" t="s">
        <v>4770</v>
      </c>
      <c r="B2455" t="s">
        <v>4771</v>
      </c>
      <c r="C2455" t="s">
        <v>5</v>
      </c>
      <c r="D2455">
        <v>16000</v>
      </c>
    </row>
    <row r="2456" spans="1:4" x14ac:dyDescent="0.4">
      <c r="A2456" s="1" t="s">
        <v>4772</v>
      </c>
      <c r="B2456" t="s">
        <v>4773</v>
      </c>
      <c r="C2456" t="s">
        <v>5</v>
      </c>
      <c r="D2456">
        <v>13000</v>
      </c>
    </row>
    <row r="2457" spans="1:4" x14ac:dyDescent="0.4">
      <c r="A2457" s="1" t="s">
        <v>4774</v>
      </c>
      <c r="B2457" t="s">
        <v>4775</v>
      </c>
      <c r="C2457" t="s">
        <v>5</v>
      </c>
      <c r="D2457">
        <v>13000</v>
      </c>
    </row>
    <row r="2458" spans="1:4" x14ac:dyDescent="0.4">
      <c r="A2458" s="1" t="s">
        <v>4776</v>
      </c>
      <c r="B2458" t="s">
        <v>4777</v>
      </c>
      <c r="C2458" t="s">
        <v>5</v>
      </c>
      <c r="D2458">
        <v>13000</v>
      </c>
    </row>
    <row r="2459" spans="1:4" x14ac:dyDescent="0.4">
      <c r="A2459" s="1" t="s">
        <v>4778</v>
      </c>
      <c r="B2459" t="s">
        <v>4779</v>
      </c>
      <c r="C2459" t="s">
        <v>5</v>
      </c>
      <c r="D2459">
        <v>13000</v>
      </c>
    </row>
    <row r="2460" spans="1:4" x14ac:dyDescent="0.4">
      <c r="A2460" s="1" t="s">
        <v>4780</v>
      </c>
      <c r="B2460" t="s">
        <v>4781</v>
      </c>
      <c r="C2460" t="s">
        <v>5</v>
      </c>
      <c r="D2460">
        <v>22050</v>
      </c>
    </row>
    <row r="2461" spans="1:4" x14ac:dyDescent="0.4">
      <c r="A2461" s="1" t="s">
        <v>4782</v>
      </c>
      <c r="B2461" t="s">
        <v>4783</v>
      </c>
      <c r="C2461" t="s">
        <v>5</v>
      </c>
      <c r="D2461">
        <v>22050</v>
      </c>
    </row>
    <row r="2462" spans="1:4" x14ac:dyDescent="0.4">
      <c r="A2462" s="1" t="s">
        <v>4784</v>
      </c>
      <c r="B2462" t="s">
        <v>4785</v>
      </c>
      <c r="C2462" t="s">
        <v>5</v>
      </c>
      <c r="D2462">
        <v>22050</v>
      </c>
    </row>
    <row r="2463" spans="1:4" x14ac:dyDescent="0.4">
      <c r="A2463" s="1" t="s">
        <v>4786</v>
      </c>
      <c r="B2463" t="s">
        <v>4787</v>
      </c>
      <c r="C2463" t="s">
        <v>5</v>
      </c>
      <c r="D2463">
        <v>22050</v>
      </c>
    </row>
    <row r="2464" spans="1:4" x14ac:dyDescent="0.4">
      <c r="A2464" s="1" t="s">
        <v>4788</v>
      </c>
      <c r="B2464" t="s">
        <v>4789</v>
      </c>
      <c r="C2464" t="s">
        <v>5</v>
      </c>
      <c r="D2464">
        <v>16800</v>
      </c>
    </row>
    <row r="2465" spans="1:4" x14ac:dyDescent="0.4">
      <c r="A2465" s="1" t="s">
        <v>4790</v>
      </c>
      <c r="B2465" t="s">
        <v>4791</v>
      </c>
      <c r="C2465" t="s">
        <v>5</v>
      </c>
      <c r="D2465">
        <v>16800</v>
      </c>
    </row>
    <row r="2466" spans="1:4" x14ac:dyDescent="0.4">
      <c r="A2466" s="1" t="s">
        <v>4792</v>
      </c>
      <c r="B2466" t="s">
        <v>4793</v>
      </c>
      <c r="C2466" t="s">
        <v>5</v>
      </c>
      <c r="D2466">
        <v>16800</v>
      </c>
    </row>
    <row r="2467" spans="1:4" x14ac:dyDescent="0.4">
      <c r="A2467" s="1" t="s">
        <v>4794</v>
      </c>
      <c r="B2467" t="s">
        <v>4795</v>
      </c>
      <c r="C2467" t="s">
        <v>5</v>
      </c>
      <c r="D2467">
        <v>16800</v>
      </c>
    </row>
    <row r="2468" spans="1:4" x14ac:dyDescent="0.4">
      <c r="A2468" s="1" t="s">
        <v>4796</v>
      </c>
      <c r="B2468" t="s">
        <v>4797</v>
      </c>
      <c r="C2468" t="s">
        <v>5</v>
      </c>
      <c r="D2468">
        <v>16800</v>
      </c>
    </row>
    <row r="2469" spans="1:4" x14ac:dyDescent="0.4">
      <c r="A2469" s="1" t="s">
        <v>4798</v>
      </c>
      <c r="B2469" t="s">
        <v>4799</v>
      </c>
      <c r="C2469" t="s">
        <v>5</v>
      </c>
      <c r="D2469">
        <v>16800</v>
      </c>
    </row>
    <row r="2470" spans="1:4" x14ac:dyDescent="0.4">
      <c r="A2470" s="1" t="s">
        <v>4800</v>
      </c>
      <c r="B2470" t="s">
        <v>4801</v>
      </c>
      <c r="C2470" t="s">
        <v>5</v>
      </c>
      <c r="D2470">
        <v>16800</v>
      </c>
    </row>
    <row r="2471" spans="1:4" x14ac:dyDescent="0.4">
      <c r="A2471" s="1" t="s">
        <v>4802</v>
      </c>
      <c r="B2471" t="s">
        <v>4803</v>
      </c>
      <c r="C2471" t="s">
        <v>5</v>
      </c>
      <c r="D2471">
        <v>16800</v>
      </c>
    </row>
    <row r="2472" spans="1:4" x14ac:dyDescent="0.4">
      <c r="A2472" s="1" t="s">
        <v>4804</v>
      </c>
      <c r="B2472" t="s">
        <v>4805</v>
      </c>
      <c r="C2472" t="s">
        <v>5</v>
      </c>
      <c r="D2472">
        <v>42000</v>
      </c>
    </row>
    <row r="2473" spans="1:4" x14ac:dyDescent="0.4">
      <c r="A2473" s="1" t="s">
        <v>4806</v>
      </c>
      <c r="B2473" t="s">
        <v>4807</v>
      </c>
      <c r="C2473" t="s">
        <v>5</v>
      </c>
      <c r="D2473">
        <v>42000</v>
      </c>
    </row>
    <row r="2474" spans="1:4" x14ac:dyDescent="0.4">
      <c r="A2474" s="1" t="s">
        <v>4808</v>
      </c>
      <c r="B2474" t="s">
        <v>4809</v>
      </c>
      <c r="C2474" t="s">
        <v>5</v>
      </c>
      <c r="D2474">
        <v>42000</v>
      </c>
    </row>
    <row r="2475" spans="1:4" x14ac:dyDescent="0.4">
      <c r="A2475" s="1" t="s">
        <v>4810</v>
      </c>
      <c r="B2475" t="s">
        <v>4811</v>
      </c>
      <c r="C2475" t="s">
        <v>5</v>
      </c>
      <c r="D2475">
        <v>42000</v>
      </c>
    </row>
    <row r="2476" spans="1:4" x14ac:dyDescent="0.4">
      <c r="A2476" s="1" t="s">
        <v>4812</v>
      </c>
      <c r="B2476" t="s">
        <v>4813</v>
      </c>
      <c r="C2476" t="s">
        <v>5</v>
      </c>
      <c r="D2476">
        <v>42000</v>
      </c>
    </row>
    <row r="2477" spans="1:4" x14ac:dyDescent="0.4">
      <c r="A2477" s="1" t="s">
        <v>4814</v>
      </c>
      <c r="B2477" t="s">
        <v>4815</v>
      </c>
      <c r="C2477" t="s">
        <v>5</v>
      </c>
      <c r="D2477">
        <v>42000</v>
      </c>
    </row>
    <row r="2478" spans="1:4" x14ac:dyDescent="0.4">
      <c r="A2478" s="1" t="s">
        <v>4816</v>
      </c>
      <c r="B2478" t="s">
        <v>4817</v>
      </c>
      <c r="C2478" t="s">
        <v>5</v>
      </c>
      <c r="D2478">
        <v>12000</v>
      </c>
    </row>
    <row r="2479" spans="1:4" x14ac:dyDescent="0.4">
      <c r="A2479" s="1" t="s">
        <v>4818</v>
      </c>
      <c r="B2479" t="s">
        <v>4819</v>
      </c>
      <c r="C2479" t="s">
        <v>5</v>
      </c>
      <c r="D2479">
        <v>12000</v>
      </c>
    </row>
    <row r="2480" spans="1:4" x14ac:dyDescent="0.4">
      <c r="A2480" s="1" t="s">
        <v>4820</v>
      </c>
      <c r="B2480" t="s">
        <v>4821</v>
      </c>
      <c r="C2480" t="s">
        <v>5</v>
      </c>
      <c r="D2480">
        <v>12000</v>
      </c>
    </row>
    <row r="2481" spans="1:4" x14ac:dyDescent="0.4">
      <c r="A2481" s="1" t="s">
        <v>4822</v>
      </c>
      <c r="B2481" t="s">
        <v>4823</v>
      </c>
      <c r="C2481" t="s">
        <v>5</v>
      </c>
      <c r="D2481">
        <v>12000</v>
      </c>
    </row>
    <row r="2482" spans="1:4" x14ac:dyDescent="0.4">
      <c r="A2482" s="1" t="s">
        <v>4824</v>
      </c>
      <c r="B2482" t="s">
        <v>4825</v>
      </c>
      <c r="C2482" t="s">
        <v>5</v>
      </c>
      <c r="D2482">
        <v>12600</v>
      </c>
    </row>
    <row r="2483" spans="1:4" x14ac:dyDescent="0.4">
      <c r="A2483" s="1" t="s">
        <v>4826</v>
      </c>
      <c r="B2483" t="s">
        <v>4827</v>
      </c>
      <c r="C2483" t="s">
        <v>5</v>
      </c>
      <c r="D2483">
        <v>12600</v>
      </c>
    </row>
    <row r="2484" spans="1:4" x14ac:dyDescent="0.4">
      <c r="A2484" s="1" t="s">
        <v>4828</v>
      </c>
      <c r="B2484" t="s">
        <v>4829</v>
      </c>
      <c r="C2484" t="s">
        <v>5</v>
      </c>
      <c r="D2484">
        <v>12600</v>
      </c>
    </row>
    <row r="2485" spans="1:4" x14ac:dyDescent="0.4">
      <c r="A2485" s="1" t="s">
        <v>4830</v>
      </c>
      <c r="B2485" t="s">
        <v>4831</v>
      </c>
      <c r="C2485" t="s">
        <v>5</v>
      </c>
      <c r="D2485">
        <v>12600</v>
      </c>
    </row>
    <row r="2486" spans="1:4" x14ac:dyDescent="0.4">
      <c r="A2486" s="1" t="s">
        <v>4832</v>
      </c>
      <c r="B2486" t="s">
        <v>4833</v>
      </c>
      <c r="C2486" t="s">
        <v>5</v>
      </c>
      <c r="D2486">
        <v>12600</v>
      </c>
    </row>
    <row r="2487" spans="1:4" x14ac:dyDescent="0.4">
      <c r="A2487" s="1" t="s">
        <v>4834</v>
      </c>
      <c r="B2487" t="s">
        <v>4835</v>
      </c>
      <c r="C2487" t="s">
        <v>5</v>
      </c>
      <c r="D2487">
        <v>12600</v>
      </c>
    </row>
    <row r="2488" spans="1:4" x14ac:dyDescent="0.4">
      <c r="A2488" s="1" t="s">
        <v>4836</v>
      </c>
      <c r="B2488" t="s">
        <v>4837</v>
      </c>
      <c r="C2488" t="s">
        <v>5</v>
      </c>
      <c r="D2488">
        <v>12600</v>
      </c>
    </row>
    <row r="2489" spans="1:4" x14ac:dyDescent="0.4">
      <c r="A2489" s="1" t="s">
        <v>4838</v>
      </c>
      <c r="B2489" t="s">
        <v>4839</v>
      </c>
      <c r="C2489" t="s">
        <v>5</v>
      </c>
      <c r="D2489">
        <v>12600</v>
      </c>
    </row>
    <row r="2490" spans="1:4" x14ac:dyDescent="0.4">
      <c r="A2490" s="1" t="s">
        <v>4840</v>
      </c>
      <c r="B2490" t="s">
        <v>4841</v>
      </c>
      <c r="C2490" t="s">
        <v>5</v>
      </c>
      <c r="D2490">
        <v>19950</v>
      </c>
    </row>
    <row r="2491" spans="1:4" x14ac:dyDescent="0.4">
      <c r="A2491" s="1" t="s">
        <v>4842</v>
      </c>
      <c r="B2491" t="s">
        <v>4843</v>
      </c>
      <c r="C2491" t="s">
        <v>5</v>
      </c>
      <c r="D2491">
        <v>19950</v>
      </c>
    </row>
    <row r="2492" spans="1:4" x14ac:dyDescent="0.4">
      <c r="A2492" s="1" t="s">
        <v>4844</v>
      </c>
      <c r="B2492" t="s">
        <v>4845</v>
      </c>
      <c r="C2492" t="s">
        <v>5</v>
      </c>
      <c r="D2492">
        <v>19950</v>
      </c>
    </row>
    <row r="2493" spans="1:4" x14ac:dyDescent="0.4">
      <c r="A2493" s="1" t="s">
        <v>4846</v>
      </c>
      <c r="B2493" t="s">
        <v>4847</v>
      </c>
      <c r="C2493" t="s">
        <v>5</v>
      </c>
      <c r="D2493">
        <v>17850</v>
      </c>
    </row>
    <row r="2494" spans="1:4" x14ac:dyDescent="0.4">
      <c r="A2494" s="1" t="s">
        <v>4848</v>
      </c>
      <c r="B2494" t="s">
        <v>4849</v>
      </c>
      <c r="C2494" t="s">
        <v>5</v>
      </c>
      <c r="D2494">
        <v>17850</v>
      </c>
    </row>
    <row r="2495" spans="1:4" x14ac:dyDescent="0.4">
      <c r="A2495" s="1" t="s">
        <v>4850</v>
      </c>
      <c r="B2495" t="s">
        <v>4851</v>
      </c>
      <c r="C2495" t="s">
        <v>5</v>
      </c>
      <c r="D2495">
        <v>17850</v>
      </c>
    </row>
    <row r="2496" spans="1:4" x14ac:dyDescent="0.4">
      <c r="A2496" s="1" t="s">
        <v>4852</v>
      </c>
      <c r="B2496" t="s">
        <v>4853</v>
      </c>
      <c r="C2496" t="s">
        <v>5</v>
      </c>
      <c r="D2496">
        <v>17850</v>
      </c>
    </row>
    <row r="2497" spans="1:4" x14ac:dyDescent="0.4">
      <c r="A2497" s="1" t="s">
        <v>4854</v>
      </c>
      <c r="B2497" t="s">
        <v>4855</v>
      </c>
      <c r="C2497" t="s">
        <v>5</v>
      </c>
      <c r="D2497">
        <v>19950</v>
      </c>
    </row>
    <row r="2498" spans="1:4" x14ac:dyDescent="0.4">
      <c r="A2498" s="1" t="s">
        <v>4856</v>
      </c>
      <c r="B2498" t="s">
        <v>4857</v>
      </c>
      <c r="C2498" t="s">
        <v>5</v>
      </c>
      <c r="D2498">
        <v>13650</v>
      </c>
    </row>
    <row r="2499" spans="1:4" x14ac:dyDescent="0.4">
      <c r="A2499" s="1" t="s">
        <v>4858</v>
      </c>
      <c r="B2499" t="s">
        <v>4859</v>
      </c>
      <c r="C2499" t="s">
        <v>5</v>
      </c>
      <c r="D2499">
        <v>9000</v>
      </c>
    </row>
    <row r="2500" spans="1:4" x14ac:dyDescent="0.4">
      <c r="A2500" s="1" t="s">
        <v>4860</v>
      </c>
      <c r="B2500" t="e">
        <f>-終息-OKI ID-M4D</f>
        <v>#NAME?</v>
      </c>
      <c r="C2500" t="s">
        <v>5</v>
      </c>
      <c r="D2500">
        <v>13000</v>
      </c>
    </row>
    <row r="2501" spans="1:4" x14ac:dyDescent="0.4">
      <c r="A2501" s="1" t="s">
        <v>4861</v>
      </c>
      <c r="B2501" t="s">
        <v>4862</v>
      </c>
      <c r="C2501" t="s">
        <v>5</v>
      </c>
      <c r="D2501">
        <v>19950</v>
      </c>
    </row>
    <row r="2502" spans="1:4" x14ac:dyDescent="0.4">
      <c r="A2502" s="1" t="s">
        <v>4863</v>
      </c>
      <c r="B2502" t="s">
        <v>4864</v>
      </c>
      <c r="C2502" t="s">
        <v>5</v>
      </c>
      <c r="D2502">
        <v>19000</v>
      </c>
    </row>
    <row r="2503" spans="1:4" x14ac:dyDescent="0.4">
      <c r="A2503" s="1" t="s">
        <v>4865</v>
      </c>
      <c r="B2503" t="s">
        <v>4866</v>
      </c>
      <c r="C2503" t="s">
        <v>5</v>
      </c>
      <c r="D2503">
        <v>19000</v>
      </c>
    </row>
    <row r="2504" spans="1:4" x14ac:dyDescent="0.4">
      <c r="A2504" s="1" t="s">
        <v>4867</v>
      </c>
      <c r="B2504" t="s">
        <v>4868</v>
      </c>
      <c r="C2504" t="s">
        <v>5</v>
      </c>
      <c r="D2504">
        <v>17850</v>
      </c>
    </row>
    <row r="2505" spans="1:4" x14ac:dyDescent="0.4">
      <c r="A2505" s="1" t="s">
        <v>4869</v>
      </c>
      <c r="B2505" t="s">
        <v>4870</v>
      </c>
      <c r="C2505" t="s">
        <v>5</v>
      </c>
      <c r="D2505">
        <v>17850</v>
      </c>
    </row>
    <row r="2506" spans="1:4" x14ac:dyDescent="0.4">
      <c r="A2506" s="1" t="s">
        <v>4871</v>
      </c>
      <c r="B2506" t="s">
        <v>4872</v>
      </c>
      <c r="C2506" t="s">
        <v>5</v>
      </c>
      <c r="D2506">
        <v>17850</v>
      </c>
    </row>
    <row r="2507" spans="1:4" x14ac:dyDescent="0.4">
      <c r="A2507" s="1" t="s">
        <v>4873</v>
      </c>
      <c r="B2507" t="s">
        <v>4874</v>
      </c>
      <c r="C2507" t="s">
        <v>5</v>
      </c>
      <c r="D2507">
        <v>17850</v>
      </c>
    </row>
    <row r="2508" spans="1:4" x14ac:dyDescent="0.4">
      <c r="A2508" s="1" t="s">
        <v>4875</v>
      </c>
      <c r="B2508" t="s">
        <v>4876</v>
      </c>
      <c r="C2508" t="s">
        <v>5</v>
      </c>
    </row>
    <row r="2509" spans="1:4" x14ac:dyDescent="0.4">
      <c r="A2509" s="1" t="s">
        <v>4877</v>
      </c>
      <c r="B2509" t="s">
        <v>4878</v>
      </c>
      <c r="C2509" t="s">
        <v>5</v>
      </c>
    </row>
    <row r="2510" spans="1:4" x14ac:dyDescent="0.4">
      <c r="A2510" s="1" t="s">
        <v>4879</v>
      </c>
      <c r="B2510" t="s">
        <v>4880</v>
      </c>
      <c r="C2510" t="s">
        <v>5</v>
      </c>
    </row>
    <row r="2511" spans="1:4" x14ac:dyDescent="0.4">
      <c r="A2511" s="1" t="s">
        <v>4881</v>
      </c>
      <c r="B2511" t="s">
        <v>4882</v>
      </c>
      <c r="C2511" t="s">
        <v>5</v>
      </c>
    </row>
    <row r="2512" spans="1:4" x14ac:dyDescent="0.4">
      <c r="A2512" s="1" t="s">
        <v>4883</v>
      </c>
      <c r="B2512" t="s">
        <v>4884</v>
      </c>
      <c r="C2512" t="s">
        <v>5</v>
      </c>
      <c r="D2512">
        <v>7700</v>
      </c>
    </row>
    <row r="2513" spans="1:4" x14ac:dyDescent="0.4">
      <c r="A2513" s="1" t="s">
        <v>4885</v>
      </c>
      <c r="B2513" t="s">
        <v>4886</v>
      </c>
      <c r="C2513" t="s">
        <v>5</v>
      </c>
      <c r="D2513">
        <v>7700</v>
      </c>
    </row>
    <row r="2514" spans="1:4" x14ac:dyDescent="0.4">
      <c r="A2514" s="1" t="s">
        <v>4887</v>
      </c>
      <c r="B2514" t="s">
        <v>4888</v>
      </c>
      <c r="C2514" t="s">
        <v>5</v>
      </c>
      <c r="D2514">
        <v>7700</v>
      </c>
    </row>
    <row r="2515" spans="1:4" x14ac:dyDescent="0.4">
      <c r="A2515" s="1" t="s">
        <v>4889</v>
      </c>
      <c r="B2515" t="s">
        <v>4890</v>
      </c>
      <c r="C2515" t="s">
        <v>5</v>
      </c>
      <c r="D2515">
        <v>8700</v>
      </c>
    </row>
    <row r="2516" spans="1:4" x14ac:dyDescent="0.4">
      <c r="A2516" s="1" t="s">
        <v>4891</v>
      </c>
      <c r="B2516" t="s">
        <v>4892</v>
      </c>
      <c r="C2516" t="s">
        <v>5</v>
      </c>
      <c r="D2516">
        <v>7700</v>
      </c>
    </row>
    <row r="2517" spans="1:4" x14ac:dyDescent="0.4">
      <c r="A2517" s="1" t="s">
        <v>4893</v>
      </c>
      <c r="B2517" t="s">
        <v>4894</v>
      </c>
      <c r="C2517" t="s">
        <v>5</v>
      </c>
      <c r="D2517">
        <v>15600</v>
      </c>
    </row>
    <row r="2518" spans="1:4" x14ac:dyDescent="0.4">
      <c r="A2518" s="1" t="s">
        <v>4895</v>
      </c>
      <c r="B2518" t="s">
        <v>4896</v>
      </c>
      <c r="C2518" t="s">
        <v>5</v>
      </c>
      <c r="D2518">
        <v>17300</v>
      </c>
    </row>
    <row r="2519" spans="1:4" x14ac:dyDescent="0.4">
      <c r="A2519" s="1" t="s">
        <v>4897</v>
      </c>
      <c r="B2519" t="s">
        <v>4898</v>
      </c>
      <c r="C2519" t="s">
        <v>5</v>
      </c>
      <c r="D2519">
        <v>17300</v>
      </c>
    </row>
    <row r="2520" spans="1:4" x14ac:dyDescent="0.4">
      <c r="A2520" s="1" t="s">
        <v>4899</v>
      </c>
      <c r="B2520" t="s">
        <v>4900</v>
      </c>
      <c r="C2520" t="s">
        <v>5</v>
      </c>
      <c r="D2520">
        <v>17200</v>
      </c>
    </row>
    <row r="2521" spans="1:4" x14ac:dyDescent="0.4">
      <c r="A2521" s="1" t="s">
        <v>4901</v>
      </c>
      <c r="B2521" t="s">
        <v>4902</v>
      </c>
      <c r="C2521" t="s">
        <v>5</v>
      </c>
      <c r="D2521">
        <v>17300</v>
      </c>
    </row>
    <row r="2522" spans="1:4" x14ac:dyDescent="0.4">
      <c r="A2522" s="1" t="s">
        <v>4903</v>
      </c>
      <c r="B2522" t="s">
        <v>4904</v>
      </c>
    </row>
    <row r="2523" spans="1:4" x14ac:dyDescent="0.4">
      <c r="A2523" s="1" t="s">
        <v>4905</v>
      </c>
      <c r="B2523" t="s">
        <v>4906</v>
      </c>
      <c r="C2523" t="s">
        <v>5</v>
      </c>
    </row>
    <row r="2524" spans="1:4" x14ac:dyDescent="0.4">
      <c r="A2524" s="1" t="s">
        <v>4907</v>
      </c>
      <c r="B2524" t="s">
        <v>4908</v>
      </c>
      <c r="C2524" t="s">
        <v>5</v>
      </c>
    </row>
    <row r="2525" spans="1:4" x14ac:dyDescent="0.4">
      <c r="A2525" s="1" t="s">
        <v>4909</v>
      </c>
      <c r="B2525" t="s">
        <v>4910</v>
      </c>
      <c r="C2525" t="s">
        <v>5</v>
      </c>
    </row>
    <row r="2526" spans="1:4" x14ac:dyDescent="0.4">
      <c r="A2526" s="1" t="s">
        <v>4911</v>
      </c>
      <c r="B2526" t="s">
        <v>4912</v>
      </c>
      <c r="C2526" t="s">
        <v>5</v>
      </c>
    </row>
    <row r="2527" spans="1:4" x14ac:dyDescent="0.4">
      <c r="A2527" s="1" t="s">
        <v>4913</v>
      </c>
      <c r="B2527" t="s">
        <v>4914</v>
      </c>
      <c r="C2527" t="s">
        <v>5</v>
      </c>
    </row>
    <row r="2528" spans="1:4" x14ac:dyDescent="0.4">
      <c r="A2528" s="1" t="s">
        <v>4915</v>
      </c>
      <c r="B2528" t="s">
        <v>4916</v>
      </c>
      <c r="C2528" t="s">
        <v>5</v>
      </c>
    </row>
    <row r="2529" spans="1:3" x14ac:dyDescent="0.4">
      <c r="A2529" s="1" t="s">
        <v>4917</v>
      </c>
      <c r="B2529" t="s">
        <v>4918</v>
      </c>
      <c r="C2529" t="s">
        <v>5</v>
      </c>
    </row>
    <row r="2530" spans="1:3" x14ac:dyDescent="0.4">
      <c r="A2530" s="1" t="s">
        <v>4919</v>
      </c>
      <c r="B2530" t="s">
        <v>4920</v>
      </c>
      <c r="C2530" t="s">
        <v>5</v>
      </c>
    </row>
    <row r="2531" spans="1:3" x14ac:dyDescent="0.4">
      <c r="A2531" s="1" t="s">
        <v>4921</v>
      </c>
      <c r="B2531" t="s">
        <v>4922</v>
      </c>
      <c r="C2531" t="s">
        <v>5</v>
      </c>
    </row>
    <row r="2532" spans="1:3" x14ac:dyDescent="0.4">
      <c r="A2532" s="1" t="s">
        <v>4923</v>
      </c>
      <c r="B2532" t="s">
        <v>4924</v>
      </c>
      <c r="C2532" t="s">
        <v>5</v>
      </c>
    </row>
    <row r="2533" spans="1:3" x14ac:dyDescent="0.4">
      <c r="A2533" s="1" t="s">
        <v>4925</v>
      </c>
      <c r="B2533" t="s">
        <v>4926</v>
      </c>
      <c r="C2533" t="s">
        <v>5</v>
      </c>
    </row>
    <row r="2534" spans="1:3" x14ac:dyDescent="0.4">
      <c r="A2534" s="1" t="s">
        <v>4927</v>
      </c>
      <c r="B2534" t="s">
        <v>4928</v>
      </c>
      <c r="C2534" t="s">
        <v>5</v>
      </c>
    </row>
    <row r="2535" spans="1:3" x14ac:dyDescent="0.4">
      <c r="A2535" s="1" t="s">
        <v>4929</v>
      </c>
      <c r="B2535" t="s">
        <v>4930</v>
      </c>
      <c r="C2535" t="s">
        <v>5</v>
      </c>
    </row>
    <row r="2536" spans="1:3" x14ac:dyDescent="0.4">
      <c r="A2536" s="1" t="s">
        <v>4931</v>
      </c>
      <c r="B2536" t="s">
        <v>4932</v>
      </c>
      <c r="C2536" t="s">
        <v>5</v>
      </c>
    </row>
    <row r="2537" spans="1:3" x14ac:dyDescent="0.4">
      <c r="A2537" s="1" t="s">
        <v>4933</v>
      </c>
      <c r="B2537" t="s">
        <v>4934</v>
      </c>
      <c r="C2537" t="s">
        <v>5</v>
      </c>
    </row>
    <row r="2538" spans="1:3" x14ac:dyDescent="0.4">
      <c r="A2538" s="1" t="s">
        <v>4935</v>
      </c>
      <c r="B2538" t="s">
        <v>4936</v>
      </c>
      <c r="C2538" t="s">
        <v>5</v>
      </c>
    </row>
    <row r="2539" spans="1:3" x14ac:dyDescent="0.4">
      <c r="A2539" s="1" t="s">
        <v>4937</v>
      </c>
      <c r="B2539" t="s">
        <v>4938</v>
      </c>
      <c r="C2539" t="s">
        <v>5</v>
      </c>
    </row>
    <row r="2540" spans="1:3" x14ac:dyDescent="0.4">
      <c r="A2540" s="1" t="s">
        <v>4939</v>
      </c>
      <c r="B2540" t="s">
        <v>4940</v>
      </c>
      <c r="C2540" t="s">
        <v>5</v>
      </c>
    </row>
    <row r="2541" spans="1:3" x14ac:dyDescent="0.4">
      <c r="A2541" s="1" t="s">
        <v>4941</v>
      </c>
      <c r="B2541" t="s">
        <v>4942</v>
      </c>
      <c r="C2541" t="s">
        <v>5</v>
      </c>
    </row>
    <row r="2542" spans="1:3" x14ac:dyDescent="0.4">
      <c r="A2542" s="1" t="s">
        <v>4943</v>
      </c>
      <c r="B2542" t="s">
        <v>4944</v>
      </c>
      <c r="C2542" t="s">
        <v>5</v>
      </c>
    </row>
    <row r="2543" spans="1:3" x14ac:dyDescent="0.4">
      <c r="A2543" s="1" t="s">
        <v>4945</v>
      </c>
      <c r="B2543" t="s">
        <v>4946</v>
      </c>
      <c r="C2543" t="s">
        <v>5</v>
      </c>
    </row>
    <row r="2544" spans="1:3" x14ac:dyDescent="0.4">
      <c r="A2544" s="1" t="s">
        <v>4947</v>
      </c>
      <c r="B2544" t="s">
        <v>4948</v>
      </c>
      <c r="C2544" t="s">
        <v>5</v>
      </c>
    </row>
    <row r="2545" spans="1:4" x14ac:dyDescent="0.4">
      <c r="A2545" s="1" t="s">
        <v>4949</v>
      </c>
      <c r="B2545" t="s">
        <v>4950</v>
      </c>
      <c r="C2545" t="s">
        <v>5</v>
      </c>
    </row>
    <row r="2546" spans="1:4" x14ac:dyDescent="0.4">
      <c r="A2546" s="1" t="s">
        <v>4951</v>
      </c>
      <c r="B2546" t="s">
        <v>4952</v>
      </c>
      <c r="C2546" t="s">
        <v>5</v>
      </c>
    </row>
    <row r="2547" spans="1:4" x14ac:dyDescent="0.4">
      <c r="A2547" s="1" t="s">
        <v>4953</v>
      </c>
      <c r="B2547" t="s">
        <v>4954</v>
      </c>
      <c r="C2547" t="s">
        <v>5</v>
      </c>
    </row>
    <row r="2548" spans="1:4" x14ac:dyDescent="0.4">
      <c r="A2548" s="1" t="s">
        <v>4955</v>
      </c>
      <c r="B2548" t="s">
        <v>4956</v>
      </c>
      <c r="C2548" t="s">
        <v>5</v>
      </c>
      <c r="D2548">
        <v>6000</v>
      </c>
    </row>
    <row r="2549" spans="1:4" x14ac:dyDescent="0.4">
      <c r="A2549" s="1" t="s">
        <v>4957</v>
      </c>
      <c r="B2549" t="s">
        <v>4958</v>
      </c>
      <c r="C2549" t="s">
        <v>5</v>
      </c>
      <c r="D2549">
        <v>6000</v>
      </c>
    </row>
    <row r="2550" spans="1:4" x14ac:dyDescent="0.4">
      <c r="A2550" s="1" t="s">
        <v>4959</v>
      </c>
      <c r="B2550" t="s">
        <v>4960</v>
      </c>
      <c r="C2550" t="s">
        <v>5</v>
      </c>
      <c r="D2550">
        <v>11900</v>
      </c>
    </row>
    <row r="2551" spans="1:4" x14ac:dyDescent="0.4">
      <c r="A2551" s="1" t="s">
        <v>4961</v>
      </c>
      <c r="B2551" t="s">
        <v>4962</v>
      </c>
      <c r="C2551" t="s">
        <v>5</v>
      </c>
      <c r="D2551">
        <v>25500</v>
      </c>
    </row>
    <row r="2552" spans="1:4" x14ac:dyDescent="0.4">
      <c r="A2552" s="1" t="s">
        <v>4963</v>
      </c>
      <c r="B2552" t="s">
        <v>4964</v>
      </c>
      <c r="C2552" t="s">
        <v>5</v>
      </c>
      <c r="D2552">
        <v>11900</v>
      </c>
    </row>
    <row r="2553" spans="1:4" x14ac:dyDescent="0.4">
      <c r="A2553" s="1" t="s">
        <v>4965</v>
      </c>
      <c r="B2553" t="s">
        <v>4966</v>
      </c>
      <c r="C2553" t="s">
        <v>5</v>
      </c>
      <c r="D2553">
        <v>11900</v>
      </c>
    </row>
    <row r="2554" spans="1:4" x14ac:dyDescent="0.4">
      <c r="A2554" s="1" t="s">
        <v>4967</v>
      </c>
      <c r="B2554" t="s">
        <v>4968</v>
      </c>
      <c r="C2554" t="s">
        <v>5</v>
      </c>
      <c r="D2554">
        <v>25500</v>
      </c>
    </row>
    <row r="2555" spans="1:4" x14ac:dyDescent="0.4">
      <c r="A2555" s="1" t="s">
        <v>4969</v>
      </c>
      <c r="B2555" t="s">
        <v>4970</v>
      </c>
      <c r="C2555" t="s">
        <v>5</v>
      </c>
      <c r="D2555">
        <v>11900</v>
      </c>
    </row>
    <row r="2556" spans="1:4" x14ac:dyDescent="0.4">
      <c r="A2556" s="1" t="s">
        <v>4971</v>
      </c>
      <c r="B2556" t="s">
        <v>4972</v>
      </c>
      <c r="C2556" t="s">
        <v>5</v>
      </c>
      <c r="D2556">
        <v>11900</v>
      </c>
    </row>
    <row r="2557" spans="1:4" x14ac:dyDescent="0.4">
      <c r="A2557" s="1" t="s">
        <v>4973</v>
      </c>
      <c r="B2557" t="s">
        <v>4974</v>
      </c>
      <c r="C2557" t="s">
        <v>5</v>
      </c>
      <c r="D2557">
        <v>11900</v>
      </c>
    </row>
    <row r="2558" spans="1:4" x14ac:dyDescent="0.4">
      <c r="A2558" s="1" t="s">
        <v>4975</v>
      </c>
      <c r="B2558" t="s">
        <v>4976</v>
      </c>
      <c r="C2558" t="s">
        <v>5</v>
      </c>
    </row>
    <row r="2559" spans="1:4" x14ac:dyDescent="0.4">
      <c r="A2559" s="1" t="s">
        <v>4977</v>
      </c>
      <c r="B2559" t="s">
        <v>4978</v>
      </c>
      <c r="C2559" t="s">
        <v>5</v>
      </c>
      <c r="D2559">
        <v>31000</v>
      </c>
    </row>
    <row r="2560" spans="1:4" x14ac:dyDescent="0.4">
      <c r="A2560" s="1" t="s">
        <v>4979</v>
      </c>
      <c r="B2560" t="s">
        <v>4980</v>
      </c>
      <c r="C2560" t="s">
        <v>5</v>
      </c>
      <c r="D2560">
        <v>19000</v>
      </c>
    </row>
    <row r="2561" spans="1:4" x14ac:dyDescent="0.4">
      <c r="A2561" s="1" t="s">
        <v>4981</v>
      </c>
      <c r="B2561" t="s">
        <v>4982</v>
      </c>
      <c r="C2561" t="s">
        <v>5</v>
      </c>
      <c r="D2561">
        <v>19000</v>
      </c>
    </row>
    <row r="2562" spans="1:4" x14ac:dyDescent="0.4">
      <c r="A2562" s="1" t="s">
        <v>4983</v>
      </c>
      <c r="B2562" t="s">
        <v>4984</v>
      </c>
      <c r="C2562" t="s">
        <v>5</v>
      </c>
      <c r="D2562">
        <v>19000</v>
      </c>
    </row>
    <row r="2563" spans="1:4" x14ac:dyDescent="0.4">
      <c r="A2563" s="1" t="s">
        <v>4985</v>
      </c>
      <c r="B2563" t="s">
        <v>4986</v>
      </c>
      <c r="C2563" t="s">
        <v>5</v>
      </c>
    </row>
    <row r="2564" spans="1:4" x14ac:dyDescent="0.4">
      <c r="A2564" s="1" t="s">
        <v>4987</v>
      </c>
      <c r="B2564" t="s">
        <v>4988</v>
      </c>
      <c r="C2564" t="s">
        <v>5</v>
      </c>
    </row>
    <row r="2565" spans="1:4" x14ac:dyDescent="0.4">
      <c r="A2565" s="1" t="s">
        <v>4989</v>
      </c>
      <c r="B2565" t="s">
        <v>4990</v>
      </c>
      <c r="C2565" t="s">
        <v>5</v>
      </c>
    </row>
    <row r="2566" spans="1:4" x14ac:dyDescent="0.4">
      <c r="A2566" s="1" t="s">
        <v>4991</v>
      </c>
      <c r="B2566" t="s">
        <v>4992</v>
      </c>
      <c r="C2566" t="s">
        <v>5</v>
      </c>
    </row>
    <row r="2567" spans="1:4" x14ac:dyDescent="0.4">
      <c r="A2567" s="1" t="s">
        <v>4993</v>
      </c>
      <c r="B2567" t="s">
        <v>4994</v>
      </c>
      <c r="C2567" t="s">
        <v>5</v>
      </c>
    </row>
    <row r="2568" spans="1:4" x14ac:dyDescent="0.4">
      <c r="A2568" s="1" t="s">
        <v>4995</v>
      </c>
      <c r="B2568" t="s">
        <v>4996</v>
      </c>
      <c r="C2568" t="s">
        <v>5</v>
      </c>
    </row>
    <row r="2569" spans="1:4" x14ac:dyDescent="0.4">
      <c r="A2569" s="1" t="s">
        <v>4997</v>
      </c>
      <c r="B2569" t="s">
        <v>4998</v>
      </c>
      <c r="C2569" t="s">
        <v>5</v>
      </c>
    </row>
    <row r="2570" spans="1:4" x14ac:dyDescent="0.4">
      <c r="A2570" s="1" t="s">
        <v>4999</v>
      </c>
      <c r="B2570" t="s">
        <v>5000</v>
      </c>
      <c r="C2570" t="s">
        <v>5</v>
      </c>
    </row>
    <row r="2571" spans="1:4" x14ac:dyDescent="0.4">
      <c r="A2571" s="1" t="s">
        <v>5001</v>
      </c>
      <c r="B2571" t="s">
        <v>5002</v>
      </c>
      <c r="C2571" t="s">
        <v>5</v>
      </c>
    </row>
    <row r="2572" spans="1:4" x14ac:dyDescent="0.4">
      <c r="A2572" s="1" t="s">
        <v>5003</v>
      </c>
      <c r="B2572" t="s">
        <v>5004</v>
      </c>
      <c r="C2572" t="s">
        <v>5</v>
      </c>
    </row>
    <row r="2573" spans="1:4" x14ac:dyDescent="0.4">
      <c r="A2573" s="1" t="s">
        <v>5005</v>
      </c>
      <c r="B2573" t="s">
        <v>5006</v>
      </c>
      <c r="C2573" t="s">
        <v>5</v>
      </c>
    </row>
    <row r="2574" spans="1:4" x14ac:dyDescent="0.4">
      <c r="A2574" s="1" t="s">
        <v>5007</v>
      </c>
      <c r="B2574" t="s">
        <v>5008</v>
      </c>
      <c r="C2574" t="s">
        <v>5</v>
      </c>
    </row>
    <row r="2575" spans="1:4" x14ac:dyDescent="0.4">
      <c r="A2575" s="1" t="s">
        <v>5009</v>
      </c>
      <c r="B2575" t="s">
        <v>5010</v>
      </c>
      <c r="C2575" t="s">
        <v>5</v>
      </c>
    </row>
    <row r="2576" spans="1:4" x14ac:dyDescent="0.4">
      <c r="A2576" s="1" t="s">
        <v>5011</v>
      </c>
      <c r="B2576" t="s">
        <v>5012</v>
      </c>
      <c r="C2576" t="s">
        <v>5</v>
      </c>
    </row>
    <row r="2577" spans="1:4" x14ac:dyDescent="0.4">
      <c r="A2577" s="1" t="s">
        <v>5013</v>
      </c>
      <c r="B2577" t="s">
        <v>5014</v>
      </c>
      <c r="C2577" t="s">
        <v>5</v>
      </c>
    </row>
    <row r="2578" spans="1:4" x14ac:dyDescent="0.4">
      <c r="A2578" s="1" t="s">
        <v>5015</v>
      </c>
      <c r="B2578" t="s">
        <v>5016</v>
      </c>
      <c r="C2578" t="s">
        <v>5</v>
      </c>
    </row>
    <row r="2579" spans="1:4" x14ac:dyDescent="0.4">
      <c r="A2579" s="1" t="s">
        <v>5017</v>
      </c>
      <c r="B2579" t="s">
        <v>5018</v>
      </c>
      <c r="C2579" t="s">
        <v>5</v>
      </c>
    </row>
    <row r="2580" spans="1:4" x14ac:dyDescent="0.4">
      <c r="A2580" s="1" t="s">
        <v>5019</v>
      </c>
      <c r="B2580" t="s">
        <v>5020</v>
      </c>
      <c r="C2580" t="s">
        <v>5</v>
      </c>
    </row>
    <row r="2581" spans="1:4" x14ac:dyDescent="0.4">
      <c r="A2581" s="1" t="s">
        <v>5021</v>
      </c>
      <c r="B2581" t="s">
        <v>5022</v>
      </c>
      <c r="C2581" t="s">
        <v>5</v>
      </c>
    </row>
    <row r="2582" spans="1:4" x14ac:dyDescent="0.4">
      <c r="A2582" s="1" t="s">
        <v>5023</v>
      </c>
      <c r="B2582" t="s">
        <v>5024</v>
      </c>
      <c r="C2582" t="s">
        <v>5</v>
      </c>
    </row>
    <row r="2583" spans="1:4" x14ac:dyDescent="0.4">
      <c r="A2583" s="1" t="s">
        <v>5025</v>
      </c>
      <c r="B2583" t="s">
        <v>5026</v>
      </c>
      <c r="C2583" t="s">
        <v>5</v>
      </c>
    </row>
    <row r="2584" spans="1:4" x14ac:dyDescent="0.4">
      <c r="A2584" s="1" t="s">
        <v>5027</v>
      </c>
      <c r="B2584" t="s">
        <v>5028</v>
      </c>
      <c r="C2584" t="s">
        <v>5</v>
      </c>
      <c r="D2584">
        <v>28000</v>
      </c>
    </row>
    <row r="2585" spans="1:4" x14ac:dyDescent="0.4">
      <c r="A2585" s="1" t="s">
        <v>5029</v>
      </c>
      <c r="B2585" t="s">
        <v>5030</v>
      </c>
      <c r="C2585" t="s">
        <v>5</v>
      </c>
      <c r="D2585">
        <v>27000</v>
      </c>
    </row>
    <row r="2586" spans="1:4" x14ac:dyDescent="0.4">
      <c r="A2586" s="1" t="s">
        <v>5031</v>
      </c>
      <c r="B2586" t="s">
        <v>5032</v>
      </c>
      <c r="C2586" t="s">
        <v>5</v>
      </c>
      <c r="D2586">
        <v>39000</v>
      </c>
    </row>
    <row r="2587" spans="1:4" x14ac:dyDescent="0.4">
      <c r="A2587" s="1" t="s">
        <v>5033</v>
      </c>
      <c r="B2587" t="s">
        <v>5034</v>
      </c>
      <c r="C2587" t="s">
        <v>5</v>
      </c>
      <c r="D2587">
        <v>114000</v>
      </c>
    </row>
    <row r="2588" spans="1:4" x14ac:dyDescent="0.4">
      <c r="A2588" s="1" t="s">
        <v>5035</v>
      </c>
      <c r="B2588" t="s">
        <v>5036</v>
      </c>
      <c r="C2588" t="s">
        <v>5</v>
      </c>
      <c r="D2588">
        <v>45000</v>
      </c>
    </row>
    <row r="2589" spans="1:4" x14ac:dyDescent="0.4">
      <c r="A2589" s="1" t="s">
        <v>5037</v>
      </c>
      <c r="B2589" t="s">
        <v>5038</v>
      </c>
      <c r="C2589" t="s">
        <v>5</v>
      </c>
      <c r="D2589">
        <v>43000</v>
      </c>
    </row>
    <row r="2590" spans="1:4" x14ac:dyDescent="0.4">
      <c r="A2590" s="1" t="s">
        <v>5039</v>
      </c>
      <c r="B2590" t="s">
        <v>5040</v>
      </c>
      <c r="C2590" t="s">
        <v>5</v>
      </c>
      <c r="D2590">
        <v>43000</v>
      </c>
    </row>
    <row r="2591" spans="1:4" x14ac:dyDescent="0.4">
      <c r="A2591" s="1" t="s">
        <v>5041</v>
      </c>
      <c r="B2591" t="s">
        <v>5042</v>
      </c>
      <c r="C2591" t="s">
        <v>5</v>
      </c>
      <c r="D2591">
        <v>43000</v>
      </c>
    </row>
    <row r="2592" spans="1:4" x14ac:dyDescent="0.4">
      <c r="A2592" s="1" t="s">
        <v>5043</v>
      </c>
      <c r="B2592" t="s">
        <v>5044</v>
      </c>
      <c r="C2592" t="s">
        <v>5</v>
      </c>
      <c r="D2592">
        <v>27000</v>
      </c>
    </row>
    <row r="2593" spans="1:4" x14ac:dyDescent="0.4">
      <c r="A2593" s="1" t="s">
        <v>5045</v>
      </c>
      <c r="B2593" t="s">
        <v>5046</v>
      </c>
      <c r="C2593" t="s">
        <v>5</v>
      </c>
      <c r="D2593">
        <v>27000</v>
      </c>
    </row>
    <row r="2594" spans="1:4" x14ac:dyDescent="0.4">
      <c r="A2594" s="1" t="s">
        <v>5047</v>
      </c>
      <c r="B2594" t="s">
        <v>5048</v>
      </c>
      <c r="C2594" t="s">
        <v>5</v>
      </c>
    </row>
    <row r="2595" spans="1:4" x14ac:dyDescent="0.4">
      <c r="A2595" s="1" t="s">
        <v>5049</v>
      </c>
      <c r="B2595" t="s">
        <v>5050</v>
      </c>
      <c r="C2595" t="s">
        <v>5</v>
      </c>
    </row>
    <row r="2596" spans="1:4" x14ac:dyDescent="0.4">
      <c r="A2596" s="1" t="s">
        <v>5051</v>
      </c>
      <c r="B2596" t="s">
        <v>5052</v>
      </c>
      <c r="C2596" t="s">
        <v>5</v>
      </c>
    </row>
    <row r="2597" spans="1:4" x14ac:dyDescent="0.4">
      <c r="A2597" s="1" t="s">
        <v>5053</v>
      </c>
      <c r="B2597" t="s">
        <v>5054</v>
      </c>
      <c r="C2597" t="s">
        <v>5</v>
      </c>
    </row>
    <row r="2598" spans="1:4" x14ac:dyDescent="0.4">
      <c r="A2598" s="1" t="s">
        <v>5055</v>
      </c>
      <c r="B2598" t="s">
        <v>5056</v>
      </c>
      <c r="C2598" t="s">
        <v>5</v>
      </c>
    </row>
    <row r="2599" spans="1:4" x14ac:dyDescent="0.4">
      <c r="A2599" s="1" t="s">
        <v>5057</v>
      </c>
      <c r="B2599" t="s">
        <v>5058</v>
      </c>
      <c r="C2599" t="s">
        <v>5</v>
      </c>
      <c r="D2599">
        <v>10700</v>
      </c>
    </row>
    <row r="2600" spans="1:4" x14ac:dyDescent="0.4">
      <c r="A2600" s="1" t="s">
        <v>5059</v>
      </c>
      <c r="B2600" t="s">
        <v>5060</v>
      </c>
      <c r="C2600" t="s">
        <v>5</v>
      </c>
      <c r="D2600">
        <v>10700</v>
      </c>
    </row>
    <row r="2601" spans="1:4" x14ac:dyDescent="0.4">
      <c r="A2601" s="1" t="s">
        <v>5061</v>
      </c>
      <c r="B2601" t="s">
        <v>5062</v>
      </c>
      <c r="C2601" t="s">
        <v>5</v>
      </c>
      <c r="D2601">
        <v>10700</v>
      </c>
    </row>
    <row r="2602" spans="1:4" x14ac:dyDescent="0.4">
      <c r="A2602" s="1" t="s">
        <v>5063</v>
      </c>
      <c r="B2602" t="s">
        <v>5064</v>
      </c>
      <c r="C2602" t="s">
        <v>5</v>
      </c>
      <c r="D2602">
        <v>10700</v>
      </c>
    </row>
    <row r="2603" spans="1:4" x14ac:dyDescent="0.4">
      <c r="A2603" s="1" t="s">
        <v>5065</v>
      </c>
      <c r="B2603" t="s">
        <v>5066</v>
      </c>
      <c r="C2603" t="s">
        <v>5</v>
      </c>
      <c r="D2603">
        <v>10700</v>
      </c>
    </row>
    <row r="2604" spans="1:4" x14ac:dyDescent="0.4">
      <c r="A2604" s="1" t="s">
        <v>5067</v>
      </c>
      <c r="B2604" t="s">
        <v>5068</v>
      </c>
      <c r="C2604" t="s">
        <v>5</v>
      </c>
    </row>
    <row r="2605" spans="1:4" x14ac:dyDescent="0.4">
      <c r="A2605" s="1" t="s">
        <v>5069</v>
      </c>
      <c r="B2605" t="s">
        <v>5070</v>
      </c>
      <c r="C2605" t="s">
        <v>5</v>
      </c>
    </row>
    <row r="2606" spans="1:4" x14ac:dyDescent="0.4">
      <c r="A2606" s="1" t="s">
        <v>5071</v>
      </c>
      <c r="B2606" t="s">
        <v>5072</v>
      </c>
      <c r="C2606" t="s">
        <v>5</v>
      </c>
    </row>
    <row r="2607" spans="1:4" x14ac:dyDescent="0.4">
      <c r="A2607" s="1" t="s">
        <v>5073</v>
      </c>
      <c r="B2607" t="s">
        <v>5074</v>
      </c>
      <c r="C2607" t="s">
        <v>5</v>
      </c>
    </row>
    <row r="2608" spans="1:4" x14ac:dyDescent="0.4">
      <c r="A2608" s="1" t="s">
        <v>5075</v>
      </c>
      <c r="B2608" t="s">
        <v>5076</v>
      </c>
      <c r="C2608" t="s">
        <v>5</v>
      </c>
    </row>
    <row r="2609" spans="1:3" x14ac:dyDescent="0.4">
      <c r="A2609" s="1" t="s">
        <v>5077</v>
      </c>
      <c r="B2609" t="s">
        <v>5078</v>
      </c>
      <c r="C2609" t="s">
        <v>5</v>
      </c>
    </row>
    <row r="2610" spans="1:3" x14ac:dyDescent="0.4">
      <c r="A2610" s="1" t="s">
        <v>5079</v>
      </c>
      <c r="B2610" t="s">
        <v>5080</v>
      </c>
      <c r="C2610" t="s">
        <v>5</v>
      </c>
    </row>
    <row r="2611" spans="1:3" x14ac:dyDescent="0.4">
      <c r="A2611" s="1" t="s">
        <v>5081</v>
      </c>
      <c r="B2611" t="s">
        <v>5082</v>
      </c>
      <c r="C2611" t="s">
        <v>5</v>
      </c>
    </row>
    <row r="2612" spans="1:3" x14ac:dyDescent="0.4">
      <c r="A2612" s="1" t="s">
        <v>5083</v>
      </c>
      <c r="B2612" t="s">
        <v>5084</v>
      </c>
      <c r="C2612" t="s">
        <v>5</v>
      </c>
    </row>
    <row r="2613" spans="1:3" x14ac:dyDescent="0.4">
      <c r="A2613" s="1" t="s">
        <v>5085</v>
      </c>
      <c r="B2613" t="s">
        <v>5086</v>
      </c>
      <c r="C2613" t="s">
        <v>5</v>
      </c>
    </row>
    <row r="2614" spans="1:3" x14ac:dyDescent="0.4">
      <c r="A2614" s="1" t="s">
        <v>5087</v>
      </c>
      <c r="B2614" t="s">
        <v>5088</v>
      </c>
      <c r="C2614" t="s">
        <v>5</v>
      </c>
    </row>
    <row r="2615" spans="1:3" x14ac:dyDescent="0.4">
      <c r="A2615" s="1" t="s">
        <v>5089</v>
      </c>
      <c r="B2615" t="s">
        <v>5090</v>
      </c>
      <c r="C2615" t="s">
        <v>5</v>
      </c>
    </row>
    <row r="2616" spans="1:3" x14ac:dyDescent="0.4">
      <c r="A2616" s="1" t="s">
        <v>5091</v>
      </c>
      <c r="B2616" t="s">
        <v>5092</v>
      </c>
      <c r="C2616" t="s">
        <v>5</v>
      </c>
    </row>
    <row r="2617" spans="1:3" x14ac:dyDescent="0.4">
      <c r="A2617" s="1" t="s">
        <v>5093</v>
      </c>
      <c r="B2617" t="s">
        <v>5094</v>
      </c>
      <c r="C2617" t="s">
        <v>5</v>
      </c>
    </row>
    <row r="2618" spans="1:3" x14ac:dyDescent="0.4">
      <c r="A2618" s="1" t="s">
        <v>5095</v>
      </c>
      <c r="B2618" t="s">
        <v>5096</v>
      </c>
      <c r="C2618" t="s">
        <v>5</v>
      </c>
    </row>
    <row r="2619" spans="1:3" x14ac:dyDescent="0.4">
      <c r="A2619" s="1" t="s">
        <v>5097</v>
      </c>
      <c r="B2619" t="s">
        <v>5098</v>
      </c>
      <c r="C2619" t="s">
        <v>5</v>
      </c>
    </row>
    <row r="2620" spans="1:3" x14ac:dyDescent="0.4">
      <c r="A2620" s="1" t="s">
        <v>5099</v>
      </c>
      <c r="B2620" t="s">
        <v>5100</v>
      </c>
      <c r="C2620" t="s">
        <v>5</v>
      </c>
    </row>
    <row r="2621" spans="1:3" x14ac:dyDescent="0.4">
      <c r="A2621" s="1" t="s">
        <v>5101</v>
      </c>
      <c r="B2621" t="s">
        <v>5102</v>
      </c>
      <c r="C2621" t="s">
        <v>5</v>
      </c>
    </row>
    <row r="2622" spans="1:3" x14ac:dyDescent="0.4">
      <c r="A2622" s="1" t="s">
        <v>5103</v>
      </c>
      <c r="B2622" t="s">
        <v>5104</v>
      </c>
      <c r="C2622" t="s">
        <v>5</v>
      </c>
    </row>
    <row r="2623" spans="1:3" x14ac:dyDescent="0.4">
      <c r="A2623" s="1" t="s">
        <v>5105</v>
      </c>
      <c r="B2623" t="s">
        <v>5106</v>
      </c>
      <c r="C2623" t="s">
        <v>5</v>
      </c>
    </row>
    <row r="2624" spans="1:3" x14ac:dyDescent="0.4">
      <c r="A2624" s="1" t="s">
        <v>5107</v>
      </c>
      <c r="B2624" t="s">
        <v>5108</v>
      </c>
      <c r="C2624" t="s">
        <v>5</v>
      </c>
    </row>
    <row r="2625" spans="1:4" x14ac:dyDescent="0.4">
      <c r="A2625" s="1" t="s">
        <v>5109</v>
      </c>
      <c r="B2625" t="s">
        <v>5110</v>
      </c>
      <c r="C2625" t="s">
        <v>5</v>
      </c>
    </row>
    <row r="2626" spans="1:4" x14ac:dyDescent="0.4">
      <c r="A2626" s="1" t="s">
        <v>5111</v>
      </c>
      <c r="B2626" t="s">
        <v>5112</v>
      </c>
      <c r="C2626" t="s">
        <v>5</v>
      </c>
    </row>
    <row r="2627" spans="1:4" x14ac:dyDescent="0.4">
      <c r="A2627" s="1" t="s">
        <v>5113</v>
      </c>
      <c r="B2627" t="s">
        <v>5114</v>
      </c>
      <c r="C2627" t="s">
        <v>5</v>
      </c>
    </row>
    <row r="2628" spans="1:4" x14ac:dyDescent="0.4">
      <c r="A2628" s="1" t="s">
        <v>5115</v>
      </c>
      <c r="B2628" t="s">
        <v>5116</v>
      </c>
      <c r="C2628" t="s">
        <v>5</v>
      </c>
    </row>
    <row r="2629" spans="1:4" x14ac:dyDescent="0.4">
      <c r="A2629" s="1" t="s">
        <v>5117</v>
      </c>
      <c r="B2629" t="s">
        <v>5118</v>
      </c>
      <c r="C2629" t="s">
        <v>5</v>
      </c>
    </row>
    <row r="2630" spans="1:4" x14ac:dyDescent="0.4">
      <c r="A2630" s="1" t="s">
        <v>5119</v>
      </c>
      <c r="B2630" t="s">
        <v>5120</v>
      </c>
      <c r="C2630" t="s">
        <v>5</v>
      </c>
    </row>
    <row r="2631" spans="1:4" x14ac:dyDescent="0.4">
      <c r="A2631" s="1" t="s">
        <v>5121</v>
      </c>
      <c r="B2631" t="s">
        <v>5122</v>
      </c>
      <c r="C2631" t="s">
        <v>5</v>
      </c>
    </row>
    <row r="2632" spans="1:4" x14ac:dyDescent="0.4">
      <c r="A2632" s="1" t="s">
        <v>5123</v>
      </c>
      <c r="B2632" t="s">
        <v>5124</v>
      </c>
      <c r="C2632" t="s">
        <v>5</v>
      </c>
    </row>
    <row r="2633" spans="1:4" x14ac:dyDescent="0.4">
      <c r="A2633" s="1" t="s">
        <v>5125</v>
      </c>
      <c r="B2633" t="s">
        <v>5126</v>
      </c>
      <c r="C2633" t="s">
        <v>5</v>
      </c>
    </row>
    <row r="2634" spans="1:4" x14ac:dyDescent="0.4">
      <c r="A2634" s="1" t="s">
        <v>5127</v>
      </c>
      <c r="B2634" t="s">
        <v>5128</v>
      </c>
      <c r="C2634" t="s">
        <v>5</v>
      </c>
    </row>
    <row r="2635" spans="1:4" x14ac:dyDescent="0.4">
      <c r="A2635" s="1" t="s">
        <v>5129</v>
      </c>
      <c r="B2635" t="s">
        <v>5130</v>
      </c>
      <c r="C2635" t="s">
        <v>5</v>
      </c>
    </row>
    <row r="2636" spans="1:4" x14ac:dyDescent="0.4">
      <c r="A2636" s="1" t="s">
        <v>5131</v>
      </c>
      <c r="B2636" t="s">
        <v>5132</v>
      </c>
      <c r="C2636" t="s">
        <v>5</v>
      </c>
    </row>
    <row r="2637" spans="1:4" x14ac:dyDescent="0.4">
      <c r="A2637" s="1" t="s">
        <v>5133</v>
      </c>
      <c r="B2637" t="s">
        <v>5134</v>
      </c>
      <c r="C2637" t="s">
        <v>5</v>
      </c>
      <c r="D2637">
        <v>17700</v>
      </c>
    </row>
    <row r="2638" spans="1:4" x14ac:dyDescent="0.4">
      <c r="A2638" s="1" t="s">
        <v>5135</v>
      </c>
      <c r="B2638" t="s">
        <v>5136</v>
      </c>
      <c r="C2638" t="s">
        <v>5</v>
      </c>
      <c r="D2638">
        <v>17700</v>
      </c>
    </row>
    <row r="2639" spans="1:4" x14ac:dyDescent="0.4">
      <c r="A2639" s="1" t="s">
        <v>5137</v>
      </c>
      <c r="B2639" t="s">
        <v>5138</v>
      </c>
      <c r="C2639" t="s">
        <v>5</v>
      </c>
      <c r="D2639">
        <v>17700</v>
      </c>
    </row>
    <row r="2640" spans="1:4" x14ac:dyDescent="0.4">
      <c r="A2640" s="1" t="s">
        <v>5139</v>
      </c>
      <c r="B2640" t="s">
        <v>5140</v>
      </c>
      <c r="C2640" t="s">
        <v>5</v>
      </c>
      <c r="D2640">
        <v>18300</v>
      </c>
    </row>
    <row r="2641" spans="1:4" x14ac:dyDescent="0.4">
      <c r="A2641" s="1" t="s">
        <v>5141</v>
      </c>
      <c r="B2641" t="s">
        <v>5142</v>
      </c>
      <c r="C2641" t="s">
        <v>5</v>
      </c>
      <c r="D2641">
        <v>17700</v>
      </c>
    </row>
    <row r="2642" spans="1:4" x14ac:dyDescent="0.4">
      <c r="A2642" s="1" t="s">
        <v>5143</v>
      </c>
      <c r="B2642" t="s">
        <v>5144</v>
      </c>
      <c r="C2642" t="s">
        <v>5</v>
      </c>
    </row>
    <row r="2643" spans="1:4" x14ac:dyDescent="0.4">
      <c r="A2643" s="1" t="s">
        <v>5145</v>
      </c>
      <c r="B2643" t="s">
        <v>5146</v>
      </c>
      <c r="C2643" t="s">
        <v>5</v>
      </c>
    </row>
    <row r="2644" spans="1:4" x14ac:dyDescent="0.4">
      <c r="A2644" s="1" t="s">
        <v>5147</v>
      </c>
      <c r="B2644" t="s">
        <v>5148</v>
      </c>
      <c r="C2644" t="s">
        <v>5</v>
      </c>
    </row>
    <row r="2645" spans="1:4" x14ac:dyDescent="0.4">
      <c r="A2645" s="1" t="s">
        <v>5149</v>
      </c>
      <c r="B2645" t="s">
        <v>5150</v>
      </c>
      <c r="C2645" t="s">
        <v>5</v>
      </c>
    </row>
    <row r="2646" spans="1:4" x14ac:dyDescent="0.4">
      <c r="A2646" s="1" t="s">
        <v>5151</v>
      </c>
      <c r="B2646" t="s">
        <v>5152</v>
      </c>
      <c r="C2646" t="s">
        <v>5</v>
      </c>
    </row>
    <row r="2647" spans="1:4" x14ac:dyDescent="0.4">
      <c r="A2647" s="1" t="s">
        <v>5153</v>
      </c>
      <c r="B2647" t="s">
        <v>5154</v>
      </c>
      <c r="C2647" t="s">
        <v>5</v>
      </c>
    </row>
    <row r="2648" spans="1:4" x14ac:dyDescent="0.4">
      <c r="A2648" s="1" t="s">
        <v>5155</v>
      </c>
      <c r="B2648" t="s">
        <v>5156</v>
      </c>
      <c r="C2648" t="s">
        <v>5</v>
      </c>
    </row>
    <row r="2649" spans="1:4" x14ac:dyDescent="0.4">
      <c r="A2649" s="1" t="s">
        <v>5157</v>
      </c>
      <c r="B2649" t="s">
        <v>5158</v>
      </c>
      <c r="C2649" t="s">
        <v>5</v>
      </c>
    </row>
    <row r="2650" spans="1:4" x14ac:dyDescent="0.4">
      <c r="A2650" s="1" t="s">
        <v>5159</v>
      </c>
      <c r="B2650" t="s">
        <v>5160</v>
      </c>
      <c r="C2650" t="s">
        <v>5</v>
      </c>
    </row>
    <row r="2651" spans="1:4" x14ac:dyDescent="0.4">
      <c r="A2651" s="1" t="s">
        <v>5161</v>
      </c>
      <c r="B2651" t="s">
        <v>5162</v>
      </c>
      <c r="C2651" t="s">
        <v>5</v>
      </c>
    </row>
    <row r="2652" spans="1:4" x14ac:dyDescent="0.4">
      <c r="A2652" s="1" t="s">
        <v>5163</v>
      </c>
      <c r="B2652" t="s">
        <v>5164</v>
      </c>
      <c r="C2652" t="s">
        <v>5</v>
      </c>
    </row>
    <row r="2653" spans="1:4" x14ac:dyDescent="0.4">
      <c r="A2653" s="1" t="s">
        <v>5165</v>
      </c>
      <c r="B2653" t="s">
        <v>5166</v>
      </c>
      <c r="C2653" t="s">
        <v>5</v>
      </c>
      <c r="D2653">
        <v>18300</v>
      </c>
    </row>
    <row r="2654" spans="1:4" x14ac:dyDescent="0.4">
      <c r="A2654" s="1" t="s">
        <v>5167</v>
      </c>
      <c r="B2654" t="s">
        <v>5168</v>
      </c>
      <c r="C2654" t="s">
        <v>5</v>
      </c>
      <c r="D2654">
        <v>18300</v>
      </c>
    </row>
    <row r="2655" spans="1:4" x14ac:dyDescent="0.4">
      <c r="A2655" s="1" t="s">
        <v>5169</v>
      </c>
      <c r="B2655" t="s">
        <v>5170</v>
      </c>
      <c r="C2655" t="s">
        <v>5</v>
      </c>
      <c r="D2655">
        <v>18300</v>
      </c>
    </row>
    <row r="2656" spans="1:4" x14ac:dyDescent="0.4">
      <c r="A2656" s="1" t="s">
        <v>5171</v>
      </c>
      <c r="B2656" t="s">
        <v>5172</v>
      </c>
      <c r="C2656" t="s">
        <v>5</v>
      </c>
      <c r="D2656">
        <v>18300</v>
      </c>
    </row>
    <row r="2657" spans="1:4" x14ac:dyDescent="0.4">
      <c r="A2657" s="1" t="s">
        <v>5173</v>
      </c>
      <c r="B2657" t="s">
        <v>5174</v>
      </c>
      <c r="C2657" t="s">
        <v>5</v>
      </c>
      <c r="D2657">
        <v>18300</v>
      </c>
    </row>
    <row r="2658" spans="1:4" x14ac:dyDescent="0.4">
      <c r="A2658" s="1" t="s">
        <v>5175</v>
      </c>
      <c r="B2658" t="s">
        <v>5176</v>
      </c>
      <c r="C2658" t="s">
        <v>5</v>
      </c>
    </row>
    <row r="2659" spans="1:4" x14ac:dyDescent="0.4">
      <c r="A2659" s="1" t="s">
        <v>5177</v>
      </c>
      <c r="B2659" t="s">
        <v>5178</v>
      </c>
      <c r="C2659" t="s">
        <v>5</v>
      </c>
    </row>
    <row r="2660" spans="1:4" x14ac:dyDescent="0.4">
      <c r="A2660" s="1" t="s">
        <v>5179</v>
      </c>
      <c r="B2660" t="s">
        <v>5180</v>
      </c>
      <c r="C2660" t="s">
        <v>5</v>
      </c>
    </row>
    <row r="2661" spans="1:4" x14ac:dyDescent="0.4">
      <c r="A2661" s="1" t="s">
        <v>5181</v>
      </c>
      <c r="B2661" t="s">
        <v>5182</v>
      </c>
      <c r="C2661" t="s">
        <v>5</v>
      </c>
    </row>
    <row r="2662" spans="1:4" x14ac:dyDescent="0.4">
      <c r="A2662" s="1" t="s">
        <v>5183</v>
      </c>
      <c r="B2662" t="s">
        <v>5184</v>
      </c>
      <c r="C2662" t="s">
        <v>5</v>
      </c>
    </row>
    <row r="2663" spans="1:4" x14ac:dyDescent="0.4">
      <c r="A2663" s="1" t="s">
        <v>5185</v>
      </c>
      <c r="B2663" t="s">
        <v>5186</v>
      </c>
      <c r="C2663" t="s">
        <v>5</v>
      </c>
    </row>
    <row r="2664" spans="1:4" x14ac:dyDescent="0.4">
      <c r="A2664" s="1" t="s">
        <v>5187</v>
      </c>
      <c r="B2664" t="s">
        <v>5188</v>
      </c>
      <c r="C2664" t="s">
        <v>5</v>
      </c>
    </row>
    <row r="2665" spans="1:4" x14ac:dyDescent="0.4">
      <c r="A2665" s="1" t="s">
        <v>5189</v>
      </c>
      <c r="B2665" t="s">
        <v>5190</v>
      </c>
      <c r="C2665" t="s">
        <v>5</v>
      </c>
    </row>
    <row r="2666" spans="1:4" x14ac:dyDescent="0.4">
      <c r="A2666" s="1" t="s">
        <v>5191</v>
      </c>
      <c r="B2666" t="s">
        <v>5192</v>
      </c>
      <c r="C2666" t="s">
        <v>5</v>
      </c>
    </row>
    <row r="2667" spans="1:4" x14ac:dyDescent="0.4">
      <c r="A2667" s="1" t="s">
        <v>5193</v>
      </c>
      <c r="B2667" t="s">
        <v>5194</v>
      </c>
      <c r="C2667" t="s">
        <v>5</v>
      </c>
    </row>
    <row r="2668" spans="1:4" x14ac:dyDescent="0.4">
      <c r="A2668" s="1" t="s">
        <v>5195</v>
      </c>
      <c r="B2668" t="s">
        <v>5196</v>
      </c>
      <c r="C2668" t="s">
        <v>5</v>
      </c>
    </row>
    <row r="2669" spans="1:4" x14ac:dyDescent="0.4">
      <c r="A2669" s="1" t="s">
        <v>5197</v>
      </c>
      <c r="B2669" t="s">
        <v>5198</v>
      </c>
      <c r="C2669" t="s">
        <v>5</v>
      </c>
    </row>
    <row r="2670" spans="1:4" x14ac:dyDescent="0.4">
      <c r="A2670" s="1" t="s">
        <v>5199</v>
      </c>
      <c r="B2670" t="s">
        <v>5200</v>
      </c>
      <c r="C2670" t="s">
        <v>5</v>
      </c>
    </row>
    <row r="2671" spans="1:4" x14ac:dyDescent="0.4">
      <c r="A2671" s="1" t="s">
        <v>5201</v>
      </c>
      <c r="B2671" t="s">
        <v>5202</v>
      </c>
      <c r="C2671" t="s">
        <v>5</v>
      </c>
    </row>
    <row r="2672" spans="1:4" x14ac:dyDescent="0.4">
      <c r="A2672" s="1" t="s">
        <v>5203</v>
      </c>
      <c r="B2672" t="s">
        <v>5204</v>
      </c>
      <c r="C2672" t="s">
        <v>5</v>
      </c>
    </row>
    <row r="2673" spans="1:4" x14ac:dyDescent="0.4">
      <c r="A2673" s="1" t="s">
        <v>5205</v>
      </c>
      <c r="B2673" t="s">
        <v>5206</v>
      </c>
      <c r="C2673" t="s">
        <v>5</v>
      </c>
    </row>
    <row r="2674" spans="1:4" x14ac:dyDescent="0.4">
      <c r="A2674" s="1" t="s">
        <v>5207</v>
      </c>
      <c r="B2674" t="s">
        <v>5208</v>
      </c>
      <c r="C2674" t="s">
        <v>5</v>
      </c>
    </row>
    <row r="2675" spans="1:4" x14ac:dyDescent="0.4">
      <c r="A2675" s="1" t="s">
        <v>5209</v>
      </c>
      <c r="B2675" t="s">
        <v>5210</v>
      </c>
      <c r="C2675" t="s">
        <v>5</v>
      </c>
    </row>
    <row r="2676" spans="1:4" x14ac:dyDescent="0.4">
      <c r="A2676" s="1" t="s">
        <v>5211</v>
      </c>
      <c r="B2676" t="s">
        <v>5212</v>
      </c>
      <c r="C2676" t="s">
        <v>5</v>
      </c>
    </row>
    <row r="2677" spans="1:4" x14ac:dyDescent="0.4">
      <c r="A2677" s="1" t="s">
        <v>5213</v>
      </c>
      <c r="B2677" t="s">
        <v>5214</v>
      </c>
      <c r="C2677" t="s">
        <v>5</v>
      </c>
    </row>
    <row r="2678" spans="1:4" x14ac:dyDescent="0.4">
      <c r="A2678" s="1" t="s">
        <v>5215</v>
      </c>
      <c r="B2678" t="s">
        <v>5216</v>
      </c>
      <c r="C2678" t="s">
        <v>5</v>
      </c>
    </row>
    <row r="2679" spans="1:4" x14ac:dyDescent="0.4">
      <c r="A2679" s="1" t="s">
        <v>5217</v>
      </c>
      <c r="B2679" t="s">
        <v>5218</v>
      </c>
      <c r="C2679" t="s">
        <v>5</v>
      </c>
    </row>
    <row r="2680" spans="1:4" x14ac:dyDescent="0.4">
      <c r="A2680" s="1" t="s">
        <v>5219</v>
      </c>
      <c r="B2680" t="s">
        <v>5220</v>
      </c>
      <c r="C2680" t="s">
        <v>5</v>
      </c>
    </row>
    <row r="2681" spans="1:4" x14ac:dyDescent="0.4">
      <c r="A2681" s="1" t="s">
        <v>5221</v>
      </c>
      <c r="B2681" t="s">
        <v>5222</v>
      </c>
      <c r="C2681" t="s">
        <v>5</v>
      </c>
    </row>
    <row r="2682" spans="1:4" x14ac:dyDescent="0.4">
      <c r="A2682" s="1" t="s">
        <v>5223</v>
      </c>
      <c r="B2682" t="s">
        <v>5224</v>
      </c>
      <c r="C2682" t="s">
        <v>5</v>
      </c>
    </row>
    <row r="2683" spans="1:4" x14ac:dyDescent="0.4">
      <c r="A2683" s="1" t="s">
        <v>5225</v>
      </c>
      <c r="B2683" t="s">
        <v>5226</v>
      </c>
      <c r="C2683" t="s">
        <v>5</v>
      </c>
    </row>
    <row r="2684" spans="1:4" x14ac:dyDescent="0.4">
      <c r="A2684" s="1" t="s">
        <v>5227</v>
      </c>
      <c r="B2684" t="s">
        <v>5228</v>
      </c>
      <c r="C2684" t="s">
        <v>5</v>
      </c>
    </row>
    <row r="2685" spans="1:4" x14ac:dyDescent="0.4">
      <c r="A2685" s="1" t="s">
        <v>5229</v>
      </c>
      <c r="B2685" t="s">
        <v>5230</v>
      </c>
      <c r="C2685" t="s">
        <v>5</v>
      </c>
      <c r="D2685">
        <v>35300</v>
      </c>
    </row>
    <row r="2686" spans="1:4" x14ac:dyDescent="0.4">
      <c r="A2686" s="1" t="s">
        <v>5231</v>
      </c>
      <c r="B2686" t="s">
        <v>5232</v>
      </c>
      <c r="C2686" t="s">
        <v>5</v>
      </c>
      <c r="D2686">
        <v>35300</v>
      </c>
    </row>
    <row r="2687" spans="1:4" x14ac:dyDescent="0.4">
      <c r="A2687" s="1" t="s">
        <v>5233</v>
      </c>
      <c r="B2687" t="s">
        <v>5234</v>
      </c>
      <c r="C2687" t="s">
        <v>5</v>
      </c>
      <c r="D2687">
        <v>35300</v>
      </c>
    </row>
    <row r="2688" spans="1:4" x14ac:dyDescent="0.4">
      <c r="A2688" s="1" t="s">
        <v>5235</v>
      </c>
      <c r="B2688" t="s">
        <v>5236</v>
      </c>
      <c r="C2688" t="s">
        <v>5</v>
      </c>
      <c r="D2688">
        <v>36500</v>
      </c>
    </row>
    <row r="2689" spans="1:4" x14ac:dyDescent="0.4">
      <c r="A2689" s="1" t="s">
        <v>5237</v>
      </c>
      <c r="B2689" t="s">
        <v>5238</v>
      </c>
      <c r="C2689" t="s">
        <v>5</v>
      </c>
      <c r="D2689">
        <v>35300</v>
      </c>
    </row>
    <row r="2690" spans="1:4" x14ac:dyDescent="0.4">
      <c r="A2690" s="1" t="s">
        <v>5239</v>
      </c>
      <c r="B2690" t="s">
        <v>5240</v>
      </c>
      <c r="C2690" t="s">
        <v>5</v>
      </c>
      <c r="D2690">
        <v>36500</v>
      </c>
    </row>
    <row r="2691" spans="1:4" x14ac:dyDescent="0.4">
      <c r="A2691" s="1" t="s">
        <v>5241</v>
      </c>
      <c r="B2691" t="s">
        <v>5242</v>
      </c>
      <c r="C2691" t="s">
        <v>5</v>
      </c>
      <c r="D2691">
        <v>36500</v>
      </c>
    </row>
    <row r="2692" spans="1:4" x14ac:dyDescent="0.4">
      <c r="A2692" s="1" t="s">
        <v>5243</v>
      </c>
      <c r="B2692" t="s">
        <v>5244</v>
      </c>
      <c r="C2692" t="s">
        <v>5</v>
      </c>
      <c r="D2692">
        <v>36500</v>
      </c>
    </row>
    <row r="2693" spans="1:4" x14ac:dyDescent="0.4">
      <c r="A2693" s="1" t="s">
        <v>5245</v>
      </c>
      <c r="B2693" t="s">
        <v>5246</v>
      </c>
      <c r="C2693" t="s">
        <v>5</v>
      </c>
      <c r="D2693">
        <v>36500</v>
      </c>
    </row>
    <row r="2694" spans="1:4" x14ac:dyDescent="0.4">
      <c r="A2694" s="1" t="s">
        <v>5247</v>
      </c>
      <c r="B2694" t="s">
        <v>5248</v>
      </c>
      <c r="C2694" t="s">
        <v>5</v>
      </c>
      <c r="D2694">
        <v>36500</v>
      </c>
    </row>
    <row r="2695" spans="1:4" x14ac:dyDescent="0.4">
      <c r="A2695" s="1" t="s">
        <v>5249</v>
      </c>
      <c r="B2695" t="s">
        <v>5250</v>
      </c>
      <c r="C2695" t="s">
        <v>5</v>
      </c>
    </row>
    <row r="2696" spans="1:4" x14ac:dyDescent="0.4">
      <c r="A2696" s="1" t="s">
        <v>5251</v>
      </c>
      <c r="B2696" t="s">
        <v>5252</v>
      </c>
      <c r="C2696" t="s">
        <v>5</v>
      </c>
    </row>
    <row r="2697" spans="1:4" x14ac:dyDescent="0.4">
      <c r="A2697" s="1" t="s">
        <v>5253</v>
      </c>
      <c r="B2697" t="s">
        <v>5254</v>
      </c>
      <c r="C2697" t="s">
        <v>5</v>
      </c>
    </row>
    <row r="2698" spans="1:4" x14ac:dyDescent="0.4">
      <c r="A2698" s="1" t="s">
        <v>5255</v>
      </c>
      <c r="B2698" t="s">
        <v>5256</v>
      </c>
      <c r="C2698" t="s">
        <v>5</v>
      </c>
    </row>
    <row r="2699" spans="1:4" x14ac:dyDescent="0.4">
      <c r="A2699" s="1" t="s">
        <v>5257</v>
      </c>
      <c r="B2699" t="s">
        <v>5258</v>
      </c>
      <c r="C2699" t="s">
        <v>5</v>
      </c>
    </row>
    <row r="2700" spans="1:4" x14ac:dyDescent="0.4">
      <c r="A2700" s="1" t="s">
        <v>5259</v>
      </c>
      <c r="B2700" t="s">
        <v>5260</v>
      </c>
      <c r="C2700" t="s">
        <v>5</v>
      </c>
    </row>
    <row r="2701" spans="1:4" x14ac:dyDescent="0.4">
      <c r="A2701" s="1" t="s">
        <v>5261</v>
      </c>
      <c r="B2701" t="e">
        <f>-終息-EPSON ｲﾝｸｶｰﾄﾘｯｼﾞ PJIC1C ｼｱﾝ</f>
        <v>#NAME?</v>
      </c>
      <c r="C2701" t="s">
        <v>5</v>
      </c>
    </row>
    <row r="2702" spans="1:4" x14ac:dyDescent="0.4">
      <c r="A2702" s="1" t="s">
        <v>5262</v>
      </c>
      <c r="B2702" t="e">
        <f>-終息-EPSON ｲﾝｸｶｰﾄﾘｯｼﾞ PJIC2LC ﾗｲﾄｼｱﾝ</f>
        <v>#NAME?</v>
      </c>
      <c r="C2702" t="s">
        <v>5</v>
      </c>
    </row>
    <row r="2703" spans="1:4" x14ac:dyDescent="0.4">
      <c r="A2703" s="1" t="s">
        <v>5263</v>
      </c>
      <c r="B2703" t="e">
        <f>-終息-EPSON ｲﾝｸｶｰﾄﾘｯｼﾞ PJIC3LM ﾗｲﾄﾏｾﾞﾝﾀ</f>
        <v>#NAME?</v>
      </c>
      <c r="C2703" t="s">
        <v>5</v>
      </c>
    </row>
    <row r="2704" spans="1:4" x14ac:dyDescent="0.4">
      <c r="A2704" s="1" t="s">
        <v>5264</v>
      </c>
      <c r="B2704" t="e">
        <f>-終息-EPSON ｲﾝｸｶｰﾄﾘｯｼﾞ PJIC4M ﾏｾﾞﾝﾀ</f>
        <v>#NAME?</v>
      </c>
      <c r="C2704" t="s">
        <v>5</v>
      </c>
    </row>
    <row r="2705" spans="1:4" x14ac:dyDescent="0.4">
      <c r="A2705" s="1" t="s">
        <v>5265</v>
      </c>
      <c r="B2705" t="e">
        <f>-終息-EPSON ｲﾝｸｶｰﾄﾘｯｼﾞ PJIC5Y ｲｴﾛｰ</f>
        <v>#NAME?</v>
      </c>
      <c r="C2705" t="s">
        <v>5</v>
      </c>
    </row>
    <row r="2706" spans="1:4" x14ac:dyDescent="0.4">
      <c r="A2706" s="1" t="s">
        <v>5266</v>
      </c>
      <c r="B2706" t="s">
        <v>5267</v>
      </c>
      <c r="C2706" t="s">
        <v>5</v>
      </c>
    </row>
    <row r="2707" spans="1:4" x14ac:dyDescent="0.4">
      <c r="A2707" s="1" t="s">
        <v>5268</v>
      </c>
      <c r="B2707" t="s">
        <v>5269</v>
      </c>
      <c r="C2707" t="s">
        <v>5</v>
      </c>
    </row>
    <row r="2708" spans="1:4" x14ac:dyDescent="0.4">
      <c r="A2708" s="1" t="s">
        <v>5270</v>
      </c>
      <c r="B2708" t="s">
        <v>5271</v>
      </c>
      <c r="C2708" t="s">
        <v>5</v>
      </c>
    </row>
    <row r="2709" spans="1:4" x14ac:dyDescent="0.4">
      <c r="A2709" s="1" t="s">
        <v>5272</v>
      </c>
      <c r="B2709" t="s">
        <v>5273</v>
      </c>
      <c r="C2709" t="s">
        <v>5</v>
      </c>
    </row>
    <row r="2710" spans="1:4" x14ac:dyDescent="0.4">
      <c r="A2710" s="1" t="s">
        <v>5274</v>
      </c>
      <c r="B2710" t="s">
        <v>5275</v>
      </c>
      <c r="C2710" t="s">
        <v>5</v>
      </c>
    </row>
    <row r="2711" spans="1:4" x14ac:dyDescent="0.4">
      <c r="A2711" s="1" t="s">
        <v>5276</v>
      </c>
      <c r="B2711" t="s">
        <v>5277</v>
      </c>
      <c r="C2711" t="s">
        <v>5</v>
      </c>
    </row>
    <row r="2712" spans="1:4" x14ac:dyDescent="0.4">
      <c r="A2712" s="1" t="s">
        <v>5278</v>
      </c>
      <c r="B2712" t="s">
        <v>5279</v>
      </c>
      <c r="C2712" t="s">
        <v>5</v>
      </c>
    </row>
    <row r="2713" spans="1:4" x14ac:dyDescent="0.4">
      <c r="A2713" s="1" t="s">
        <v>5280</v>
      </c>
      <c r="B2713" t="s">
        <v>5281</v>
      </c>
      <c r="C2713" t="s">
        <v>5</v>
      </c>
      <c r="D2713">
        <v>6300</v>
      </c>
    </row>
    <row r="2714" spans="1:4" x14ac:dyDescent="0.4">
      <c r="A2714" s="1" t="s">
        <v>5282</v>
      </c>
      <c r="B2714" t="s">
        <v>5283</v>
      </c>
      <c r="C2714" t="s">
        <v>5</v>
      </c>
    </row>
    <row r="2715" spans="1:4" x14ac:dyDescent="0.4">
      <c r="A2715" s="1" t="s">
        <v>5284</v>
      </c>
      <c r="B2715" t="s">
        <v>5285</v>
      </c>
      <c r="C2715" t="s">
        <v>5</v>
      </c>
    </row>
    <row r="2716" spans="1:4" x14ac:dyDescent="0.4">
      <c r="A2716" s="1" t="s">
        <v>5286</v>
      </c>
      <c r="B2716" t="s">
        <v>5287</v>
      </c>
      <c r="C2716" t="s">
        <v>5</v>
      </c>
    </row>
    <row r="2717" spans="1:4" x14ac:dyDescent="0.4">
      <c r="A2717" s="1" t="s">
        <v>5288</v>
      </c>
      <c r="B2717" t="s">
        <v>5289</v>
      </c>
      <c r="C2717" t="s">
        <v>5</v>
      </c>
    </row>
    <row r="2718" spans="1:4" x14ac:dyDescent="0.4">
      <c r="A2718" s="1" t="s">
        <v>5290</v>
      </c>
      <c r="B2718" t="s">
        <v>5291</v>
      </c>
      <c r="C2718" t="s">
        <v>5</v>
      </c>
    </row>
    <row r="2719" spans="1:4" x14ac:dyDescent="0.4">
      <c r="A2719" s="1" t="s">
        <v>5292</v>
      </c>
      <c r="B2719" t="s">
        <v>5293</v>
      </c>
      <c r="C2719" t="s">
        <v>5</v>
      </c>
    </row>
    <row r="2720" spans="1:4" x14ac:dyDescent="0.4">
      <c r="A2720" s="1" t="s">
        <v>5294</v>
      </c>
      <c r="B2720" t="s">
        <v>5295</v>
      </c>
      <c r="C2720" t="s">
        <v>5</v>
      </c>
    </row>
    <row r="2721" spans="1:4" x14ac:dyDescent="0.4">
      <c r="A2721" s="1" t="s">
        <v>5296</v>
      </c>
      <c r="B2721" t="s">
        <v>5297</v>
      </c>
      <c r="C2721" t="s">
        <v>5</v>
      </c>
    </row>
    <row r="2722" spans="1:4" x14ac:dyDescent="0.4">
      <c r="A2722" s="1" t="s">
        <v>5298</v>
      </c>
      <c r="B2722" t="s">
        <v>5299</v>
      </c>
      <c r="C2722" t="s">
        <v>5</v>
      </c>
    </row>
    <row r="2723" spans="1:4" x14ac:dyDescent="0.4">
      <c r="A2723" s="1" t="s">
        <v>5300</v>
      </c>
      <c r="B2723" t="s">
        <v>5301</v>
      </c>
      <c r="C2723" t="s">
        <v>5</v>
      </c>
    </row>
    <row r="2724" spans="1:4" x14ac:dyDescent="0.4">
      <c r="A2724" s="1" t="s">
        <v>5302</v>
      </c>
      <c r="B2724" t="s">
        <v>5303</v>
      </c>
      <c r="C2724" t="s">
        <v>5</v>
      </c>
    </row>
    <row r="2725" spans="1:4" x14ac:dyDescent="0.4">
      <c r="A2725" s="1" t="s">
        <v>5304</v>
      </c>
      <c r="B2725" t="s">
        <v>5305</v>
      </c>
      <c r="C2725" t="s">
        <v>5</v>
      </c>
    </row>
    <row r="2726" spans="1:4" x14ac:dyDescent="0.4">
      <c r="A2726" s="1" t="s">
        <v>5306</v>
      </c>
      <c r="B2726" t="s">
        <v>5307</v>
      </c>
      <c r="C2726" t="s">
        <v>5</v>
      </c>
    </row>
    <row r="2727" spans="1:4" x14ac:dyDescent="0.4">
      <c r="A2727" s="1" t="s">
        <v>5308</v>
      </c>
      <c r="B2727" t="s">
        <v>5309</v>
      </c>
      <c r="C2727" t="s">
        <v>5</v>
      </c>
    </row>
    <row r="2728" spans="1:4" x14ac:dyDescent="0.4">
      <c r="A2728" s="1" t="s">
        <v>5310</v>
      </c>
      <c r="B2728" t="s">
        <v>5311</v>
      </c>
      <c r="C2728" t="s">
        <v>5</v>
      </c>
    </row>
    <row r="2729" spans="1:4" x14ac:dyDescent="0.4">
      <c r="A2729" s="1" t="s">
        <v>5312</v>
      </c>
      <c r="B2729" t="s">
        <v>5313</v>
      </c>
      <c r="C2729" t="s">
        <v>5</v>
      </c>
    </row>
    <row r="2730" spans="1:4" x14ac:dyDescent="0.4">
      <c r="A2730" s="1" t="s">
        <v>5314</v>
      </c>
      <c r="B2730" t="s">
        <v>5315</v>
      </c>
      <c r="C2730" t="s">
        <v>5</v>
      </c>
    </row>
    <row r="2731" spans="1:4" x14ac:dyDescent="0.4">
      <c r="A2731" s="1" t="s">
        <v>5316</v>
      </c>
      <c r="B2731" t="s">
        <v>5317</v>
      </c>
      <c r="C2731" t="s">
        <v>5</v>
      </c>
    </row>
    <row r="2732" spans="1:4" x14ac:dyDescent="0.4">
      <c r="A2732" s="1" t="s">
        <v>5318</v>
      </c>
      <c r="B2732" t="s">
        <v>5319</v>
      </c>
      <c r="C2732" t="s">
        <v>5</v>
      </c>
    </row>
    <row r="2733" spans="1:4" x14ac:dyDescent="0.4">
      <c r="A2733" s="1" t="s">
        <v>5320</v>
      </c>
      <c r="B2733" t="s">
        <v>5321</v>
      </c>
      <c r="C2733" t="s">
        <v>5</v>
      </c>
    </row>
    <row r="2734" spans="1:4" x14ac:dyDescent="0.4">
      <c r="A2734" s="1" t="s">
        <v>5322</v>
      </c>
      <c r="B2734" t="s">
        <v>5323</v>
      </c>
      <c r="C2734" t="s">
        <v>5</v>
      </c>
    </row>
    <row r="2735" spans="1:4" x14ac:dyDescent="0.4">
      <c r="A2735" s="1" t="s">
        <v>5324</v>
      </c>
      <c r="B2735" t="s">
        <v>5325</v>
      </c>
      <c r="C2735" t="s">
        <v>5</v>
      </c>
    </row>
    <row r="2736" spans="1:4" x14ac:dyDescent="0.4">
      <c r="A2736" s="1" t="s">
        <v>5326</v>
      </c>
      <c r="B2736" t="s">
        <v>5327</v>
      </c>
      <c r="C2736" t="s">
        <v>5</v>
      </c>
      <c r="D2736">
        <v>17300</v>
      </c>
    </row>
    <row r="2737" spans="1:4" x14ac:dyDescent="0.4">
      <c r="A2737" s="1" t="s">
        <v>5328</v>
      </c>
      <c r="B2737" t="s">
        <v>5329</v>
      </c>
      <c r="C2737" t="s">
        <v>5</v>
      </c>
      <c r="D2737">
        <v>19450</v>
      </c>
    </row>
    <row r="2738" spans="1:4" x14ac:dyDescent="0.4">
      <c r="A2738" s="1" t="s">
        <v>5330</v>
      </c>
      <c r="B2738" t="s">
        <v>5331</v>
      </c>
      <c r="C2738" t="s">
        <v>5</v>
      </c>
    </row>
    <row r="2739" spans="1:4" x14ac:dyDescent="0.4">
      <c r="A2739" s="1" t="s">
        <v>5332</v>
      </c>
      <c r="B2739" t="s">
        <v>5333</v>
      </c>
      <c r="C2739" t="s">
        <v>5</v>
      </c>
    </row>
    <row r="2740" spans="1:4" x14ac:dyDescent="0.4">
      <c r="A2740" s="1" t="s">
        <v>5334</v>
      </c>
      <c r="B2740" t="s">
        <v>5335</v>
      </c>
      <c r="C2740" t="s">
        <v>5</v>
      </c>
    </row>
    <row r="2741" spans="1:4" x14ac:dyDescent="0.4">
      <c r="A2741" s="1" t="s">
        <v>5336</v>
      </c>
      <c r="B2741" t="s">
        <v>5337</v>
      </c>
      <c r="C2741" t="s">
        <v>5</v>
      </c>
    </row>
    <row r="2742" spans="1:4" x14ac:dyDescent="0.4">
      <c r="A2742" s="1" t="s">
        <v>5338</v>
      </c>
      <c r="B2742" t="s">
        <v>5339</v>
      </c>
      <c r="C2742" t="s">
        <v>5</v>
      </c>
    </row>
    <row r="2743" spans="1:4" x14ac:dyDescent="0.4">
      <c r="A2743" s="1" t="s">
        <v>5340</v>
      </c>
      <c r="B2743" t="s">
        <v>5341</v>
      </c>
      <c r="C2743" t="s">
        <v>5</v>
      </c>
    </row>
    <row r="2744" spans="1:4" x14ac:dyDescent="0.4">
      <c r="A2744" s="1" t="s">
        <v>5342</v>
      </c>
      <c r="B2744" t="s">
        <v>5343</v>
      </c>
      <c r="C2744" t="s">
        <v>5</v>
      </c>
    </row>
    <row r="2745" spans="1:4" x14ac:dyDescent="0.4">
      <c r="A2745" s="1" t="s">
        <v>5344</v>
      </c>
      <c r="B2745" t="s">
        <v>5345</v>
      </c>
      <c r="C2745" t="s">
        <v>5</v>
      </c>
    </row>
    <row r="2746" spans="1:4" x14ac:dyDescent="0.4">
      <c r="A2746" s="1" t="s">
        <v>5346</v>
      </c>
      <c r="B2746" t="s">
        <v>5347</v>
      </c>
      <c r="C2746" t="s">
        <v>5</v>
      </c>
    </row>
    <row r="2747" spans="1:4" x14ac:dyDescent="0.4">
      <c r="A2747" s="1" t="s">
        <v>5348</v>
      </c>
      <c r="B2747" t="s">
        <v>5349</v>
      </c>
      <c r="C2747" t="s">
        <v>5</v>
      </c>
    </row>
    <row r="2748" spans="1:4" x14ac:dyDescent="0.4">
      <c r="A2748" s="1" t="s">
        <v>5350</v>
      </c>
      <c r="B2748" t="s">
        <v>5351</v>
      </c>
      <c r="C2748" t="s">
        <v>5</v>
      </c>
    </row>
    <row r="2749" spans="1:4" x14ac:dyDescent="0.4">
      <c r="A2749" s="1" t="s">
        <v>5352</v>
      </c>
      <c r="B2749" t="s">
        <v>5353</v>
      </c>
      <c r="C2749" t="s">
        <v>5</v>
      </c>
    </row>
    <row r="2750" spans="1:4" x14ac:dyDescent="0.4">
      <c r="A2750" s="1" t="s">
        <v>5354</v>
      </c>
      <c r="B2750" t="s">
        <v>5355</v>
      </c>
      <c r="C2750" t="s">
        <v>5</v>
      </c>
    </row>
    <row r="2751" spans="1:4" x14ac:dyDescent="0.4">
      <c r="A2751" s="1" t="s">
        <v>5356</v>
      </c>
      <c r="B2751" t="s">
        <v>5357</v>
      </c>
      <c r="C2751" t="s">
        <v>5</v>
      </c>
    </row>
    <row r="2752" spans="1:4" x14ac:dyDescent="0.4">
      <c r="A2752" s="1" t="s">
        <v>5358</v>
      </c>
      <c r="B2752" t="s">
        <v>5359</v>
      </c>
      <c r="C2752" t="s">
        <v>5</v>
      </c>
    </row>
    <row r="2753" spans="1:4" x14ac:dyDescent="0.4">
      <c r="A2753" s="1" t="s">
        <v>5360</v>
      </c>
      <c r="B2753" t="s">
        <v>5361</v>
      </c>
      <c r="C2753" t="s">
        <v>5</v>
      </c>
      <c r="D2753">
        <v>3500</v>
      </c>
    </row>
    <row r="2754" spans="1:4" x14ac:dyDescent="0.4">
      <c r="A2754" s="1" t="s">
        <v>5362</v>
      </c>
      <c r="B2754" t="s">
        <v>5363</v>
      </c>
      <c r="C2754">
        <v>3248270</v>
      </c>
    </row>
    <row r="2755" spans="1:4" x14ac:dyDescent="0.4">
      <c r="A2755" s="1" t="s">
        <v>5364</v>
      </c>
      <c r="B2755" t="s">
        <v>5365</v>
      </c>
      <c r="C2755" t="s">
        <v>5</v>
      </c>
    </row>
    <row r="2756" spans="1:4" x14ac:dyDescent="0.4">
      <c r="A2756" s="1" t="s">
        <v>5366</v>
      </c>
      <c r="B2756" t="s">
        <v>5367</v>
      </c>
      <c r="C2756" t="s">
        <v>5</v>
      </c>
    </row>
    <row r="2757" spans="1:4" x14ac:dyDescent="0.4">
      <c r="A2757" s="1" t="s">
        <v>5368</v>
      </c>
      <c r="B2757" t="s">
        <v>5369</v>
      </c>
      <c r="C2757" t="s">
        <v>5</v>
      </c>
    </row>
    <row r="2758" spans="1:4" x14ac:dyDescent="0.4">
      <c r="A2758" s="1" t="s">
        <v>5370</v>
      </c>
      <c r="B2758" t="s">
        <v>5371</v>
      </c>
      <c r="C2758" t="s">
        <v>5</v>
      </c>
    </row>
    <row r="2759" spans="1:4" x14ac:dyDescent="0.4">
      <c r="A2759" s="1" t="s">
        <v>5372</v>
      </c>
      <c r="B2759" t="s">
        <v>5373</v>
      </c>
      <c r="C2759" t="s">
        <v>5</v>
      </c>
    </row>
    <row r="2760" spans="1:4" x14ac:dyDescent="0.4">
      <c r="A2760" s="1" t="s">
        <v>5374</v>
      </c>
      <c r="B2760" t="s">
        <v>5375</v>
      </c>
      <c r="C2760" t="s">
        <v>5</v>
      </c>
    </row>
    <row r="2761" spans="1:4" x14ac:dyDescent="0.4">
      <c r="A2761" s="1" t="s">
        <v>5376</v>
      </c>
      <c r="B2761" t="s">
        <v>5377</v>
      </c>
      <c r="C2761" t="s">
        <v>5</v>
      </c>
    </row>
    <row r="2762" spans="1:4" x14ac:dyDescent="0.4">
      <c r="A2762" s="1" t="s">
        <v>5378</v>
      </c>
      <c r="B2762" t="s">
        <v>5379</v>
      </c>
      <c r="C2762" t="s">
        <v>5</v>
      </c>
    </row>
    <row r="2763" spans="1:4" x14ac:dyDescent="0.4">
      <c r="A2763" s="1" t="s">
        <v>5380</v>
      </c>
      <c r="B2763" t="s">
        <v>5381</v>
      </c>
      <c r="C2763" t="s">
        <v>5</v>
      </c>
    </row>
    <row r="2764" spans="1:4" x14ac:dyDescent="0.4">
      <c r="A2764" s="1" t="s">
        <v>5382</v>
      </c>
      <c r="B2764" t="s">
        <v>5383</v>
      </c>
      <c r="C2764" t="s">
        <v>5</v>
      </c>
    </row>
    <row r="2765" spans="1:4" x14ac:dyDescent="0.4">
      <c r="A2765" s="1" t="s">
        <v>5384</v>
      </c>
      <c r="B2765" t="s">
        <v>5385</v>
      </c>
      <c r="C2765" t="s">
        <v>5</v>
      </c>
    </row>
    <row r="2766" spans="1:4" x14ac:dyDescent="0.4">
      <c r="A2766" s="1" t="s">
        <v>5386</v>
      </c>
      <c r="B2766" t="s">
        <v>5387</v>
      </c>
      <c r="C2766" t="s">
        <v>5</v>
      </c>
    </row>
    <row r="2767" spans="1:4" x14ac:dyDescent="0.4">
      <c r="A2767" s="1" t="s">
        <v>5388</v>
      </c>
      <c r="B2767" t="s">
        <v>5389</v>
      </c>
      <c r="C2767" t="s">
        <v>5</v>
      </c>
    </row>
    <row r="2768" spans="1:4" x14ac:dyDescent="0.4">
      <c r="A2768" s="1" t="s">
        <v>5390</v>
      </c>
      <c r="B2768" t="s">
        <v>5391</v>
      </c>
      <c r="C2768" t="s">
        <v>5</v>
      </c>
    </row>
    <row r="2769" spans="1:4" x14ac:dyDescent="0.4">
      <c r="A2769" s="1" t="s">
        <v>5392</v>
      </c>
      <c r="B2769" t="s">
        <v>5393</v>
      </c>
      <c r="C2769" t="s">
        <v>5</v>
      </c>
    </row>
    <row r="2770" spans="1:4" x14ac:dyDescent="0.4">
      <c r="A2770" s="1" t="s">
        <v>5394</v>
      </c>
      <c r="B2770" t="s">
        <v>5395</v>
      </c>
      <c r="C2770" t="s">
        <v>5</v>
      </c>
    </row>
    <row r="2771" spans="1:4" x14ac:dyDescent="0.4">
      <c r="A2771" s="1" t="s">
        <v>5396</v>
      </c>
      <c r="B2771" t="s">
        <v>5397</v>
      </c>
      <c r="C2771" t="s">
        <v>5</v>
      </c>
      <c r="D2771">
        <v>4900</v>
      </c>
    </row>
    <row r="2772" spans="1:4" x14ac:dyDescent="0.4">
      <c r="A2772" s="1" t="s">
        <v>5398</v>
      </c>
      <c r="B2772" t="s">
        <v>5399</v>
      </c>
      <c r="C2772" t="s">
        <v>5</v>
      </c>
      <c r="D2772">
        <v>67618</v>
      </c>
    </row>
    <row r="2773" spans="1:4" x14ac:dyDescent="0.4">
      <c r="A2773" s="1" t="s">
        <v>5400</v>
      </c>
      <c r="B2773" t="s">
        <v>5401</v>
      </c>
      <c r="C2773" t="s">
        <v>5</v>
      </c>
      <c r="D2773">
        <v>24073</v>
      </c>
    </row>
    <row r="2774" spans="1:4" x14ac:dyDescent="0.4">
      <c r="A2774" s="1" t="s">
        <v>5402</v>
      </c>
      <c r="B2774" t="s">
        <v>5403</v>
      </c>
      <c r="C2774" t="s">
        <v>5</v>
      </c>
      <c r="D2774">
        <v>24073</v>
      </c>
    </row>
    <row r="2775" spans="1:4" x14ac:dyDescent="0.4">
      <c r="A2775" s="1" t="s">
        <v>5404</v>
      </c>
      <c r="B2775" t="s">
        <v>5405</v>
      </c>
      <c r="C2775" t="s">
        <v>5</v>
      </c>
      <c r="D2775">
        <v>24073</v>
      </c>
    </row>
    <row r="2776" spans="1:4" x14ac:dyDescent="0.4">
      <c r="A2776" s="1" t="s">
        <v>5406</v>
      </c>
      <c r="B2776" t="s">
        <v>5407</v>
      </c>
      <c r="C2776" t="s">
        <v>5</v>
      </c>
      <c r="D2776">
        <v>17191</v>
      </c>
    </row>
    <row r="2777" spans="1:4" x14ac:dyDescent="0.4">
      <c r="A2777" s="1" t="s">
        <v>5408</v>
      </c>
      <c r="B2777" t="s">
        <v>5409</v>
      </c>
      <c r="C2777" t="s">
        <v>5</v>
      </c>
      <c r="D2777">
        <v>32400</v>
      </c>
    </row>
    <row r="2778" spans="1:4" x14ac:dyDescent="0.4">
      <c r="A2778" s="1" t="s">
        <v>5410</v>
      </c>
      <c r="B2778" t="s">
        <v>5411</v>
      </c>
      <c r="C2778" t="s">
        <v>5</v>
      </c>
      <c r="D2778">
        <v>32400</v>
      </c>
    </row>
    <row r="2779" spans="1:4" x14ac:dyDescent="0.4">
      <c r="A2779" s="1" t="s">
        <v>5412</v>
      </c>
      <c r="B2779" t="s">
        <v>5413</v>
      </c>
      <c r="C2779" t="s">
        <v>5</v>
      </c>
      <c r="D2779">
        <v>32400</v>
      </c>
    </row>
    <row r="2780" spans="1:4" x14ac:dyDescent="0.4">
      <c r="A2780" s="1" t="s">
        <v>5414</v>
      </c>
      <c r="B2780" t="s">
        <v>5415</v>
      </c>
      <c r="C2780" t="s">
        <v>5</v>
      </c>
      <c r="D2780">
        <v>27509</v>
      </c>
    </row>
    <row r="2781" spans="1:4" x14ac:dyDescent="0.4">
      <c r="A2781" s="1" t="s">
        <v>5416</v>
      </c>
      <c r="B2781" t="s">
        <v>5417</v>
      </c>
      <c r="C2781" t="s">
        <v>5</v>
      </c>
    </row>
    <row r="2782" spans="1:4" x14ac:dyDescent="0.4">
      <c r="A2782" s="1" t="s">
        <v>5418</v>
      </c>
      <c r="B2782" t="s">
        <v>5419</v>
      </c>
      <c r="C2782" t="s">
        <v>5</v>
      </c>
    </row>
    <row r="2783" spans="1:4" x14ac:dyDescent="0.4">
      <c r="A2783" s="1" t="s">
        <v>5420</v>
      </c>
      <c r="B2783" t="s">
        <v>5421</v>
      </c>
      <c r="C2783" t="s">
        <v>5</v>
      </c>
    </row>
    <row r="2784" spans="1:4" x14ac:dyDescent="0.4">
      <c r="A2784" s="1" t="s">
        <v>5422</v>
      </c>
      <c r="B2784" t="s">
        <v>5423</v>
      </c>
      <c r="C2784" t="s">
        <v>5</v>
      </c>
    </row>
    <row r="2785" spans="1:4" x14ac:dyDescent="0.4">
      <c r="A2785" s="1" t="s">
        <v>5424</v>
      </c>
      <c r="B2785" t="s">
        <v>5425</v>
      </c>
      <c r="C2785" t="s">
        <v>5</v>
      </c>
      <c r="D2785">
        <v>17000</v>
      </c>
    </row>
    <row r="2786" spans="1:4" x14ac:dyDescent="0.4">
      <c r="A2786" s="1" t="s">
        <v>5426</v>
      </c>
      <c r="B2786" t="s">
        <v>5427</v>
      </c>
      <c r="C2786" t="s">
        <v>5</v>
      </c>
      <c r="D2786">
        <v>15000</v>
      </c>
    </row>
    <row r="2787" spans="1:4" x14ac:dyDescent="0.4">
      <c r="A2787" s="1" t="s">
        <v>5428</v>
      </c>
      <c r="B2787" t="s">
        <v>5429</v>
      </c>
      <c r="C2787" t="s">
        <v>5</v>
      </c>
      <c r="D2787">
        <v>12400</v>
      </c>
    </row>
    <row r="2788" spans="1:4" x14ac:dyDescent="0.4">
      <c r="A2788" s="1" t="s">
        <v>5430</v>
      </c>
      <c r="B2788" t="s">
        <v>5431</v>
      </c>
      <c r="C2788" t="s">
        <v>5</v>
      </c>
      <c r="D2788">
        <v>12400</v>
      </c>
    </row>
    <row r="2789" spans="1:4" x14ac:dyDescent="0.4">
      <c r="A2789" s="1" t="s">
        <v>5432</v>
      </c>
      <c r="B2789" t="s">
        <v>5433</v>
      </c>
      <c r="C2789" t="s">
        <v>5</v>
      </c>
      <c r="D2789">
        <v>12400</v>
      </c>
    </row>
    <row r="2790" spans="1:4" x14ac:dyDescent="0.4">
      <c r="A2790" s="1" t="s">
        <v>5434</v>
      </c>
      <c r="B2790" t="s">
        <v>5435</v>
      </c>
      <c r="C2790" t="s">
        <v>5</v>
      </c>
      <c r="D2790">
        <v>12400</v>
      </c>
    </row>
    <row r="2791" spans="1:4" x14ac:dyDescent="0.4">
      <c r="A2791" s="1" t="s">
        <v>5436</v>
      </c>
      <c r="B2791" t="s">
        <v>5437</v>
      </c>
      <c r="C2791" t="s">
        <v>5</v>
      </c>
      <c r="D2791">
        <v>3600</v>
      </c>
    </row>
    <row r="2792" spans="1:4" x14ac:dyDescent="0.4">
      <c r="A2792" s="1" t="s">
        <v>5438</v>
      </c>
      <c r="B2792" t="s">
        <v>5439</v>
      </c>
      <c r="C2792" t="s">
        <v>5</v>
      </c>
      <c r="D2792">
        <v>18000</v>
      </c>
    </row>
    <row r="2793" spans="1:4" x14ac:dyDescent="0.4">
      <c r="A2793" s="1" t="s">
        <v>5440</v>
      </c>
      <c r="B2793" t="s">
        <v>5441</v>
      </c>
      <c r="C2793" t="s">
        <v>5</v>
      </c>
      <c r="D2793">
        <v>13000</v>
      </c>
    </row>
    <row r="2794" spans="1:4" x14ac:dyDescent="0.4">
      <c r="A2794" s="1" t="s">
        <v>5442</v>
      </c>
      <c r="B2794" t="s">
        <v>5443</v>
      </c>
      <c r="C2794" t="s">
        <v>5</v>
      </c>
      <c r="D2794">
        <v>25900</v>
      </c>
    </row>
    <row r="2795" spans="1:4" x14ac:dyDescent="0.4">
      <c r="A2795" s="1" t="s">
        <v>5444</v>
      </c>
      <c r="B2795" t="s">
        <v>5445</v>
      </c>
      <c r="C2795" t="s">
        <v>5</v>
      </c>
      <c r="D2795">
        <v>21400</v>
      </c>
    </row>
    <row r="2796" spans="1:4" x14ac:dyDescent="0.4">
      <c r="A2796" s="1" t="s">
        <v>5446</v>
      </c>
      <c r="B2796" t="s">
        <v>5447</v>
      </c>
      <c r="C2796" t="s">
        <v>5</v>
      </c>
      <c r="D2796">
        <v>45400</v>
      </c>
    </row>
    <row r="2797" spans="1:4" x14ac:dyDescent="0.4">
      <c r="A2797" s="1" t="s">
        <v>5448</v>
      </c>
      <c r="B2797" t="s">
        <v>5449</v>
      </c>
      <c r="C2797" t="s">
        <v>5</v>
      </c>
      <c r="D2797">
        <v>37600</v>
      </c>
    </row>
    <row r="2798" spans="1:4" x14ac:dyDescent="0.4">
      <c r="A2798" s="1" t="s">
        <v>5450</v>
      </c>
      <c r="B2798" t="s">
        <v>5451</v>
      </c>
      <c r="C2798" t="s">
        <v>5</v>
      </c>
      <c r="D2798">
        <v>10800</v>
      </c>
    </row>
    <row r="2799" spans="1:4" x14ac:dyDescent="0.4">
      <c r="A2799" s="1" t="s">
        <v>5452</v>
      </c>
      <c r="B2799" t="s">
        <v>5453</v>
      </c>
      <c r="C2799" t="s">
        <v>5</v>
      </c>
      <c r="D2799">
        <v>8130</v>
      </c>
    </row>
    <row r="2800" spans="1:4" x14ac:dyDescent="0.4">
      <c r="A2800" s="1" t="s">
        <v>5454</v>
      </c>
      <c r="B2800" t="s">
        <v>5455</v>
      </c>
      <c r="C2800" t="s">
        <v>5</v>
      </c>
      <c r="D2800">
        <v>18000</v>
      </c>
    </row>
    <row r="2801" spans="1:4" x14ac:dyDescent="0.4">
      <c r="A2801" s="1" t="s">
        <v>5456</v>
      </c>
      <c r="B2801" t="s">
        <v>5457</v>
      </c>
      <c r="C2801" t="s">
        <v>5</v>
      </c>
      <c r="D2801">
        <v>19500</v>
      </c>
    </row>
    <row r="2802" spans="1:4" x14ac:dyDescent="0.4">
      <c r="A2802" s="1" t="s">
        <v>5458</v>
      </c>
      <c r="B2802" t="s">
        <v>5459</v>
      </c>
      <c r="C2802" t="s">
        <v>5</v>
      </c>
      <c r="D2802">
        <v>7500</v>
      </c>
    </row>
    <row r="2803" spans="1:4" x14ac:dyDescent="0.4">
      <c r="A2803" s="1" t="s">
        <v>5460</v>
      </c>
      <c r="B2803" t="s">
        <v>5461</v>
      </c>
      <c r="C2803" t="s">
        <v>5</v>
      </c>
      <c r="D2803">
        <v>16300</v>
      </c>
    </row>
    <row r="2804" spans="1:4" x14ac:dyDescent="0.4">
      <c r="A2804" s="1" t="s">
        <v>5462</v>
      </c>
      <c r="B2804" t="s">
        <v>5463</v>
      </c>
      <c r="C2804" t="s">
        <v>5</v>
      </c>
      <c r="D2804">
        <v>28500</v>
      </c>
    </row>
    <row r="2805" spans="1:4" x14ac:dyDescent="0.4">
      <c r="A2805" s="1" t="s">
        <v>5464</v>
      </c>
      <c r="B2805" t="s">
        <v>5465</v>
      </c>
      <c r="C2805" t="s">
        <v>5</v>
      </c>
      <c r="D2805">
        <v>35750</v>
      </c>
    </row>
    <row r="2806" spans="1:4" x14ac:dyDescent="0.4">
      <c r="A2806" s="1" t="s">
        <v>5466</v>
      </c>
      <c r="B2806" t="s">
        <v>5467</v>
      </c>
      <c r="C2806" t="s">
        <v>5</v>
      </c>
      <c r="D2806">
        <v>93500</v>
      </c>
    </row>
    <row r="2807" spans="1:4" x14ac:dyDescent="0.4">
      <c r="A2807" s="1" t="s">
        <v>5468</v>
      </c>
      <c r="B2807" t="s">
        <v>5469</v>
      </c>
      <c r="C2807" t="s">
        <v>5</v>
      </c>
      <c r="D2807">
        <v>36600</v>
      </c>
    </row>
    <row r="2808" spans="1:4" x14ac:dyDescent="0.4">
      <c r="A2808" s="1" t="s">
        <v>5470</v>
      </c>
      <c r="B2808" t="s">
        <v>5471</v>
      </c>
      <c r="C2808" t="s">
        <v>5</v>
      </c>
      <c r="D2808">
        <v>55000</v>
      </c>
    </row>
    <row r="2809" spans="1:4" x14ac:dyDescent="0.4">
      <c r="A2809" s="1" t="s">
        <v>5472</v>
      </c>
      <c r="B2809" t="s">
        <v>5473</v>
      </c>
      <c r="C2809" t="s">
        <v>5</v>
      </c>
      <c r="D2809">
        <v>38800</v>
      </c>
    </row>
    <row r="2810" spans="1:4" x14ac:dyDescent="0.4">
      <c r="A2810" s="1" t="s">
        <v>5474</v>
      </c>
      <c r="B2810" t="s">
        <v>5475</v>
      </c>
      <c r="C2810" t="s">
        <v>5</v>
      </c>
      <c r="D2810">
        <v>29100</v>
      </c>
    </row>
    <row r="2811" spans="1:4" x14ac:dyDescent="0.4">
      <c r="A2811" s="1" t="s">
        <v>5476</v>
      </c>
      <c r="B2811" t="s">
        <v>5477</v>
      </c>
      <c r="C2811" t="s">
        <v>5</v>
      </c>
      <c r="D2811">
        <v>51700</v>
      </c>
    </row>
    <row r="2812" spans="1:4" x14ac:dyDescent="0.4">
      <c r="A2812" s="1" t="s">
        <v>5478</v>
      </c>
      <c r="B2812" t="s">
        <v>5479</v>
      </c>
      <c r="C2812" t="s">
        <v>5</v>
      </c>
      <c r="D2812">
        <v>38800</v>
      </c>
    </row>
    <row r="2813" spans="1:4" x14ac:dyDescent="0.4">
      <c r="A2813" s="1" t="s">
        <v>5480</v>
      </c>
      <c r="B2813" t="s">
        <v>5481</v>
      </c>
      <c r="C2813" t="s">
        <v>5</v>
      </c>
      <c r="D2813">
        <v>34700</v>
      </c>
    </row>
    <row r="2814" spans="1:4" x14ac:dyDescent="0.4">
      <c r="A2814" s="1" t="s">
        <v>5482</v>
      </c>
      <c r="B2814" t="s">
        <v>5483</v>
      </c>
      <c r="C2814" t="s">
        <v>5</v>
      </c>
      <c r="D2814">
        <v>28100</v>
      </c>
    </row>
    <row r="2815" spans="1:4" x14ac:dyDescent="0.4">
      <c r="A2815" s="1" t="s">
        <v>5484</v>
      </c>
      <c r="B2815" t="s">
        <v>5485</v>
      </c>
      <c r="C2815" t="s">
        <v>5</v>
      </c>
      <c r="D2815">
        <v>35400</v>
      </c>
    </row>
    <row r="2816" spans="1:4" x14ac:dyDescent="0.4">
      <c r="A2816" s="1" t="s">
        <v>5486</v>
      </c>
      <c r="B2816" t="s">
        <v>5487</v>
      </c>
      <c r="C2816" t="s">
        <v>5</v>
      </c>
      <c r="D2816">
        <v>28200</v>
      </c>
    </row>
    <row r="2817" spans="1:4" x14ac:dyDescent="0.4">
      <c r="A2817" s="1" t="s">
        <v>5488</v>
      </c>
      <c r="B2817" t="s">
        <v>5489</v>
      </c>
      <c r="C2817" t="s">
        <v>5</v>
      </c>
      <c r="D2817">
        <v>13800</v>
      </c>
    </row>
    <row r="2818" spans="1:4" x14ac:dyDescent="0.4">
      <c r="A2818" s="1" t="s">
        <v>5490</v>
      </c>
      <c r="B2818" t="s">
        <v>5491</v>
      </c>
      <c r="C2818" t="s">
        <v>5</v>
      </c>
      <c r="D2818">
        <v>32500</v>
      </c>
    </row>
    <row r="2819" spans="1:4" x14ac:dyDescent="0.4">
      <c r="A2819" s="1" t="s">
        <v>5492</v>
      </c>
      <c r="B2819" t="s">
        <v>5493</v>
      </c>
      <c r="C2819" t="s">
        <v>5</v>
      </c>
      <c r="D2819">
        <v>25900</v>
      </c>
    </row>
    <row r="2820" spans="1:4" x14ac:dyDescent="0.4">
      <c r="A2820" s="1" t="s">
        <v>5494</v>
      </c>
      <c r="B2820" t="s">
        <v>5495</v>
      </c>
      <c r="C2820" t="s">
        <v>5</v>
      </c>
      <c r="D2820">
        <v>32700</v>
      </c>
    </row>
    <row r="2821" spans="1:4" x14ac:dyDescent="0.4">
      <c r="A2821" s="1" t="s">
        <v>5496</v>
      </c>
      <c r="B2821" t="s">
        <v>5497</v>
      </c>
      <c r="C2821" t="s">
        <v>5</v>
      </c>
      <c r="D2821">
        <v>26400</v>
      </c>
    </row>
    <row r="2822" spans="1:4" x14ac:dyDescent="0.4">
      <c r="A2822" s="1" t="s">
        <v>5498</v>
      </c>
      <c r="B2822" t="s">
        <v>5499</v>
      </c>
      <c r="C2822" t="s">
        <v>5</v>
      </c>
      <c r="D2822">
        <v>46320</v>
      </c>
    </row>
    <row r="2823" spans="1:4" x14ac:dyDescent="0.4">
      <c r="A2823" s="1" t="s">
        <v>5500</v>
      </c>
      <c r="B2823" t="s">
        <v>5501</v>
      </c>
      <c r="C2823" t="s">
        <v>5</v>
      </c>
      <c r="D2823">
        <v>37200</v>
      </c>
    </row>
    <row r="2824" spans="1:4" x14ac:dyDescent="0.4">
      <c r="A2824" s="1" t="s">
        <v>5502</v>
      </c>
      <c r="B2824" t="s">
        <v>5503</v>
      </c>
      <c r="C2824" t="s">
        <v>5</v>
      </c>
      <c r="D2824">
        <v>13800</v>
      </c>
    </row>
    <row r="2825" spans="1:4" x14ac:dyDescent="0.4">
      <c r="A2825" s="1" t="s">
        <v>5504</v>
      </c>
      <c r="B2825" t="s">
        <v>5505</v>
      </c>
      <c r="C2825" t="s">
        <v>5</v>
      </c>
      <c r="D2825">
        <v>42500</v>
      </c>
    </row>
    <row r="2826" spans="1:4" x14ac:dyDescent="0.4">
      <c r="A2826" s="1" t="s">
        <v>5506</v>
      </c>
      <c r="B2826" t="s">
        <v>5507</v>
      </c>
      <c r="C2826" t="s">
        <v>5</v>
      </c>
      <c r="D2826">
        <v>34100</v>
      </c>
    </row>
    <row r="2827" spans="1:4" x14ac:dyDescent="0.4">
      <c r="A2827" s="1" t="s">
        <v>5508</v>
      </c>
      <c r="B2827" t="s">
        <v>5509</v>
      </c>
      <c r="C2827" t="s">
        <v>5</v>
      </c>
      <c r="D2827">
        <v>55000</v>
      </c>
    </row>
    <row r="2828" spans="1:4" x14ac:dyDescent="0.4">
      <c r="A2828" s="1" t="s">
        <v>5510</v>
      </c>
      <c r="B2828" t="s">
        <v>5511</v>
      </c>
      <c r="C2828" t="s">
        <v>5</v>
      </c>
      <c r="D2828">
        <v>35500</v>
      </c>
    </row>
    <row r="2829" spans="1:4" x14ac:dyDescent="0.4">
      <c r="A2829" s="1" t="s">
        <v>5512</v>
      </c>
      <c r="B2829" t="s">
        <v>5513</v>
      </c>
      <c r="C2829" t="s">
        <v>5</v>
      </c>
      <c r="D2829">
        <v>45000</v>
      </c>
    </row>
    <row r="2830" spans="1:4" x14ac:dyDescent="0.4">
      <c r="A2830" s="1" t="s">
        <v>5514</v>
      </c>
      <c r="B2830" t="s">
        <v>5515</v>
      </c>
      <c r="C2830" t="s">
        <v>5</v>
      </c>
      <c r="D2830">
        <v>43800</v>
      </c>
    </row>
    <row r="2831" spans="1:4" x14ac:dyDescent="0.4">
      <c r="A2831" s="1" t="s">
        <v>5516</v>
      </c>
      <c r="B2831" t="s">
        <v>5517</v>
      </c>
      <c r="C2831" t="s">
        <v>5</v>
      </c>
      <c r="D2831">
        <v>97130</v>
      </c>
    </row>
    <row r="2832" spans="1:4" x14ac:dyDescent="0.4">
      <c r="A2832" s="1" t="s">
        <v>5518</v>
      </c>
      <c r="B2832" t="s">
        <v>5519</v>
      </c>
      <c r="C2832" t="s">
        <v>5</v>
      </c>
      <c r="D2832">
        <v>76250</v>
      </c>
    </row>
    <row r="2833" spans="1:4" x14ac:dyDescent="0.4">
      <c r="A2833" s="1" t="s">
        <v>5520</v>
      </c>
      <c r="B2833" t="s">
        <v>5521</v>
      </c>
      <c r="C2833" t="s">
        <v>5</v>
      </c>
      <c r="D2833">
        <v>43800</v>
      </c>
    </row>
    <row r="2834" spans="1:4" x14ac:dyDescent="0.4">
      <c r="A2834" s="1" t="s">
        <v>5522</v>
      </c>
      <c r="B2834" t="s">
        <v>5523</v>
      </c>
      <c r="C2834" t="s">
        <v>5</v>
      </c>
      <c r="D2834">
        <v>102400</v>
      </c>
    </row>
    <row r="2835" spans="1:4" x14ac:dyDescent="0.4">
      <c r="A2835" s="1" t="s">
        <v>5524</v>
      </c>
      <c r="B2835" t="s">
        <v>5525</v>
      </c>
      <c r="C2835" t="s">
        <v>5</v>
      </c>
      <c r="D2835">
        <v>29900</v>
      </c>
    </row>
    <row r="2836" spans="1:4" x14ac:dyDescent="0.4">
      <c r="A2836" s="1" t="s">
        <v>5526</v>
      </c>
      <c r="B2836" t="s">
        <v>5527</v>
      </c>
    </row>
    <row r="2837" spans="1:4" x14ac:dyDescent="0.4">
      <c r="A2837" s="1" t="s">
        <v>5528</v>
      </c>
      <c r="B2837" t="s">
        <v>5529</v>
      </c>
    </row>
    <row r="2838" spans="1:4" x14ac:dyDescent="0.4">
      <c r="A2838" s="1" t="s">
        <v>5530</v>
      </c>
      <c r="B2838" t="s">
        <v>5531</v>
      </c>
    </row>
    <row r="2839" spans="1:4" x14ac:dyDescent="0.4">
      <c r="A2839" s="1" t="s">
        <v>5532</v>
      </c>
      <c r="B2839" t="s">
        <v>5533</v>
      </c>
    </row>
    <row r="2840" spans="1:4" x14ac:dyDescent="0.4">
      <c r="A2840" s="1" t="s">
        <v>5534</v>
      </c>
      <c r="B2840" t="s">
        <v>5535</v>
      </c>
    </row>
    <row r="2841" spans="1:4" x14ac:dyDescent="0.4">
      <c r="A2841" s="1" t="s">
        <v>5536</v>
      </c>
      <c r="B2841" t="s">
        <v>5537</v>
      </c>
    </row>
    <row r="2842" spans="1:4" x14ac:dyDescent="0.4">
      <c r="A2842" s="1" t="s">
        <v>5538</v>
      </c>
      <c r="B2842" t="s">
        <v>5539</v>
      </c>
    </row>
    <row r="2843" spans="1:4" x14ac:dyDescent="0.4">
      <c r="A2843" s="1" t="s">
        <v>5540</v>
      </c>
      <c r="B2843" t="s">
        <v>5541</v>
      </c>
    </row>
    <row r="2844" spans="1:4" x14ac:dyDescent="0.4">
      <c r="A2844" s="1" t="s">
        <v>5542</v>
      </c>
      <c r="B2844" t="s">
        <v>5543</v>
      </c>
    </row>
    <row r="2845" spans="1:4" x14ac:dyDescent="0.4">
      <c r="A2845" s="1" t="s">
        <v>5544</v>
      </c>
      <c r="B2845" t="s">
        <v>5545</v>
      </c>
      <c r="C2845" t="s">
        <v>5</v>
      </c>
    </row>
    <row r="2846" spans="1:4" x14ac:dyDescent="0.4">
      <c r="A2846" s="1" t="s">
        <v>5546</v>
      </c>
      <c r="B2846" t="s">
        <v>5547</v>
      </c>
      <c r="C2846" t="s">
        <v>5</v>
      </c>
    </row>
    <row r="2847" spans="1:4" x14ac:dyDescent="0.4">
      <c r="A2847" s="1" t="s">
        <v>5548</v>
      </c>
      <c r="B2847" t="s">
        <v>5549</v>
      </c>
      <c r="C2847" t="s">
        <v>5</v>
      </c>
    </row>
    <row r="2848" spans="1:4" x14ac:dyDescent="0.4">
      <c r="A2848" s="1" t="s">
        <v>5550</v>
      </c>
      <c r="B2848" t="s">
        <v>5551</v>
      </c>
      <c r="C2848" t="s">
        <v>5</v>
      </c>
    </row>
    <row r="2849" spans="1:3" x14ac:dyDescent="0.4">
      <c r="A2849" s="1" t="s">
        <v>5552</v>
      </c>
      <c r="B2849" t="s">
        <v>5553</v>
      </c>
      <c r="C2849" t="s">
        <v>5</v>
      </c>
    </row>
    <row r="2850" spans="1:3" x14ac:dyDescent="0.4">
      <c r="A2850" s="1" t="s">
        <v>5554</v>
      </c>
      <c r="B2850" t="s">
        <v>5555</v>
      </c>
      <c r="C2850" t="s">
        <v>5</v>
      </c>
    </row>
    <row r="2851" spans="1:3" x14ac:dyDescent="0.4">
      <c r="A2851" s="1" t="s">
        <v>5556</v>
      </c>
      <c r="B2851" t="s">
        <v>5557</v>
      </c>
      <c r="C2851" t="s">
        <v>5</v>
      </c>
    </row>
    <row r="2852" spans="1:3" x14ac:dyDescent="0.4">
      <c r="A2852" s="1" t="s">
        <v>5558</v>
      </c>
      <c r="B2852" t="s">
        <v>5559</v>
      </c>
      <c r="C2852" t="s">
        <v>5</v>
      </c>
    </row>
    <row r="2853" spans="1:3" x14ac:dyDescent="0.4">
      <c r="A2853" s="1" t="s">
        <v>5560</v>
      </c>
      <c r="B2853" t="s">
        <v>5561</v>
      </c>
      <c r="C2853" t="s">
        <v>5</v>
      </c>
    </row>
    <row r="2854" spans="1:3" x14ac:dyDescent="0.4">
      <c r="A2854" s="1" t="s">
        <v>5562</v>
      </c>
      <c r="B2854" t="s">
        <v>5563</v>
      </c>
      <c r="C2854" t="s">
        <v>5</v>
      </c>
    </row>
    <row r="2855" spans="1:3" x14ac:dyDescent="0.4">
      <c r="A2855" s="1" t="s">
        <v>5564</v>
      </c>
      <c r="B2855" t="s">
        <v>5565</v>
      </c>
      <c r="C2855" t="s">
        <v>5</v>
      </c>
    </row>
    <row r="2856" spans="1:3" x14ac:dyDescent="0.4">
      <c r="A2856" s="1" t="s">
        <v>5566</v>
      </c>
      <c r="B2856" t="s">
        <v>5567</v>
      </c>
      <c r="C2856" t="s">
        <v>5</v>
      </c>
    </row>
    <row r="2857" spans="1:3" x14ac:dyDescent="0.4">
      <c r="A2857" s="1" t="s">
        <v>5568</v>
      </c>
      <c r="B2857" t="s">
        <v>5569</v>
      </c>
      <c r="C2857" t="s">
        <v>5</v>
      </c>
    </row>
    <row r="2858" spans="1:3" x14ac:dyDescent="0.4">
      <c r="A2858" s="1" t="s">
        <v>5570</v>
      </c>
      <c r="B2858" t="s">
        <v>5571</v>
      </c>
      <c r="C2858" t="s">
        <v>5</v>
      </c>
    </row>
    <row r="2859" spans="1:3" x14ac:dyDescent="0.4">
      <c r="A2859" s="1" t="s">
        <v>5572</v>
      </c>
      <c r="B2859" t="s">
        <v>5573</v>
      </c>
      <c r="C2859" t="s">
        <v>5</v>
      </c>
    </row>
    <row r="2860" spans="1:3" x14ac:dyDescent="0.4">
      <c r="A2860" s="1" t="s">
        <v>5574</v>
      </c>
      <c r="B2860" t="s">
        <v>5575</v>
      </c>
      <c r="C2860" t="s">
        <v>5</v>
      </c>
    </row>
    <row r="2861" spans="1:3" x14ac:dyDescent="0.4">
      <c r="A2861" s="1" t="s">
        <v>5576</v>
      </c>
      <c r="B2861" t="s">
        <v>5577</v>
      </c>
      <c r="C2861" t="s">
        <v>5</v>
      </c>
    </row>
    <row r="2862" spans="1:3" x14ac:dyDescent="0.4">
      <c r="A2862" s="1" t="s">
        <v>5578</v>
      </c>
      <c r="B2862" t="s">
        <v>5579</v>
      </c>
      <c r="C2862" t="s">
        <v>5</v>
      </c>
    </row>
    <row r="2863" spans="1:3" x14ac:dyDescent="0.4">
      <c r="A2863" s="1" t="s">
        <v>5580</v>
      </c>
      <c r="B2863" t="s">
        <v>5581</v>
      </c>
      <c r="C2863" t="s">
        <v>5</v>
      </c>
    </row>
    <row r="2864" spans="1:3" x14ac:dyDescent="0.4">
      <c r="A2864" s="1" t="s">
        <v>5582</v>
      </c>
      <c r="B2864" t="s">
        <v>5583</v>
      </c>
      <c r="C2864" t="s">
        <v>5</v>
      </c>
    </row>
    <row r="2865" spans="1:3" x14ac:dyDescent="0.4">
      <c r="A2865" s="1" t="s">
        <v>5584</v>
      </c>
      <c r="B2865" t="s">
        <v>5585</v>
      </c>
      <c r="C2865" t="s">
        <v>5</v>
      </c>
    </row>
    <row r="2866" spans="1:3" x14ac:dyDescent="0.4">
      <c r="A2866" s="1" t="s">
        <v>5586</v>
      </c>
      <c r="B2866" t="s">
        <v>5587</v>
      </c>
      <c r="C2866" t="s">
        <v>5</v>
      </c>
    </row>
    <row r="2867" spans="1:3" x14ac:dyDescent="0.4">
      <c r="A2867" s="1" t="s">
        <v>5588</v>
      </c>
      <c r="B2867" t="s">
        <v>5589</v>
      </c>
      <c r="C2867" t="s">
        <v>5</v>
      </c>
    </row>
    <row r="2868" spans="1:3" x14ac:dyDescent="0.4">
      <c r="A2868" s="1" t="s">
        <v>5590</v>
      </c>
      <c r="B2868" t="s">
        <v>5591</v>
      </c>
      <c r="C2868" t="s">
        <v>5</v>
      </c>
    </row>
    <row r="2869" spans="1:3" x14ac:dyDescent="0.4">
      <c r="A2869" s="1" t="s">
        <v>5592</v>
      </c>
      <c r="B2869" t="s">
        <v>5593</v>
      </c>
      <c r="C2869" t="s">
        <v>5</v>
      </c>
    </row>
    <row r="2870" spans="1:3" x14ac:dyDescent="0.4">
      <c r="A2870" s="1" t="s">
        <v>5594</v>
      </c>
      <c r="B2870" t="s">
        <v>5595</v>
      </c>
      <c r="C2870" t="s">
        <v>5</v>
      </c>
    </row>
    <row r="2871" spans="1:3" x14ac:dyDescent="0.4">
      <c r="A2871" s="1" t="s">
        <v>5596</v>
      </c>
      <c r="B2871" t="s">
        <v>5597</v>
      </c>
      <c r="C2871" t="s">
        <v>5</v>
      </c>
    </row>
    <row r="2872" spans="1:3" x14ac:dyDescent="0.4">
      <c r="A2872" s="1" t="s">
        <v>5598</v>
      </c>
      <c r="B2872" t="s">
        <v>5599</v>
      </c>
      <c r="C2872" t="s">
        <v>5</v>
      </c>
    </row>
    <row r="2873" spans="1:3" x14ac:dyDescent="0.4">
      <c r="A2873" s="1" t="s">
        <v>5600</v>
      </c>
      <c r="B2873" t="s">
        <v>5601</v>
      </c>
      <c r="C2873" t="s">
        <v>5</v>
      </c>
    </row>
    <row r="2874" spans="1:3" x14ac:dyDescent="0.4">
      <c r="A2874" s="1" t="s">
        <v>5602</v>
      </c>
      <c r="B2874" t="s">
        <v>5603</v>
      </c>
      <c r="C2874" t="s">
        <v>5</v>
      </c>
    </row>
    <row r="2875" spans="1:3" x14ac:dyDescent="0.4">
      <c r="A2875" s="1" t="s">
        <v>5604</v>
      </c>
      <c r="B2875" t="s">
        <v>5605</v>
      </c>
      <c r="C2875" t="s">
        <v>5</v>
      </c>
    </row>
    <row r="2876" spans="1:3" x14ac:dyDescent="0.4">
      <c r="A2876" s="1" t="s">
        <v>5606</v>
      </c>
      <c r="B2876" t="s">
        <v>5607</v>
      </c>
      <c r="C2876" t="s">
        <v>5</v>
      </c>
    </row>
    <row r="2877" spans="1:3" x14ac:dyDescent="0.4">
      <c r="A2877" s="1" t="s">
        <v>5608</v>
      </c>
      <c r="B2877" t="s">
        <v>5609</v>
      </c>
      <c r="C2877" t="s">
        <v>5</v>
      </c>
    </row>
    <row r="2878" spans="1:3" x14ac:dyDescent="0.4">
      <c r="A2878" s="1" t="s">
        <v>5610</v>
      </c>
      <c r="B2878" t="s">
        <v>5611</v>
      </c>
      <c r="C2878" t="s">
        <v>5</v>
      </c>
    </row>
    <row r="2879" spans="1:3" x14ac:dyDescent="0.4">
      <c r="A2879" s="1" t="s">
        <v>5612</v>
      </c>
      <c r="B2879" t="s">
        <v>5613</v>
      </c>
      <c r="C2879" t="s">
        <v>5</v>
      </c>
    </row>
    <row r="2880" spans="1:3" x14ac:dyDescent="0.4">
      <c r="A2880" s="1" t="s">
        <v>5614</v>
      </c>
      <c r="B2880" t="s">
        <v>5615</v>
      </c>
      <c r="C2880" t="s">
        <v>5</v>
      </c>
    </row>
    <row r="2881" spans="1:3" x14ac:dyDescent="0.4">
      <c r="A2881" s="1" t="s">
        <v>5616</v>
      </c>
      <c r="B2881" t="s">
        <v>5617</v>
      </c>
      <c r="C2881" t="s">
        <v>5</v>
      </c>
    </row>
    <row r="2882" spans="1:3" x14ac:dyDescent="0.4">
      <c r="A2882" s="1" t="s">
        <v>5618</v>
      </c>
      <c r="B2882" t="s">
        <v>5619</v>
      </c>
      <c r="C2882" t="s">
        <v>5</v>
      </c>
    </row>
    <row r="2883" spans="1:3" x14ac:dyDescent="0.4">
      <c r="A2883" s="1" t="s">
        <v>5620</v>
      </c>
      <c r="B2883" t="s">
        <v>5621</v>
      </c>
      <c r="C2883" t="s">
        <v>5</v>
      </c>
    </row>
    <row r="2884" spans="1:3" x14ac:dyDescent="0.4">
      <c r="A2884" s="1" t="s">
        <v>5622</v>
      </c>
      <c r="B2884" t="s">
        <v>5623</v>
      </c>
      <c r="C2884" t="s">
        <v>5</v>
      </c>
    </row>
    <row r="2885" spans="1:3" x14ac:dyDescent="0.4">
      <c r="A2885" s="1" t="s">
        <v>5624</v>
      </c>
      <c r="B2885" t="s">
        <v>5625</v>
      </c>
      <c r="C2885" t="s">
        <v>5</v>
      </c>
    </row>
    <row r="2886" spans="1:3" x14ac:dyDescent="0.4">
      <c r="A2886" s="1" t="s">
        <v>5626</v>
      </c>
      <c r="B2886" t="s">
        <v>5627</v>
      </c>
      <c r="C2886" t="s">
        <v>5</v>
      </c>
    </row>
    <row r="2887" spans="1:3" x14ac:dyDescent="0.4">
      <c r="A2887" s="1" t="s">
        <v>5628</v>
      </c>
      <c r="B2887" t="s">
        <v>5629</v>
      </c>
      <c r="C2887" t="s">
        <v>5</v>
      </c>
    </row>
    <row r="2888" spans="1:3" x14ac:dyDescent="0.4">
      <c r="A2888" s="1" t="s">
        <v>5630</v>
      </c>
      <c r="B2888" t="s">
        <v>5631</v>
      </c>
      <c r="C2888" t="s">
        <v>5</v>
      </c>
    </row>
    <row r="2889" spans="1:3" x14ac:dyDescent="0.4">
      <c r="A2889" s="1" t="s">
        <v>5632</v>
      </c>
      <c r="B2889" t="s">
        <v>5633</v>
      </c>
      <c r="C2889" t="s">
        <v>5</v>
      </c>
    </row>
    <row r="2890" spans="1:3" x14ac:dyDescent="0.4">
      <c r="A2890" s="1" t="s">
        <v>5634</v>
      </c>
      <c r="B2890" t="s">
        <v>5635</v>
      </c>
      <c r="C2890" t="s">
        <v>5</v>
      </c>
    </row>
    <row r="2891" spans="1:3" x14ac:dyDescent="0.4">
      <c r="A2891" s="1" t="s">
        <v>5636</v>
      </c>
      <c r="B2891" t="s">
        <v>5637</v>
      </c>
      <c r="C2891" t="s">
        <v>5</v>
      </c>
    </row>
    <row r="2892" spans="1:3" x14ac:dyDescent="0.4">
      <c r="A2892" s="1" t="s">
        <v>5638</v>
      </c>
      <c r="B2892" t="s">
        <v>5639</v>
      </c>
      <c r="C2892" t="s">
        <v>5</v>
      </c>
    </row>
    <row r="2893" spans="1:3" x14ac:dyDescent="0.4">
      <c r="A2893" s="1" t="s">
        <v>5640</v>
      </c>
      <c r="B2893" t="s">
        <v>5641</v>
      </c>
      <c r="C2893" t="s">
        <v>5</v>
      </c>
    </row>
    <row r="2894" spans="1:3" x14ac:dyDescent="0.4">
      <c r="A2894" s="1" t="s">
        <v>5642</v>
      </c>
      <c r="B2894" t="s">
        <v>5643</v>
      </c>
      <c r="C2894" t="s">
        <v>5</v>
      </c>
    </row>
    <row r="2895" spans="1:3" x14ac:dyDescent="0.4">
      <c r="A2895" s="1" t="s">
        <v>5644</v>
      </c>
      <c r="B2895" t="s">
        <v>5645</v>
      </c>
      <c r="C2895" t="s">
        <v>5</v>
      </c>
    </row>
    <row r="2896" spans="1:3" x14ac:dyDescent="0.4">
      <c r="A2896" s="1" t="s">
        <v>5646</v>
      </c>
      <c r="B2896" t="s">
        <v>5647</v>
      </c>
      <c r="C2896" t="s">
        <v>5</v>
      </c>
    </row>
    <row r="2897" spans="1:4" x14ac:dyDescent="0.4">
      <c r="A2897" s="1" t="s">
        <v>5648</v>
      </c>
      <c r="B2897" t="s">
        <v>5649</v>
      </c>
      <c r="C2897" t="s">
        <v>5</v>
      </c>
    </row>
    <row r="2898" spans="1:4" x14ac:dyDescent="0.4">
      <c r="A2898" s="1" t="s">
        <v>5650</v>
      </c>
      <c r="B2898" t="s">
        <v>5651</v>
      </c>
      <c r="C2898" t="s">
        <v>5</v>
      </c>
    </row>
    <row r="2899" spans="1:4" x14ac:dyDescent="0.4">
      <c r="A2899" s="1" t="s">
        <v>5652</v>
      </c>
      <c r="B2899" t="s">
        <v>5653</v>
      </c>
      <c r="C2899" t="s">
        <v>5</v>
      </c>
    </row>
    <row r="2900" spans="1:4" x14ac:dyDescent="0.4">
      <c r="A2900" s="1" t="s">
        <v>5654</v>
      </c>
      <c r="B2900" t="s">
        <v>5655</v>
      </c>
      <c r="C2900" t="s">
        <v>5</v>
      </c>
    </row>
    <row r="2901" spans="1:4" x14ac:dyDescent="0.4">
      <c r="A2901" s="1" t="s">
        <v>5656</v>
      </c>
      <c r="B2901" t="s">
        <v>5657</v>
      </c>
      <c r="C2901" t="s">
        <v>5</v>
      </c>
    </row>
    <row r="2902" spans="1:4" x14ac:dyDescent="0.4">
      <c r="A2902" s="1" t="s">
        <v>5658</v>
      </c>
      <c r="B2902" t="s">
        <v>5659</v>
      </c>
      <c r="C2902" t="s">
        <v>5</v>
      </c>
    </row>
    <row r="2903" spans="1:4" x14ac:dyDescent="0.4">
      <c r="A2903" s="1" t="s">
        <v>5660</v>
      </c>
      <c r="B2903" t="s">
        <v>5661</v>
      </c>
      <c r="C2903" t="s">
        <v>5</v>
      </c>
    </row>
    <row r="2904" spans="1:4" x14ac:dyDescent="0.4">
      <c r="A2904" s="1" t="s">
        <v>5662</v>
      </c>
      <c r="B2904" t="s">
        <v>5663</v>
      </c>
      <c r="C2904" t="s">
        <v>5</v>
      </c>
    </row>
    <row r="2905" spans="1:4" x14ac:dyDescent="0.4">
      <c r="A2905" s="1" t="s">
        <v>5664</v>
      </c>
      <c r="B2905" t="s">
        <v>5665</v>
      </c>
      <c r="C2905" t="s">
        <v>5</v>
      </c>
    </row>
    <row r="2906" spans="1:4" x14ac:dyDescent="0.4">
      <c r="A2906" s="1" t="s">
        <v>5666</v>
      </c>
      <c r="B2906" t="s">
        <v>5667</v>
      </c>
      <c r="C2906" t="s">
        <v>5</v>
      </c>
    </row>
    <row r="2907" spans="1:4" x14ac:dyDescent="0.4">
      <c r="A2907" s="1" t="s">
        <v>5668</v>
      </c>
      <c r="B2907" t="s">
        <v>5669</v>
      </c>
      <c r="C2907" t="s">
        <v>5</v>
      </c>
      <c r="D2907">
        <v>6050</v>
      </c>
    </row>
    <row r="2908" spans="1:4" x14ac:dyDescent="0.4">
      <c r="A2908" s="1" t="s">
        <v>5670</v>
      </c>
      <c r="B2908" t="s">
        <v>5671</v>
      </c>
      <c r="C2908" t="s">
        <v>5</v>
      </c>
      <c r="D2908">
        <v>9350</v>
      </c>
    </row>
    <row r="2909" spans="1:4" x14ac:dyDescent="0.4">
      <c r="A2909" s="1" t="s">
        <v>5672</v>
      </c>
      <c r="B2909" t="s">
        <v>5673</v>
      </c>
      <c r="C2909" t="s">
        <v>5674</v>
      </c>
      <c r="D2909">
        <v>20800</v>
      </c>
    </row>
    <row r="2910" spans="1:4" x14ac:dyDescent="0.4">
      <c r="A2910" s="1" t="s">
        <v>5675</v>
      </c>
      <c r="B2910" t="s">
        <v>5676</v>
      </c>
      <c r="D2910">
        <v>7700</v>
      </c>
    </row>
    <row r="2911" spans="1:4" x14ac:dyDescent="0.4">
      <c r="A2911" s="1" t="s">
        <v>5677</v>
      </c>
      <c r="B2911" t="s">
        <v>5678</v>
      </c>
    </row>
    <row r="2912" spans="1:4" x14ac:dyDescent="0.4">
      <c r="A2912" s="1" t="s">
        <v>5679</v>
      </c>
      <c r="B2912" t="s">
        <v>5680</v>
      </c>
      <c r="C2912" t="s">
        <v>5</v>
      </c>
      <c r="D2912">
        <v>22000</v>
      </c>
    </row>
    <row r="2913" spans="1:4" x14ac:dyDescent="0.4">
      <c r="A2913" s="1" t="s">
        <v>5681</v>
      </c>
      <c r="B2913" t="s">
        <v>5682</v>
      </c>
      <c r="C2913" t="s">
        <v>5</v>
      </c>
      <c r="D2913">
        <v>22000</v>
      </c>
    </row>
    <row r="2914" spans="1:4" x14ac:dyDescent="0.4">
      <c r="A2914" s="1" t="s">
        <v>5683</v>
      </c>
      <c r="B2914" t="s">
        <v>5684</v>
      </c>
      <c r="C2914" t="s">
        <v>5</v>
      </c>
      <c r="D2914">
        <v>50000</v>
      </c>
    </row>
    <row r="2915" spans="1:4" x14ac:dyDescent="0.4">
      <c r="A2915" s="1" t="s">
        <v>5685</v>
      </c>
      <c r="B2915" t="s">
        <v>5686</v>
      </c>
      <c r="C2915" t="s">
        <v>5</v>
      </c>
      <c r="D2915">
        <v>30000</v>
      </c>
    </row>
    <row r="2916" spans="1:4" x14ac:dyDescent="0.4">
      <c r="A2916" s="1" t="s">
        <v>5687</v>
      </c>
      <c r="B2916" t="s">
        <v>5688</v>
      </c>
      <c r="C2916" t="s">
        <v>5</v>
      </c>
      <c r="D2916">
        <v>40000</v>
      </c>
    </row>
    <row r="2917" spans="1:4" x14ac:dyDescent="0.4">
      <c r="A2917" s="1" t="s">
        <v>5689</v>
      </c>
      <c r="B2917" t="s">
        <v>5690</v>
      </c>
      <c r="C2917" t="s">
        <v>5</v>
      </c>
      <c r="D2917">
        <v>30000</v>
      </c>
    </row>
    <row r="2918" spans="1:4" x14ac:dyDescent="0.4">
      <c r="A2918" s="1" t="s">
        <v>5691</v>
      </c>
      <c r="B2918" t="s">
        <v>5692</v>
      </c>
      <c r="C2918" t="s">
        <v>5</v>
      </c>
      <c r="D2918">
        <v>40000</v>
      </c>
    </row>
    <row r="2919" spans="1:4" x14ac:dyDescent="0.4">
      <c r="A2919" s="1" t="s">
        <v>5693</v>
      </c>
      <c r="B2919" t="s">
        <v>5694</v>
      </c>
      <c r="C2919" t="s">
        <v>5</v>
      </c>
      <c r="D2919">
        <v>30000</v>
      </c>
    </row>
    <row r="2920" spans="1:4" x14ac:dyDescent="0.4">
      <c r="A2920" s="1" t="s">
        <v>5695</v>
      </c>
      <c r="B2920" t="s">
        <v>5696</v>
      </c>
      <c r="C2920" t="s">
        <v>5</v>
      </c>
      <c r="D2920">
        <v>45000</v>
      </c>
    </row>
    <row r="2921" spans="1:4" x14ac:dyDescent="0.4">
      <c r="A2921" s="1" t="s">
        <v>5697</v>
      </c>
      <c r="B2921" t="e">
        <f>-終息-EPSON LPA4ETC7 ﾄﾅｰｶｰﾄﾘｯｼﾞ</f>
        <v>#NAME?</v>
      </c>
      <c r="C2921" t="s">
        <v>5</v>
      </c>
      <c r="D2921">
        <v>10500</v>
      </c>
    </row>
    <row r="2922" spans="1:4" x14ac:dyDescent="0.4">
      <c r="A2922" s="1" t="s">
        <v>5698</v>
      </c>
      <c r="B2922" t="s">
        <v>5699</v>
      </c>
      <c r="C2922" t="s">
        <v>5</v>
      </c>
      <c r="D2922">
        <v>21000</v>
      </c>
    </row>
    <row r="2923" spans="1:4" x14ac:dyDescent="0.4">
      <c r="A2923" s="1" t="s">
        <v>5700</v>
      </c>
      <c r="B2923" t="e">
        <f>-終息-EPSON LPA4KUT4 感光体ﾕﾆｯﾄ</f>
        <v>#NAME?</v>
      </c>
      <c r="C2923" t="s">
        <v>5</v>
      </c>
      <c r="D2923">
        <v>10000</v>
      </c>
    </row>
    <row r="2924" spans="1:4" x14ac:dyDescent="0.4">
      <c r="A2924" s="1" t="s">
        <v>5701</v>
      </c>
      <c r="B2924" t="e">
        <f>-終息-EPSON LPA4MTU2 ﾒﾝﾃﾅﾝｽﾕﾆｯﾄ</f>
        <v>#NAME?</v>
      </c>
      <c r="C2924" t="s">
        <v>5</v>
      </c>
      <c r="D2924">
        <v>32500</v>
      </c>
    </row>
    <row r="2925" spans="1:4" x14ac:dyDescent="0.4">
      <c r="A2925" s="1" t="s">
        <v>5702</v>
      </c>
      <c r="B2925" t="s">
        <v>5703</v>
      </c>
      <c r="C2925" t="s">
        <v>5</v>
      </c>
      <c r="D2925">
        <v>32500</v>
      </c>
    </row>
    <row r="2926" spans="1:4" x14ac:dyDescent="0.4">
      <c r="A2926" s="1" t="s">
        <v>5704</v>
      </c>
      <c r="B2926" t="s">
        <v>5705</v>
      </c>
      <c r="C2926" t="s">
        <v>5</v>
      </c>
      <c r="D2926">
        <v>20000</v>
      </c>
    </row>
    <row r="2927" spans="1:4" x14ac:dyDescent="0.4">
      <c r="A2927" s="1" t="s">
        <v>5706</v>
      </c>
      <c r="B2927" t="s">
        <v>5707</v>
      </c>
      <c r="C2927" t="s">
        <v>5</v>
      </c>
      <c r="D2927">
        <v>21800</v>
      </c>
    </row>
    <row r="2928" spans="1:4" x14ac:dyDescent="0.4">
      <c r="A2928" s="1" t="s">
        <v>5708</v>
      </c>
      <c r="B2928" t="s">
        <v>5709</v>
      </c>
      <c r="C2928" t="s">
        <v>5</v>
      </c>
      <c r="D2928">
        <v>17800</v>
      </c>
    </row>
    <row r="2929" spans="1:4" x14ac:dyDescent="0.4">
      <c r="A2929" s="1" t="s">
        <v>5710</v>
      </c>
      <c r="B2929" t="e">
        <f>-在庫限り-EPSON LPB4T19S 環境推進トナー</f>
        <v>#NAME?</v>
      </c>
      <c r="C2929" t="s">
        <v>5</v>
      </c>
      <c r="D2929">
        <v>37600</v>
      </c>
    </row>
    <row r="2930" spans="1:4" x14ac:dyDescent="0.4">
      <c r="A2930" s="1" t="s">
        <v>5711</v>
      </c>
      <c r="B2930" t="s">
        <v>5712</v>
      </c>
      <c r="C2930" t="s">
        <v>5</v>
      </c>
      <c r="D2930">
        <v>35600</v>
      </c>
    </row>
    <row r="2931" spans="1:4" x14ac:dyDescent="0.4">
      <c r="A2931" s="1" t="s">
        <v>5713</v>
      </c>
      <c r="B2931" t="e">
        <f>-終息-EPSON LPB3T20V 環境推進トナー</f>
        <v>#NAME?</v>
      </c>
      <c r="C2931" t="s">
        <v>5</v>
      </c>
      <c r="D2931">
        <v>28500</v>
      </c>
    </row>
    <row r="2932" spans="1:4" x14ac:dyDescent="0.4">
      <c r="A2932" s="1" t="s">
        <v>5714</v>
      </c>
      <c r="B2932" t="s">
        <v>5715</v>
      </c>
      <c r="C2932" t="s">
        <v>5</v>
      </c>
      <c r="D2932">
        <v>47500</v>
      </c>
    </row>
    <row r="2933" spans="1:4" x14ac:dyDescent="0.4">
      <c r="A2933" s="1" t="s">
        <v>5716</v>
      </c>
      <c r="B2933" t="s">
        <v>5717</v>
      </c>
      <c r="C2933" t="s">
        <v>5</v>
      </c>
      <c r="D2933">
        <v>38000</v>
      </c>
    </row>
    <row r="2934" spans="1:4" x14ac:dyDescent="0.4">
      <c r="A2934" s="1" t="s">
        <v>5718</v>
      </c>
      <c r="B2934" t="e">
        <f>-終息-EPSON LPB3T22 ﾄﾅｰｶｰﾄﾘｯｼﾞ</f>
        <v>#NAME?</v>
      </c>
      <c r="C2934" t="s">
        <v>5</v>
      </c>
      <c r="D2934">
        <v>34500</v>
      </c>
    </row>
    <row r="2935" spans="1:4" x14ac:dyDescent="0.4">
      <c r="A2935" s="1" t="s">
        <v>5719</v>
      </c>
      <c r="B2935" t="e">
        <f>-終息-EPSON LPB3T22V 環境推進トナー</f>
        <v>#NAME?</v>
      </c>
      <c r="C2935" t="s">
        <v>5</v>
      </c>
      <c r="D2935">
        <v>28500</v>
      </c>
    </row>
    <row r="2936" spans="1:4" x14ac:dyDescent="0.4">
      <c r="A2936" s="1" t="s">
        <v>5720</v>
      </c>
      <c r="B2936" t="e">
        <f>-終息-EPSON LPB3T23 ﾄﾅｰｶｰﾄﾘｯｼﾞ</f>
        <v>#NAME?</v>
      </c>
      <c r="C2936" t="s">
        <v>5</v>
      </c>
      <c r="D2936">
        <v>51800</v>
      </c>
    </row>
    <row r="2937" spans="1:4" x14ac:dyDescent="0.4">
      <c r="A2937" s="1" t="s">
        <v>5721</v>
      </c>
      <c r="B2937" t="e">
        <f>-終息-EPSON LPB3T23V 環境推進トナー</f>
        <v>#NAME?</v>
      </c>
      <c r="C2937" t="s">
        <v>5</v>
      </c>
      <c r="D2937">
        <v>42800</v>
      </c>
    </row>
    <row r="2938" spans="1:4" x14ac:dyDescent="0.4">
      <c r="A2938" s="1" t="s">
        <v>5722</v>
      </c>
      <c r="B2938" t="s">
        <v>5723</v>
      </c>
      <c r="C2938" t="s">
        <v>5</v>
      </c>
      <c r="D2938">
        <v>37400</v>
      </c>
    </row>
    <row r="2939" spans="1:4" x14ac:dyDescent="0.4">
      <c r="A2939" s="1" t="s">
        <v>5724</v>
      </c>
      <c r="B2939" t="s">
        <v>5725</v>
      </c>
      <c r="C2939" t="s">
        <v>5</v>
      </c>
      <c r="D2939">
        <v>30000</v>
      </c>
    </row>
    <row r="2940" spans="1:4" x14ac:dyDescent="0.4">
      <c r="A2940" s="1" t="s">
        <v>5726</v>
      </c>
      <c r="B2940" t="s">
        <v>5727</v>
      </c>
      <c r="C2940" t="s">
        <v>5</v>
      </c>
      <c r="D2940">
        <v>49900</v>
      </c>
    </row>
    <row r="2941" spans="1:4" x14ac:dyDescent="0.4">
      <c r="A2941" s="1" t="s">
        <v>5728</v>
      </c>
      <c r="B2941" t="s">
        <v>5729</v>
      </c>
      <c r="C2941" t="s">
        <v>5</v>
      </c>
      <c r="D2941">
        <v>39900</v>
      </c>
    </row>
    <row r="2942" spans="1:4" x14ac:dyDescent="0.4">
      <c r="A2942" s="1" t="s">
        <v>5730</v>
      </c>
      <c r="B2942" t="s">
        <v>5731</v>
      </c>
      <c r="C2942" t="s">
        <v>5</v>
      </c>
      <c r="D2942">
        <v>36300</v>
      </c>
    </row>
    <row r="2943" spans="1:4" x14ac:dyDescent="0.4">
      <c r="A2943" s="1" t="s">
        <v>5732</v>
      </c>
      <c r="B2943" t="s">
        <v>5733</v>
      </c>
      <c r="C2943" t="s">
        <v>5</v>
      </c>
      <c r="D2943">
        <v>30100</v>
      </c>
    </row>
    <row r="2944" spans="1:4" x14ac:dyDescent="0.4">
      <c r="A2944" s="1" t="s">
        <v>5734</v>
      </c>
      <c r="B2944" t="s">
        <v>5735</v>
      </c>
      <c r="C2944" t="s">
        <v>5</v>
      </c>
      <c r="D2944">
        <v>56600</v>
      </c>
    </row>
    <row r="2945" spans="1:4" x14ac:dyDescent="0.4">
      <c r="A2945" s="1" t="s">
        <v>5736</v>
      </c>
      <c r="B2945" t="s">
        <v>5737</v>
      </c>
      <c r="C2945" t="s">
        <v>5</v>
      </c>
      <c r="D2945">
        <v>47100</v>
      </c>
    </row>
    <row r="2946" spans="1:4" x14ac:dyDescent="0.4">
      <c r="A2946" s="1" t="s">
        <v>5738</v>
      </c>
      <c r="B2946" t="s">
        <v>5739</v>
      </c>
      <c r="C2946" t="s">
        <v>5</v>
      </c>
      <c r="D2946">
        <v>47100</v>
      </c>
    </row>
    <row r="2947" spans="1:4" x14ac:dyDescent="0.4">
      <c r="A2947" s="1" t="s">
        <v>5740</v>
      </c>
      <c r="B2947" t="s">
        <v>5741</v>
      </c>
      <c r="C2947" t="s">
        <v>5</v>
      </c>
      <c r="D2947">
        <v>38100</v>
      </c>
    </row>
    <row r="2948" spans="1:4" x14ac:dyDescent="0.4">
      <c r="A2948" s="1" t="s">
        <v>5742</v>
      </c>
      <c r="B2948" t="s">
        <v>5743</v>
      </c>
      <c r="C2948" t="s">
        <v>5</v>
      </c>
      <c r="D2948">
        <v>31000</v>
      </c>
    </row>
    <row r="2949" spans="1:4" x14ac:dyDescent="0.4">
      <c r="A2949" s="1" t="s">
        <v>5744</v>
      </c>
      <c r="B2949" t="s">
        <v>5745</v>
      </c>
      <c r="C2949" t="s">
        <v>5</v>
      </c>
      <c r="D2949">
        <v>71800</v>
      </c>
    </row>
    <row r="2950" spans="1:4" x14ac:dyDescent="0.4">
      <c r="A2950" s="1" t="s">
        <v>5746</v>
      </c>
      <c r="B2950" t="s">
        <v>5747</v>
      </c>
      <c r="C2950" t="s">
        <v>5</v>
      </c>
      <c r="D2950">
        <v>57000</v>
      </c>
    </row>
    <row r="2951" spans="1:4" x14ac:dyDescent="0.4">
      <c r="A2951" s="1" t="s">
        <v>5748</v>
      </c>
      <c r="B2951" t="s">
        <v>5749</v>
      </c>
      <c r="C2951" t="s">
        <v>5</v>
      </c>
      <c r="D2951">
        <v>57000</v>
      </c>
    </row>
    <row r="2952" spans="1:4" x14ac:dyDescent="0.4">
      <c r="A2952" s="1" t="s">
        <v>5750</v>
      </c>
      <c r="B2952" t="s">
        <v>5751</v>
      </c>
      <c r="C2952" t="s">
        <v>5</v>
      </c>
      <c r="D2952">
        <v>12600</v>
      </c>
    </row>
    <row r="2953" spans="1:4" x14ac:dyDescent="0.4">
      <c r="A2953" s="1" t="s">
        <v>5752</v>
      </c>
      <c r="B2953" t="s">
        <v>5753</v>
      </c>
      <c r="C2953" t="s">
        <v>5</v>
      </c>
      <c r="D2953">
        <v>38100</v>
      </c>
    </row>
    <row r="2954" spans="1:4" x14ac:dyDescent="0.4">
      <c r="A2954" s="1" t="s">
        <v>5754</v>
      </c>
      <c r="B2954" t="s">
        <v>5755</v>
      </c>
      <c r="C2954" t="s">
        <v>5</v>
      </c>
      <c r="D2954">
        <v>31000</v>
      </c>
    </row>
    <row r="2955" spans="1:4" x14ac:dyDescent="0.4">
      <c r="A2955" s="1" t="s">
        <v>5756</v>
      </c>
      <c r="B2955" t="s">
        <v>5757</v>
      </c>
      <c r="C2955" t="s">
        <v>5</v>
      </c>
      <c r="D2955">
        <v>71800</v>
      </c>
    </row>
    <row r="2956" spans="1:4" x14ac:dyDescent="0.4">
      <c r="A2956" s="1" t="s">
        <v>5758</v>
      </c>
      <c r="B2956" t="s">
        <v>5759</v>
      </c>
      <c r="C2956" t="s">
        <v>5</v>
      </c>
      <c r="D2956">
        <v>57000</v>
      </c>
    </row>
    <row r="2957" spans="1:4" x14ac:dyDescent="0.4">
      <c r="A2957" s="1" t="s">
        <v>5760</v>
      </c>
      <c r="B2957" t="s">
        <v>5761</v>
      </c>
      <c r="C2957" t="s">
        <v>5</v>
      </c>
      <c r="D2957">
        <v>57000</v>
      </c>
    </row>
    <row r="2958" spans="1:4" x14ac:dyDescent="0.4">
      <c r="A2958" s="1" t="s">
        <v>5762</v>
      </c>
      <c r="B2958" t="s">
        <v>5763</v>
      </c>
      <c r="C2958" t="s">
        <v>5</v>
      </c>
      <c r="D2958">
        <v>36300</v>
      </c>
    </row>
    <row r="2959" spans="1:4" x14ac:dyDescent="0.4">
      <c r="A2959" s="1" t="s">
        <v>5764</v>
      </c>
      <c r="B2959" t="s">
        <v>5765</v>
      </c>
      <c r="C2959" t="s">
        <v>5</v>
      </c>
      <c r="D2959">
        <v>30100</v>
      </c>
    </row>
    <row r="2960" spans="1:4" x14ac:dyDescent="0.4">
      <c r="A2960" s="1" t="s">
        <v>5766</v>
      </c>
      <c r="B2960" t="s">
        <v>5767</v>
      </c>
      <c r="C2960" t="s">
        <v>5</v>
      </c>
      <c r="D2960">
        <v>56600</v>
      </c>
    </row>
    <row r="2961" spans="1:4" x14ac:dyDescent="0.4">
      <c r="A2961" s="1" t="s">
        <v>5768</v>
      </c>
      <c r="B2961" t="s">
        <v>5769</v>
      </c>
      <c r="C2961" t="s">
        <v>5</v>
      </c>
      <c r="D2961">
        <v>47100</v>
      </c>
    </row>
    <row r="2962" spans="1:4" x14ac:dyDescent="0.4">
      <c r="A2962" s="1" t="s">
        <v>5770</v>
      </c>
      <c r="B2962" t="s">
        <v>5771</v>
      </c>
      <c r="C2962" t="s">
        <v>5</v>
      </c>
      <c r="D2962">
        <v>47100</v>
      </c>
    </row>
    <row r="2963" spans="1:4" x14ac:dyDescent="0.4">
      <c r="A2963" s="1" t="s">
        <v>5772</v>
      </c>
      <c r="B2963" t="s">
        <v>5773</v>
      </c>
      <c r="C2963" t="s">
        <v>5</v>
      </c>
      <c r="D2963">
        <v>24000</v>
      </c>
    </row>
    <row r="2964" spans="1:4" x14ac:dyDescent="0.4">
      <c r="A2964" s="1" t="s">
        <v>5774</v>
      </c>
      <c r="B2964" t="s">
        <v>5775</v>
      </c>
      <c r="C2964" t="s">
        <v>5</v>
      </c>
      <c r="D2964">
        <v>8400</v>
      </c>
    </row>
    <row r="2965" spans="1:4" x14ac:dyDescent="0.4">
      <c r="A2965" s="1" t="s">
        <v>5776</v>
      </c>
      <c r="B2965" t="s">
        <v>5777</v>
      </c>
      <c r="C2965" t="s">
        <v>5</v>
      </c>
      <c r="D2965">
        <v>8900</v>
      </c>
    </row>
    <row r="2966" spans="1:4" x14ac:dyDescent="0.4">
      <c r="A2966" s="1" t="s">
        <v>5778</v>
      </c>
      <c r="B2966" t="s">
        <v>5779</v>
      </c>
      <c r="C2966" t="s">
        <v>5</v>
      </c>
      <c r="D2966">
        <v>38000</v>
      </c>
    </row>
    <row r="2967" spans="1:4" x14ac:dyDescent="0.4">
      <c r="A2967" s="1" t="s">
        <v>5780</v>
      </c>
      <c r="B2967" t="s">
        <v>5781</v>
      </c>
      <c r="C2967" t="s">
        <v>5</v>
      </c>
      <c r="D2967">
        <v>30400</v>
      </c>
    </row>
    <row r="2968" spans="1:4" x14ac:dyDescent="0.4">
      <c r="A2968" s="1" t="s">
        <v>5782</v>
      </c>
      <c r="B2968" t="e">
        <f>-終息- EPSON LPB4T11 ﾄﾅｰｶｰﾄﾘｯｼﾞ</f>
        <v>#NAME?</v>
      </c>
      <c r="C2968" t="s">
        <v>5</v>
      </c>
      <c r="D2968">
        <v>6800</v>
      </c>
    </row>
    <row r="2969" spans="1:4" x14ac:dyDescent="0.4">
      <c r="A2969" s="1" t="s">
        <v>5783</v>
      </c>
      <c r="B2969" t="s">
        <v>5784</v>
      </c>
      <c r="C2969" t="s">
        <v>5</v>
      </c>
      <c r="D2969">
        <v>16000</v>
      </c>
    </row>
    <row r="2970" spans="1:4" x14ac:dyDescent="0.4">
      <c r="A2970" s="1" t="s">
        <v>5785</v>
      </c>
      <c r="B2970" t="s">
        <v>5786</v>
      </c>
      <c r="C2970" t="s">
        <v>5</v>
      </c>
      <c r="D2970">
        <v>12800</v>
      </c>
    </row>
    <row r="2971" spans="1:4" x14ac:dyDescent="0.4">
      <c r="A2971" s="1" t="s">
        <v>5787</v>
      </c>
      <c r="B2971" t="s">
        <v>5788</v>
      </c>
      <c r="C2971" t="s">
        <v>5</v>
      </c>
      <c r="D2971">
        <v>12800</v>
      </c>
    </row>
    <row r="2972" spans="1:4" x14ac:dyDescent="0.4">
      <c r="A2972" s="1" t="s">
        <v>5789</v>
      </c>
      <c r="B2972" t="s">
        <v>5790</v>
      </c>
      <c r="C2972" t="s">
        <v>5</v>
      </c>
      <c r="D2972">
        <v>40800</v>
      </c>
    </row>
    <row r="2973" spans="1:4" x14ac:dyDescent="0.4">
      <c r="A2973" s="1" t="s">
        <v>5791</v>
      </c>
      <c r="B2973" t="s">
        <v>5792</v>
      </c>
      <c r="C2973" t="s">
        <v>5</v>
      </c>
      <c r="D2973">
        <v>32300</v>
      </c>
    </row>
    <row r="2974" spans="1:4" x14ac:dyDescent="0.4">
      <c r="A2974" s="1" t="s">
        <v>5793</v>
      </c>
      <c r="B2974" t="s">
        <v>5794</v>
      </c>
      <c r="C2974" t="s">
        <v>5</v>
      </c>
      <c r="D2974">
        <v>32300</v>
      </c>
    </row>
    <row r="2975" spans="1:4" x14ac:dyDescent="0.4">
      <c r="A2975" s="1" t="s">
        <v>5795</v>
      </c>
      <c r="B2975" t="e">
        <f>-終息-EPSON LPB4T14 ﾄﾅｰｶｰﾄﾘｯｼﾞ</f>
        <v>#NAME?</v>
      </c>
      <c r="C2975" t="s">
        <v>5</v>
      </c>
      <c r="D2975">
        <v>4990</v>
      </c>
    </row>
    <row r="2976" spans="1:4" x14ac:dyDescent="0.4">
      <c r="A2976" s="1" t="s">
        <v>5796</v>
      </c>
      <c r="B2976" t="e">
        <f>-終息- EPSON LPB4T15 ﾄﾅｰｶｰﾄﾘｯｼﾞ</f>
        <v>#NAME?</v>
      </c>
      <c r="C2976" t="s">
        <v>5</v>
      </c>
      <c r="D2976">
        <v>10880</v>
      </c>
    </row>
    <row r="2977" spans="1:4" x14ac:dyDescent="0.4">
      <c r="A2977" s="1" t="s">
        <v>5797</v>
      </c>
      <c r="B2977" t="e">
        <f>-在庫限り-EPSON LPB4T15S 環境推進トナー</f>
        <v>#NAME?</v>
      </c>
      <c r="C2977" t="s">
        <v>5</v>
      </c>
      <c r="D2977">
        <v>8890</v>
      </c>
    </row>
    <row r="2978" spans="1:4" x14ac:dyDescent="0.4">
      <c r="A2978" s="1" t="s">
        <v>5798</v>
      </c>
      <c r="B2978" t="e">
        <f>-終息-EPSON LPB4T15V 環境推進トナー</f>
        <v>#NAME?</v>
      </c>
      <c r="C2978" t="s">
        <v>5</v>
      </c>
      <c r="D2978">
        <v>8890</v>
      </c>
    </row>
    <row r="2979" spans="1:4" x14ac:dyDescent="0.4">
      <c r="A2979" s="1" t="s">
        <v>5799</v>
      </c>
      <c r="B2979" t="s">
        <v>5800</v>
      </c>
      <c r="C2979" t="s">
        <v>5</v>
      </c>
      <c r="D2979">
        <v>4990</v>
      </c>
    </row>
    <row r="2980" spans="1:4" x14ac:dyDescent="0.4">
      <c r="A2980" s="1" t="s">
        <v>5801</v>
      </c>
      <c r="B2980" t="s">
        <v>5802</v>
      </c>
      <c r="C2980" t="s">
        <v>5</v>
      </c>
      <c r="D2980">
        <v>12350</v>
      </c>
    </row>
    <row r="2981" spans="1:4" x14ac:dyDescent="0.4">
      <c r="A2981" s="1" t="s">
        <v>5803</v>
      </c>
      <c r="B2981" t="e">
        <f>-在庫限り-EPSON LPB4T17S 環境推進トナー</f>
        <v>#NAME?</v>
      </c>
      <c r="C2981" t="s">
        <v>5</v>
      </c>
      <c r="D2981">
        <v>10000</v>
      </c>
    </row>
    <row r="2982" spans="1:4" x14ac:dyDescent="0.4">
      <c r="A2982" s="1" t="s">
        <v>5804</v>
      </c>
      <c r="B2982" t="e">
        <f>-終息-EPSON LPB4T17V 環境推進トナー</f>
        <v>#NAME?</v>
      </c>
      <c r="C2982" t="s">
        <v>5</v>
      </c>
      <c r="D2982">
        <v>10000</v>
      </c>
    </row>
    <row r="2983" spans="1:4" x14ac:dyDescent="0.4">
      <c r="A2983" s="1" t="s">
        <v>5805</v>
      </c>
      <c r="B2983" t="s">
        <v>5806</v>
      </c>
      <c r="C2983" t="s">
        <v>5</v>
      </c>
      <c r="D2983">
        <v>13400</v>
      </c>
    </row>
    <row r="2984" spans="1:4" x14ac:dyDescent="0.4">
      <c r="A2984" s="1" t="s">
        <v>5807</v>
      </c>
      <c r="B2984" t="s">
        <v>5808</v>
      </c>
      <c r="C2984" t="s">
        <v>5</v>
      </c>
      <c r="D2984">
        <v>10700</v>
      </c>
    </row>
    <row r="2985" spans="1:4" x14ac:dyDescent="0.4">
      <c r="A2985" s="1" t="s">
        <v>5809</v>
      </c>
      <c r="B2985" t="s">
        <v>5810</v>
      </c>
      <c r="C2985" t="s">
        <v>5</v>
      </c>
      <c r="D2985">
        <v>47700</v>
      </c>
    </row>
    <row r="2986" spans="1:4" x14ac:dyDescent="0.4">
      <c r="A2986" s="1" t="s">
        <v>5811</v>
      </c>
      <c r="B2986" t="s">
        <v>5812</v>
      </c>
      <c r="C2986" t="s">
        <v>5</v>
      </c>
      <c r="D2986">
        <v>37600</v>
      </c>
    </row>
    <row r="2987" spans="1:4" x14ac:dyDescent="0.4">
      <c r="A2987" s="1" t="s">
        <v>5813</v>
      </c>
      <c r="B2987" t="s">
        <v>5814</v>
      </c>
      <c r="C2987" t="s">
        <v>5</v>
      </c>
      <c r="D2987">
        <v>32400</v>
      </c>
    </row>
    <row r="2988" spans="1:4" x14ac:dyDescent="0.4">
      <c r="A2988" s="1" t="s">
        <v>5815</v>
      </c>
      <c r="B2988" t="s">
        <v>5816</v>
      </c>
      <c r="C2988" t="s">
        <v>5</v>
      </c>
      <c r="D2988">
        <v>25800</v>
      </c>
    </row>
    <row r="2989" spans="1:4" x14ac:dyDescent="0.4">
      <c r="A2989" s="1" t="s">
        <v>5817</v>
      </c>
      <c r="B2989" t="s">
        <v>5818</v>
      </c>
      <c r="C2989" t="s">
        <v>5</v>
      </c>
      <c r="D2989">
        <v>49700</v>
      </c>
    </row>
    <row r="2990" spans="1:4" x14ac:dyDescent="0.4">
      <c r="A2990" s="1" t="s">
        <v>5819</v>
      </c>
      <c r="B2990" t="s">
        <v>5820</v>
      </c>
      <c r="C2990" t="s">
        <v>5</v>
      </c>
      <c r="D2990">
        <v>41100</v>
      </c>
    </row>
    <row r="2991" spans="1:4" x14ac:dyDescent="0.4">
      <c r="A2991" s="1" t="s">
        <v>5821</v>
      </c>
      <c r="B2991" t="s">
        <v>5822</v>
      </c>
      <c r="C2991" t="s">
        <v>5</v>
      </c>
      <c r="D2991">
        <v>41100</v>
      </c>
    </row>
    <row r="2992" spans="1:4" x14ac:dyDescent="0.4">
      <c r="A2992" s="1" t="s">
        <v>5823</v>
      </c>
      <c r="B2992" t="s">
        <v>5824</v>
      </c>
      <c r="C2992" t="s">
        <v>5</v>
      </c>
      <c r="D2992">
        <v>14000</v>
      </c>
    </row>
    <row r="2993" spans="1:4" x14ac:dyDescent="0.4">
      <c r="A2993" s="1" t="s">
        <v>5825</v>
      </c>
      <c r="B2993" t="s">
        <v>5826</v>
      </c>
      <c r="C2993" t="s">
        <v>5</v>
      </c>
      <c r="D2993">
        <v>11400</v>
      </c>
    </row>
    <row r="2994" spans="1:4" x14ac:dyDescent="0.4">
      <c r="A2994" s="1" t="s">
        <v>5827</v>
      </c>
      <c r="B2994" t="s">
        <v>5828</v>
      </c>
      <c r="C2994" t="s">
        <v>5</v>
      </c>
      <c r="D2994">
        <v>31100</v>
      </c>
    </row>
    <row r="2995" spans="1:4" x14ac:dyDescent="0.4">
      <c r="A2995" s="1" t="s">
        <v>5829</v>
      </c>
      <c r="B2995" t="s">
        <v>5830</v>
      </c>
      <c r="C2995" t="s">
        <v>5</v>
      </c>
      <c r="D2995">
        <v>24600</v>
      </c>
    </row>
    <row r="2996" spans="1:4" x14ac:dyDescent="0.4">
      <c r="A2996" s="1" t="s">
        <v>5831</v>
      </c>
      <c r="B2996" t="s">
        <v>5832</v>
      </c>
      <c r="C2996" t="s">
        <v>5</v>
      </c>
      <c r="D2996">
        <v>24600</v>
      </c>
    </row>
    <row r="2997" spans="1:4" x14ac:dyDescent="0.4">
      <c r="A2997" s="1" t="s">
        <v>5833</v>
      </c>
      <c r="B2997" t="s">
        <v>5834</v>
      </c>
      <c r="C2997" t="s">
        <v>5</v>
      </c>
      <c r="D2997">
        <v>57700</v>
      </c>
    </row>
    <row r="2998" spans="1:4" x14ac:dyDescent="0.4">
      <c r="A2998" s="1" t="s">
        <v>5835</v>
      </c>
      <c r="B2998" t="s">
        <v>5836</v>
      </c>
      <c r="C2998" t="s">
        <v>5</v>
      </c>
      <c r="D2998">
        <v>48100</v>
      </c>
    </row>
    <row r="2999" spans="1:4" x14ac:dyDescent="0.4">
      <c r="A2999" s="1" t="s">
        <v>5837</v>
      </c>
      <c r="B2999" t="s">
        <v>5838</v>
      </c>
      <c r="C2999" t="s">
        <v>5</v>
      </c>
      <c r="D2999">
        <v>48100</v>
      </c>
    </row>
    <row r="3000" spans="1:4" x14ac:dyDescent="0.4">
      <c r="A3000" s="1" t="s">
        <v>5839</v>
      </c>
      <c r="B3000" t="s">
        <v>5840</v>
      </c>
      <c r="C3000" t="s">
        <v>5</v>
      </c>
      <c r="D3000">
        <v>18000</v>
      </c>
    </row>
    <row r="3001" spans="1:4" x14ac:dyDescent="0.4">
      <c r="A3001" s="1" t="s">
        <v>5841</v>
      </c>
      <c r="B3001" t="e">
        <f>-終息-EPSON LPC3H13 廃ﾄﾅｰﾎﾞｯｸｽ</f>
        <v>#NAME?</v>
      </c>
      <c r="C3001" t="s">
        <v>5</v>
      </c>
      <c r="D3001">
        <v>3000</v>
      </c>
    </row>
    <row r="3002" spans="1:4" x14ac:dyDescent="0.4">
      <c r="A3002" s="1" t="s">
        <v>5842</v>
      </c>
      <c r="B3002" t="s">
        <v>5843</v>
      </c>
      <c r="C3002" t="s">
        <v>5</v>
      </c>
      <c r="D3002">
        <v>3200</v>
      </c>
    </row>
    <row r="3003" spans="1:4" x14ac:dyDescent="0.4">
      <c r="A3003" s="1" t="s">
        <v>5844</v>
      </c>
      <c r="B3003" t="s">
        <v>5845</v>
      </c>
      <c r="C3003" t="s">
        <v>5</v>
      </c>
      <c r="D3003">
        <v>2100</v>
      </c>
    </row>
    <row r="3004" spans="1:4" x14ac:dyDescent="0.4">
      <c r="A3004" s="1" t="s">
        <v>5846</v>
      </c>
      <c r="B3004" t="e">
        <f>-終息-EPSON LPC3K10C 感光体ﾕﾆｯﾄ</f>
        <v>#NAME?</v>
      </c>
      <c r="C3004" t="s">
        <v>5</v>
      </c>
      <c r="D3004">
        <v>39000</v>
      </c>
    </row>
    <row r="3005" spans="1:4" x14ac:dyDescent="0.4">
      <c r="A3005" s="1" t="s">
        <v>5847</v>
      </c>
      <c r="B3005" t="e">
        <f>-終息-EPSON LPC3K10K 感光体ﾕﾆｯﾄ</f>
        <v>#NAME?</v>
      </c>
      <c r="C3005" t="s">
        <v>5</v>
      </c>
      <c r="D3005">
        <v>37000</v>
      </c>
    </row>
    <row r="3006" spans="1:4" x14ac:dyDescent="0.4">
      <c r="A3006" s="1" t="s">
        <v>5848</v>
      </c>
      <c r="B3006" t="e">
        <f>-終息-EPSON LPC3K10M 感光体ﾕﾆｯﾄ</f>
        <v>#NAME?</v>
      </c>
      <c r="C3006" t="s">
        <v>5</v>
      </c>
      <c r="D3006">
        <v>39000</v>
      </c>
    </row>
    <row r="3007" spans="1:4" x14ac:dyDescent="0.4">
      <c r="A3007" s="1" t="s">
        <v>5849</v>
      </c>
      <c r="B3007" t="e">
        <f>-終息-EPSON LPC3K10Y 感光体ﾕﾆｯﾄ</f>
        <v>#NAME?</v>
      </c>
      <c r="C3007" t="s">
        <v>5</v>
      </c>
      <c r="D3007">
        <v>39000</v>
      </c>
    </row>
    <row r="3008" spans="1:4" x14ac:dyDescent="0.4">
      <c r="A3008" s="1" t="s">
        <v>5850</v>
      </c>
      <c r="B3008" t="s">
        <v>5851</v>
      </c>
      <c r="C3008" t="s">
        <v>5</v>
      </c>
      <c r="D3008">
        <v>28600</v>
      </c>
    </row>
    <row r="3009" spans="1:4" x14ac:dyDescent="0.4">
      <c r="A3009" s="1" t="s">
        <v>5852</v>
      </c>
      <c r="B3009" t="s">
        <v>5853</v>
      </c>
      <c r="C3009" t="s">
        <v>5</v>
      </c>
      <c r="D3009">
        <v>12600</v>
      </c>
    </row>
    <row r="3010" spans="1:4" x14ac:dyDescent="0.4">
      <c r="A3010" s="1" t="s">
        <v>5854</v>
      </c>
      <c r="B3010" t="s">
        <v>5855</v>
      </c>
      <c r="C3010" t="s">
        <v>5</v>
      </c>
      <c r="D3010">
        <v>12600</v>
      </c>
    </row>
    <row r="3011" spans="1:4" x14ac:dyDescent="0.4">
      <c r="A3011" s="1" t="s">
        <v>5856</v>
      </c>
      <c r="B3011" t="s">
        <v>5857</v>
      </c>
      <c r="C3011" t="s">
        <v>5</v>
      </c>
      <c r="D3011">
        <v>21000</v>
      </c>
    </row>
    <row r="3012" spans="1:4" x14ac:dyDescent="0.4">
      <c r="A3012" s="1" t="s">
        <v>5858</v>
      </c>
      <c r="B3012" t="s">
        <v>5859</v>
      </c>
      <c r="C3012" t="s">
        <v>5</v>
      </c>
      <c r="D3012">
        <v>20000</v>
      </c>
    </row>
    <row r="3013" spans="1:4" x14ac:dyDescent="0.4">
      <c r="A3013" s="1" t="s">
        <v>5860</v>
      </c>
      <c r="B3013" t="s">
        <v>5861</v>
      </c>
      <c r="C3013" t="s">
        <v>5</v>
      </c>
      <c r="D3013">
        <v>21000</v>
      </c>
    </row>
    <row r="3014" spans="1:4" x14ac:dyDescent="0.4">
      <c r="A3014" s="1" t="s">
        <v>5862</v>
      </c>
      <c r="B3014" t="s">
        <v>5863</v>
      </c>
      <c r="C3014" t="s">
        <v>5</v>
      </c>
      <c r="D3014">
        <v>21000</v>
      </c>
    </row>
    <row r="3015" spans="1:4" x14ac:dyDescent="0.4">
      <c r="A3015" s="1" t="s">
        <v>5864</v>
      </c>
      <c r="B3015" t="e">
        <f>-終息-EPSON LPC3T13C ﾄﾅｰｶｰﾄﾘｯｼﾞ ｼｱﾝ</f>
        <v>#NAME?</v>
      </c>
      <c r="C3015" t="s">
        <v>5</v>
      </c>
      <c r="D3015">
        <v>23000</v>
      </c>
    </row>
    <row r="3016" spans="1:4" x14ac:dyDescent="0.4">
      <c r="A3016" s="1" t="s">
        <v>5865</v>
      </c>
      <c r="B3016" t="e">
        <f>-終息-EPSON LPC3T13CV 環境推進トナー ｼｱﾝ</f>
        <v>#NAME?</v>
      </c>
      <c r="C3016" t="s">
        <v>5</v>
      </c>
      <c r="D3016">
        <v>19000</v>
      </c>
    </row>
    <row r="3017" spans="1:4" x14ac:dyDescent="0.4">
      <c r="A3017" s="1" t="s">
        <v>5866</v>
      </c>
      <c r="B3017" t="e">
        <f>-終息-EPSON LPC3T13K ﾄﾅｰｶｰﾄﾘｯｼﾞ ﾌﾞﾗｯｸ</f>
        <v>#NAME?</v>
      </c>
      <c r="C3017" t="s">
        <v>5</v>
      </c>
      <c r="D3017">
        <v>28000</v>
      </c>
    </row>
    <row r="3018" spans="1:4" x14ac:dyDescent="0.4">
      <c r="A3018" s="1" t="s">
        <v>5867</v>
      </c>
      <c r="B3018" t="e">
        <f>-終息-EPSON LPC3T13KV 環境推進トナー ﾌﾞﾗｯｸ</f>
        <v>#NAME?</v>
      </c>
      <c r="C3018" t="s">
        <v>5</v>
      </c>
      <c r="D3018">
        <v>23000</v>
      </c>
    </row>
    <row r="3019" spans="1:4" x14ac:dyDescent="0.4">
      <c r="A3019" s="1" t="s">
        <v>5868</v>
      </c>
      <c r="B3019" t="e">
        <f>-終息-EPSON LPC3T13M ﾄﾅｰｶｰﾄﾘｯｼﾞ ﾏｾﾞﾝﾀﾞ</f>
        <v>#NAME?</v>
      </c>
      <c r="C3019" t="s">
        <v>5</v>
      </c>
      <c r="D3019">
        <v>23000</v>
      </c>
    </row>
    <row r="3020" spans="1:4" x14ac:dyDescent="0.4">
      <c r="A3020" s="1" t="s">
        <v>5869</v>
      </c>
      <c r="B3020" t="e">
        <f>-終息-EPSON LPC3T13MV 環境推進トナー ﾏｾﾞﾝﾀﾞ</f>
        <v>#NAME?</v>
      </c>
      <c r="C3020" t="s">
        <v>5</v>
      </c>
      <c r="D3020">
        <v>19000</v>
      </c>
    </row>
    <row r="3021" spans="1:4" x14ac:dyDescent="0.4">
      <c r="A3021" s="1" t="s">
        <v>5870</v>
      </c>
      <c r="B3021" t="e">
        <f>-終息-EPSON LPC3T13Y ﾄﾅｰｶｰﾄﾘｯｼﾞ ｲｴﾛｰ</f>
        <v>#NAME?</v>
      </c>
      <c r="C3021" t="s">
        <v>5</v>
      </c>
      <c r="D3021">
        <v>23000</v>
      </c>
    </row>
    <row r="3022" spans="1:4" x14ac:dyDescent="0.4">
      <c r="A3022" s="1" t="s">
        <v>5871</v>
      </c>
      <c r="B3022" t="e">
        <f>-終息-EPSON LPC3T13YV 環境推進トナー ｲｴﾛｰ</f>
        <v>#NAME?</v>
      </c>
      <c r="C3022" t="s">
        <v>5</v>
      </c>
      <c r="D3022">
        <v>19000</v>
      </c>
    </row>
    <row r="3023" spans="1:4" x14ac:dyDescent="0.4">
      <c r="A3023" s="1" t="s">
        <v>5872</v>
      </c>
      <c r="B3023" t="e">
        <f>-終息-EPSON LPC3T14C ﾄﾅｰｶｰﾄﾘｯｼﾞ ｼｱﾝ</f>
        <v>#NAME?</v>
      </c>
      <c r="C3023" t="s">
        <v>5</v>
      </c>
      <c r="D3023">
        <v>38000</v>
      </c>
    </row>
    <row r="3024" spans="1:4" x14ac:dyDescent="0.4">
      <c r="A3024" s="1" t="s">
        <v>5873</v>
      </c>
      <c r="B3024" t="e">
        <f>-終息-EPSON LPC3T14CV 環境推進トナー ｼｱﾝ</f>
        <v>#NAME?</v>
      </c>
      <c r="C3024" t="s">
        <v>5</v>
      </c>
      <c r="D3024">
        <v>30000</v>
      </c>
    </row>
    <row r="3025" spans="1:4" x14ac:dyDescent="0.4">
      <c r="A3025" s="1" t="s">
        <v>5874</v>
      </c>
      <c r="B3025" t="e">
        <f>-終息-EPSON LPC3T14K ﾄﾅｰｶｰﾄﾘｯｼﾞ ﾌﾞﾗｯｸ</f>
        <v>#NAME?</v>
      </c>
      <c r="C3025" t="s">
        <v>5</v>
      </c>
      <c r="D3025">
        <v>53000</v>
      </c>
    </row>
    <row r="3026" spans="1:4" x14ac:dyDescent="0.4">
      <c r="A3026" s="1" t="s">
        <v>5875</v>
      </c>
      <c r="B3026" t="e">
        <f>-終息-EPSON LPC3T14KV 環境推進トナー ﾌﾞﾗｯｸ</f>
        <v>#NAME?</v>
      </c>
      <c r="C3026" t="s">
        <v>5</v>
      </c>
      <c r="D3026">
        <v>43000</v>
      </c>
    </row>
    <row r="3027" spans="1:4" x14ac:dyDescent="0.4">
      <c r="A3027" s="1" t="s">
        <v>5876</v>
      </c>
      <c r="B3027" t="e">
        <f>-終息-EPSON LPC3T14M ﾄﾅｰｶｰﾄﾘｯｼﾞ ﾏｾﾞﾝﾀﾞ</f>
        <v>#NAME?</v>
      </c>
      <c r="C3027" t="s">
        <v>5</v>
      </c>
      <c r="D3027">
        <v>38000</v>
      </c>
    </row>
    <row r="3028" spans="1:4" x14ac:dyDescent="0.4">
      <c r="A3028" s="1" t="s">
        <v>5877</v>
      </c>
      <c r="B3028" t="e">
        <f>-終息-EPSON LPC3T14MV 環境推進トナー ﾏｾﾞﾝﾀﾞ</f>
        <v>#NAME?</v>
      </c>
      <c r="C3028" t="s">
        <v>5</v>
      </c>
      <c r="D3028">
        <v>30000</v>
      </c>
    </row>
    <row r="3029" spans="1:4" x14ac:dyDescent="0.4">
      <c r="A3029" s="1" t="s">
        <v>5878</v>
      </c>
      <c r="B3029" t="e">
        <f>-終息-EPSON LPC3T14Y ﾄﾅｰｶｰﾄﾘｯｼﾞ ｲｴﾛｰ</f>
        <v>#NAME?</v>
      </c>
      <c r="C3029" t="s">
        <v>5</v>
      </c>
      <c r="D3029">
        <v>38000</v>
      </c>
    </row>
    <row r="3030" spans="1:4" x14ac:dyDescent="0.4">
      <c r="A3030" s="1" t="s">
        <v>5879</v>
      </c>
      <c r="B3030" t="e">
        <f>-終息-EPSON LPC3T14YV 環境推進トナー ｲｴﾛｰ</f>
        <v>#NAME?</v>
      </c>
      <c r="C3030" t="s">
        <v>5</v>
      </c>
      <c r="D3030">
        <v>30000</v>
      </c>
    </row>
    <row r="3031" spans="1:4" x14ac:dyDescent="0.4">
      <c r="A3031" s="1" t="s">
        <v>5880</v>
      </c>
      <c r="B3031" t="e">
        <f>-在庫限り終息-EPSON LPC3T15C ﾄﾅｰｶｰﾄﾘｯｼﾞ ｼｱﾝ</f>
        <v>#NAME?</v>
      </c>
      <c r="C3031" t="s">
        <v>5</v>
      </c>
      <c r="D3031">
        <v>27700</v>
      </c>
    </row>
    <row r="3032" spans="1:4" x14ac:dyDescent="0.4">
      <c r="A3032" s="1" t="s">
        <v>5881</v>
      </c>
      <c r="B3032" t="e">
        <f>-在庫限り終息-EPSON LPC3T15CV 環境推進トナー ｼｱﾝ</f>
        <v>#NAME?</v>
      </c>
      <c r="C3032" t="s">
        <v>5</v>
      </c>
      <c r="D3032">
        <v>22200</v>
      </c>
    </row>
    <row r="3033" spans="1:4" x14ac:dyDescent="0.4">
      <c r="A3033" s="1" t="s">
        <v>5882</v>
      </c>
      <c r="B3033" t="e">
        <f>-在庫限り終息-EPSON LPC3T15K ﾄﾅｰｶｰﾄﾘｯｼﾞ ﾌﾞﾗｯｸ</f>
        <v>#NAME?</v>
      </c>
      <c r="C3033" t="s">
        <v>5</v>
      </c>
      <c r="D3033">
        <v>30600</v>
      </c>
    </row>
    <row r="3034" spans="1:4" x14ac:dyDescent="0.4">
      <c r="A3034" s="1" t="s">
        <v>5883</v>
      </c>
      <c r="B3034" t="e">
        <f>-在庫限り終息-EPSON LPC3T15KV 環境推進トナー ﾌﾞﾗｯｸ</f>
        <v>#NAME?</v>
      </c>
      <c r="C3034" t="s">
        <v>5</v>
      </c>
      <c r="D3034">
        <v>25100</v>
      </c>
    </row>
    <row r="3035" spans="1:4" x14ac:dyDescent="0.4">
      <c r="A3035" s="1" t="s">
        <v>5884</v>
      </c>
      <c r="B3035" t="e">
        <f>-在庫限り終息-EPSON LPC3T15M ﾄﾅｰｶｰﾄﾘｯｼﾞ ﾏｾﾞﾝﾀﾞ</f>
        <v>#NAME?</v>
      </c>
      <c r="C3035" t="s">
        <v>5</v>
      </c>
      <c r="D3035">
        <v>27700</v>
      </c>
    </row>
    <row r="3036" spans="1:4" x14ac:dyDescent="0.4">
      <c r="A3036" s="1" t="s">
        <v>5885</v>
      </c>
      <c r="B3036" t="e">
        <f>-在庫限り終息-EPSON LPC3T15MV 環境推進トナー ﾏｾﾞﾝﾀﾞ</f>
        <v>#NAME?</v>
      </c>
      <c r="C3036" t="s">
        <v>5</v>
      </c>
      <c r="D3036">
        <v>22200</v>
      </c>
    </row>
    <row r="3037" spans="1:4" x14ac:dyDescent="0.4">
      <c r="A3037" s="1" t="s">
        <v>5886</v>
      </c>
      <c r="B3037" t="e">
        <f>-在庫限り終息-EPSON LPC3T15Y ﾄﾅｰｶｰﾄﾘｯｼﾞ ｲｴﾛｰ</f>
        <v>#NAME?</v>
      </c>
      <c r="C3037" t="s">
        <v>5</v>
      </c>
      <c r="D3037">
        <v>27700</v>
      </c>
    </row>
    <row r="3038" spans="1:4" x14ac:dyDescent="0.4">
      <c r="A3038" s="1" t="s">
        <v>5887</v>
      </c>
      <c r="B3038" t="e">
        <f>-在庫限り終息-EPSON LPC3T15YV 環境推進トナー ｲｴﾛｰ</f>
        <v>#NAME?</v>
      </c>
      <c r="C3038" t="s">
        <v>5</v>
      </c>
      <c r="D3038">
        <v>22200</v>
      </c>
    </row>
    <row r="3039" spans="1:4" x14ac:dyDescent="0.4">
      <c r="A3039" s="1" t="s">
        <v>5888</v>
      </c>
      <c r="B3039" t="e">
        <f>-終息-EPSON LPC3T16C ﾄﾅｰｶｰﾄﾘｯｼﾞ ｼｱﾝ</f>
        <v>#NAME?</v>
      </c>
      <c r="C3039" t="s">
        <v>5</v>
      </c>
      <c r="D3039">
        <v>46700</v>
      </c>
    </row>
    <row r="3040" spans="1:4" x14ac:dyDescent="0.4">
      <c r="A3040" s="1" t="s">
        <v>5889</v>
      </c>
      <c r="B3040" t="e">
        <f>-終息-EPSON LPC3T16CV 環境推進トナー ｼｱﾝ</f>
        <v>#NAME?</v>
      </c>
      <c r="C3040" t="s">
        <v>5</v>
      </c>
      <c r="D3040">
        <v>37200</v>
      </c>
    </row>
    <row r="3041" spans="1:4" x14ac:dyDescent="0.4">
      <c r="A3041" s="1" t="s">
        <v>5890</v>
      </c>
      <c r="B3041" t="e">
        <f>-終息-EPSON LPC3T16K ﾄﾅｰｶｰﾄﾘｯｼﾞ ﾌﾞﾗｯｸ</f>
        <v>#NAME?</v>
      </c>
      <c r="C3041" t="s">
        <v>5</v>
      </c>
      <c r="D3041">
        <v>54900</v>
      </c>
    </row>
    <row r="3042" spans="1:4" x14ac:dyDescent="0.4">
      <c r="A3042" s="1" t="s">
        <v>5891</v>
      </c>
      <c r="B3042" t="e">
        <f>-終息-EPSON LPC3T16KV 環境推進トナー ﾌﾞﾗｯｸ</f>
        <v>#NAME?</v>
      </c>
      <c r="C3042" t="s">
        <v>5</v>
      </c>
      <c r="D3042">
        <v>43900</v>
      </c>
    </row>
    <row r="3043" spans="1:4" x14ac:dyDescent="0.4">
      <c r="A3043" s="1" t="s">
        <v>5892</v>
      </c>
      <c r="B3043" t="e">
        <f>-終息-EPSON LPC3T16M ﾄﾅｰｶｰﾄﾘｯｼﾞ ﾏｾﾞﾝﾀﾞ</f>
        <v>#NAME?</v>
      </c>
      <c r="C3043" t="s">
        <v>5</v>
      </c>
      <c r="D3043">
        <v>46700</v>
      </c>
    </row>
    <row r="3044" spans="1:4" x14ac:dyDescent="0.4">
      <c r="A3044" s="1" t="s">
        <v>5893</v>
      </c>
      <c r="B3044" t="e">
        <f>-終息-EPSON LPC3T16MV 環境推進トナー ﾏｾﾞﾝﾀﾞ</f>
        <v>#NAME?</v>
      </c>
      <c r="C3044" t="s">
        <v>5</v>
      </c>
      <c r="D3044">
        <v>37200</v>
      </c>
    </row>
    <row r="3045" spans="1:4" x14ac:dyDescent="0.4">
      <c r="A3045" s="1" t="s">
        <v>5894</v>
      </c>
      <c r="B3045" t="e">
        <f>-終息-EPSON LPC3T16Y ﾄﾅｰｶｰﾄﾘｯｼﾞ ｲｴﾛｰ</f>
        <v>#NAME?</v>
      </c>
      <c r="C3045" t="s">
        <v>5</v>
      </c>
      <c r="D3045">
        <v>46700</v>
      </c>
    </row>
    <row r="3046" spans="1:4" x14ac:dyDescent="0.4">
      <c r="A3046" s="1" t="s">
        <v>5895</v>
      </c>
      <c r="B3046" t="e">
        <f>-終息-EPSON LPC3T16YV 環境推進トナー ｲｴﾛｰ</f>
        <v>#NAME?</v>
      </c>
      <c r="C3046" t="s">
        <v>5</v>
      </c>
      <c r="D3046">
        <v>37200</v>
      </c>
    </row>
    <row r="3047" spans="1:4" x14ac:dyDescent="0.4">
      <c r="A3047" s="1" t="s">
        <v>5896</v>
      </c>
      <c r="B3047" t="e">
        <f>-終息-EPSON LPC3T17C ﾄﾅｰｶｰﾄﾘｯｼﾞ ｼｱﾝ</f>
        <v>#NAME?</v>
      </c>
      <c r="C3047" t="s">
        <v>5</v>
      </c>
      <c r="D3047">
        <v>9700</v>
      </c>
    </row>
    <row r="3048" spans="1:4" x14ac:dyDescent="0.4">
      <c r="A3048" s="1" t="s">
        <v>5897</v>
      </c>
      <c r="B3048" t="e">
        <f>-在庫限り終息-EPSON LPC3T17CV 環境推進トナー ｼｱﾝ</f>
        <v>#NAME?</v>
      </c>
      <c r="C3048" t="s">
        <v>5</v>
      </c>
      <c r="D3048">
        <v>7700</v>
      </c>
    </row>
    <row r="3049" spans="1:4" x14ac:dyDescent="0.4">
      <c r="A3049" s="1" t="s">
        <v>5898</v>
      </c>
      <c r="B3049" t="e">
        <f>-終息-EPSON LPC3T17K ﾄﾅｰｶｰﾄﾘｯｼﾞ ﾌﾞﾗｯｸ</f>
        <v>#NAME?</v>
      </c>
      <c r="C3049" t="s">
        <v>5</v>
      </c>
      <c r="D3049">
        <v>10200</v>
      </c>
    </row>
    <row r="3050" spans="1:4" x14ac:dyDescent="0.4">
      <c r="A3050" s="1" t="s">
        <v>5899</v>
      </c>
      <c r="B3050" t="e">
        <f>-終息-EPSON LPC3T17KV 環境推進トナー ﾌﾞﾗｯｸ</f>
        <v>#NAME?</v>
      </c>
      <c r="C3050" t="s">
        <v>5</v>
      </c>
      <c r="D3050">
        <v>8100</v>
      </c>
    </row>
    <row r="3051" spans="1:4" x14ac:dyDescent="0.4">
      <c r="A3051" s="1" t="s">
        <v>5900</v>
      </c>
      <c r="B3051" t="e">
        <f>-終息-EPSON LPC3T17M ﾄﾅｰｶｰﾄﾘｯｼﾞ ﾏｾﾞﾝﾀﾞ</f>
        <v>#NAME?</v>
      </c>
      <c r="C3051" t="s">
        <v>5</v>
      </c>
      <c r="D3051">
        <v>9700</v>
      </c>
    </row>
    <row r="3052" spans="1:4" x14ac:dyDescent="0.4">
      <c r="A3052" s="1" t="s">
        <v>5901</v>
      </c>
      <c r="B3052" t="e">
        <f>-在庫限り終息-EPSON LPC3T17MV 環境推進トナー ﾏｾﾞﾝﾀﾞ</f>
        <v>#NAME?</v>
      </c>
      <c r="C3052" t="s">
        <v>5</v>
      </c>
      <c r="D3052">
        <v>7700</v>
      </c>
    </row>
    <row r="3053" spans="1:4" x14ac:dyDescent="0.4">
      <c r="A3053" s="1" t="s">
        <v>5902</v>
      </c>
      <c r="B3053" t="e">
        <f>-終息-EPSON LPC3T17Y ﾄﾅｰｶｰﾄﾘｯｼﾞ ｲｴﾛｰ</f>
        <v>#NAME?</v>
      </c>
      <c r="C3053" t="s">
        <v>5</v>
      </c>
      <c r="D3053">
        <v>9700</v>
      </c>
    </row>
    <row r="3054" spans="1:4" x14ac:dyDescent="0.4">
      <c r="A3054" s="1" t="s">
        <v>5903</v>
      </c>
      <c r="B3054" t="e">
        <f>-在庫限り終息-EPSON LPC3T17YV 環境推進トナー ｲｴﾛｰ</f>
        <v>#NAME?</v>
      </c>
      <c r="C3054" t="s">
        <v>5</v>
      </c>
      <c r="D3054">
        <v>7700</v>
      </c>
    </row>
    <row r="3055" spans="1:4" x14ac:dyDescent="0.4">
      <c r="A3055" s="1" t="s">
        <v>5904</v>
      </c>
      <c r="B3055" t="e">
        <f>-終息-EPSON LPC3T18C ﾄﾅｰｶｰﾄﾘｯｼﾞ ｼｱﾝ</f>
        <v>#NAME?</v>
      </c>
      <c r="C3055" t="s">
        <v>5</v>
      </c>
      <c r="D3055">
        <v>24800</v>
      </c>
    </row>
    <row r="3056" spans="1:4" x14ac:dyDescent="0.4">
      <c r="A3056" s="1" t="s">
        <v>5905</v>
      </c>
      <c r="B3056" t="s">
        <v>5906</v>
      </c>
      <c r="C3056" t="s">
        <v>5</v>
      </c>
      <c r="D3056">
        <v>41300</v>
      </c>
    </row>
    <row r="3057" spans="1:4" x14ac:dyDescent="0.4">
      <c r="A3057" s="1" t="s">
        <v>5907</v>
      </c>
      <c r="B3057" t="s">
        <v>5908</v>
      </c>
      <c r="C3057" t="s">
        <v>5</v>
      </c>
      <c r="D3057">
        <v>33000</v>
      </c>
    </row>
    <row r="3058" spans="1:4" x14ac:dyDescent="0.4">
      <c r="A3058" s="1" t="s">
        <v>5909</v>
      </c>
      <c r="B3058" t="e">
        <f>-在庫限り-EPSON LPC3T18CS 環境推進トナー ｼｱﾝ</f>
        <v>#NAME?</v>
      </c>
      <c r="C3058" t="s">
        <v>5</v>
      </c>
      <c r="D3058">
        <v>16500</v>
      </c>
    </row>
    <row r="3059" spans="1:4" x14ac:dyDescent="0.4">
      <c r="A3059" s="1" t="s">
        <v>5910</v>
      </c>
      <c r="B3059" t="e">
        <f>-在庫限り-EPSON LPC3T18CV 環境推進トナー ｼｱﾝ</f>
        <v>#NAME?</v>
      </c>
      <c r="C3059" t="s">
        <v>5</v>
      </c>
      <c r="D3059">
        <v>19800</v>
      </c>
    </row>
    <row r="3060" spans="1:4" x14ac:dyDescent="0.4">
      <c r="A3060" s="1" t="s">
        <v>5911</v>
      </c>
      <c r="B3060" t="e">
        <f>-終息-EPSON LPC3T18K ﾄﾅｰｶｰﾄﾘｯｼﾞ ﾌﾞﾗｯｸ</f>
        <v>#NAME?</v>
      </c>
      <c r="C3060" t="s">
        <v>5</v>
      </c>
      <c r="D3060">
        <v>18600</v>
      </c>
    </row>
    <row r="3061" spans="1:4" x14ac:dyDescent="0.4">
      <c r="A3061" s="1" t="s">
        <v>5912</v>
      </c>
      <c r="B3061" t="s">
        <v>5913</v>
      </c>
      <c r="C3061" t="s">
        <v>5</v>
      </c>
      <c r="D3061">
        <v>30900</v>
      </c>
    </row>
    <row r="3062" spans="1:4" x14ac:dyDescent="0.4">
      <c r="A3062" s="1" t="s">
        <v>5914</v>
      </c>
      <c r="B3062" t="s">
        <v>5915</v>
      </c>
      <c r="C3062" t="s">
        <v>5</v>
      </c>
      <c r="D3062">
        <v>24700</v>
      </c>
    </row>
    <row r="3063" spans="1:4" x14ac:dyDescent="0.4">
      <c r="A3063" s="1" t="s">
        <v>5916</v>
      </c>
      <c r="B3063" t="e">
        <f>-終息-EPSON LPC3T18KS 環境推進トナー ﾌﾞﾗｯｸ</f>
        <v>#NAME?</v>
      </c>
      <c r="C3063" t="s">
        <v>5</v>
      </c>
      <c r="D3063">
        <v>12350</v>
      </c>
    </row>
    <row r="3064" spans="1:4" x14ac:dyDescent="0.4">
      <c r="A3064" s="1" t="s">
        <v>5917</v>
      </c>
      <c r="B3064" t="e">
        <f>-終息-EPSON LPC3T18KV 環境推進トナー ﾌﾞﾗｯｸ</f>
        <v>#NAME?</v>
      </c>
      <c r="C3064" t="s">
        <v>5</v>
      </c>
      <c r="D3064">
        <v>14900</v>
      </c>
    </row>
    <row r="3065" spans="1:4" x14ac:dyDescent="0.4">
      <c r="A3065" s="1" t="s">
        <v>5918</v>
      </c>
      <c r="B3065" t="e">
        <f>-終息-EPSON LPC3T18M ﾄﾅｰｶｰﾄﾘｯｼﾞ ﾏｾﾞﾝﾀﾞ</f>
        <v>#NAME?</v>
      </c>
      <c r="C3065" t="s">
        <v>5</v>
      </c>
      <c r="D3065">
        <v>24800</v>
      </c>
    </row>
    <row r="3066" spans="1:4" x14ac:dyDescent="0.4">
      <c r="A3066" s="1" t="s">
        <v>5919</v>
      </c>
      <c r="B3066" t="s">
        <v>5920</v>
      </c>
      <c r="C3066" t="s">
        <v>5</v>
      </c>
      <c r="D3066">
        <v>41300</v>
      </c>
    </row>
    <row r="3067" spans="1:4" x14ac:dyDescent="0.4">
      <c r="A3067" s="1" t="s">
        <v>5921</v>
      </c>
      <c r="B3067" t="s">
        <v>5922</v>
      </c>
      <c r="C3067" t="s">
        <v>5</v>
      </c>
      <c r="D3067">
        <v>33000</v>
      </c>
    </row>
    <row r="3068" spans="1:4" x14ac:dyDescent="0.4">
      <c r="A3068" s="1" t="s">
        <v>5923</v>
      </c>
      <c r="B3068" t="e">
        <f>-在庫限り-EPSON LPC3T18MS 環境推進トナー ﾏｾﾞﾝﾀﾞ</f>
        <v>#NAME?</v>
      </c>
      <c r="C3068" t="s">
        <v>5</v>
      </c>
      <c r="D3068">
        <v>16500</v>
      </c>
    </row>
    <row r="3069" spans="1:4" x14ac:dyDescent="0.4">
      <c r="A3069" s="1" t="s">
        <v>5924</v>
      </c>
      <c r="B3069" t="e">
        <f>-在庫限り-EPSON LPC3T18MV 環境推進トナー ﾏｾﾞﾝﾀﾞ</f>
        <v>#NAME?</v>
      </c>
      <c r="C3069" t="s">
        <v>5</v>
      </c>
      <c r="D3069">
        <v>19800</v>
      </c>
    </row>
    <row r="3070" spans="1:4" x14ac:dyDescent="0.4">
      <c r="A3070" s="1" t="s">
        <v>5925</v>
      </c>
      <c r="B3070" t="e">
        <f>-終息-EPSON LPC3T18Y ﾄﾅｰｶｰﾄﾘｯｼﾞ ｲｴﾛｰ</f>
        <v>#NAME?</v>
      </c>
      <c r="C3070" t="s">
        <v>5</v>
      </c>
      <c r="D3070">
        <v>24800</v>
      </c>
    </row>
    <row r="3071" spans="1:4" x14ac:dyDescent="0.4">
      <c r="A3071" s="1" t="s">
        <v>5926</v>
      </c>
      <c r="B3071" t="s">
        <v>5927</v>
      </c>
      <c r="C3071" t="s">
        <v>5</v>
      </c>
      <c r="D3071">
        <v>41300</v>
      </c>
    </row>
    <row r="3072" spans="1:4" x14ac:dyDescent="0.4">
      <c r="A3072" s="1" t="s">
        <v>5928</v>
      </c>
      <c r="B3072" t="s">
        <v>5929</v>
      </c>
      <c r="C3072" t="s">
        <v>5</v>
      </c>
      <c r="D3072">
        <v>33000</v>
      </c>
    </row>
    <row r="3073" spans="1:4" x14ac:dyDescent="0.4">
      <c r="A3073" s="1" t="s">
        <v>5930</v>
      </c>
      <c r="B3073" t="e">
        <f>-在庫限り-EPSON LPC3T18YS 環境推進トナー ｲｴﾛｰ</f>
        <v>#NAME?</v>
      </c>
      <c r="C3073" t="s">
        <v>5</v>
      </c>
      <c r="D3073">
        <v>16500</v>
      </c>
    </row>
    <row r="3074" spans="1:4" x14ac:dyDescent="0.4">
      <c r="A3074" s="1" t="s">
        <v>5931</v>
      </c>
      <c r="B3074" t="e">
        <f>-在庫限り-EPSON LPC3T18YV 環境推進トナー ｲｴﾛｰ</f>
        <v>#NAME?</v>
      </c>
      <c r="C3074" t="s">
        <v>5</v>
      </c>
      <c r="D3074">
        <v>19800</v>
      </c>
    </row>
    <row r="3075" spans="1:4" x14ac:dyDescent="0.4">
      <c r="A3075" s="1" t="s">
        <v>5932</v>
      </c>
      <c r="B3075" t="s">
        <v>5933</v>
      </c>
      <c r="C3075" t="s">
        <v>5</v>
      </c>
      <c r="D3075">
        <v>8400</v>
      </c>
    </row>
    <row r="3076" spans="1:4" x14ac:dyDescent="0.4">
      <c r="A3076" s="1" t="s">
        <v>5934</v>
      </c>
      <c r="B3076" t="s">
        <v>5935</v>
      </c>
      <c r="C3076" t="s">
        <v>5</v>
      </c>
      <c r="D3076">
        <v>8400</v>
      </c>
    </row>
    <row r="3077" spans="1:4" x14ac:dyDescent="0.4">
      <c r="A3077" s="1" t="s">
        <v>5936</v>
      </c>
      <c r="B3077" t="s">
        <v>5937</v>
      </c>
      <c r="C3077" t="s">
        <v>5</v>
      </c>
      <c r="D3077">
        <v>8400</v>
      </c>
    </row>
    <row r="3078" spans="1:4" x14ac:dyDescent="0.4">
      <c r="A3078" s="1" t="s">
        <v>5938</v>
      </c>
      <c r="B3078" t="e">
        <f>-終息-EPSON LPC3T21C ﾄﾅｰｶｰﾄﾘｯｼﾞ ｼｱﾝ</f>
        <v>#NAME?</v>
      </c>
      <c r="C3078" t="s">
        <v>5</v>
      </c>
      <c r="D3078">
        <v>28600</v>
      </c>
    </row>
    <row r="3079" spans="1:4" x14ac:dyDescent="0.4">
      <c r="A3079" s="1" t="s">
        <v>5939</v>
      </c>
      <c r="B3079" t="e">
        <f>-終息-EPSON LPC3T21CV 環境推進トナー ｼｱﾝ</f>
        <v>#NAME?</v>
      </c>
      <c r="C3079" t="s">
        <v>5</v>
      </c>
      <c r="D3079">
        <v>23400</v>
      </c>
    </row>
    <row r="3080" spans="1:4" x14ac:dyDescent="0.4">
      <c r="A3080" s="1" t="s">
        <v>5940</v>
      </c>
      <c r="B3080" t="e">
        <f>-在庫限り-EPSON LPC3T21K ﾄﾅｰｶｰﾄﾘｯｼﾞ ﾌﾞﾗｯｸ</f>
        <v>#NAME?</v>
      </c>
      <c r="C3080" t="s">
        <v>5</v>
      </c>
      <c r="D3080">
        <v>13400</v>
      </c>
    </row>
    <row r="3081" spans="1:4" x14ac:dyDescent="0.4">
      <c r="A3081" s="1" t="s">
        <v>5941</v>
      </c>
      <c r="B3081" t="s">
        <v>5942</v>
      </c>
      <c r="C3081" t="s">
        <v>5</v>
      </c>
      <c r="D3081">
        <v>25800</v>
      </c>
    </row>
    <row r="3082" spans="1:4" x14ac:dyDescent="0.4">
      <c r="A3082" s="1" t="s">
        <v>5943</v>
      </c>
      <c r="B3082" t="s">
        <v>5944</v>
      </c>
      <c r="C3082" t="s">
        <v>5</v>
      </c>
      <c r="D3082">
        <v>22700</v>
      </c>
    </row>
    <row r="3083" spans="1:4" x14ac:dyDescent="0.4">
      <c r="A3083" s="1" t="s">
        <v>5945</v>
      </c>
      <c r="B3083" t="e">
        <f>-終息-EPSON LPC3T21M ﾄﾅｰｶｰﾄﾘｯｼﾞ ﾏｾﾞﾝﾀﾞ</f>
        <v>#NAME?</v>
      </c>
      <c r="C3083" t="s">
        <v>5</v>
      </c>
      <c r="D3083">
        <v>28600</v>
      </c>
    </row>
    <row r="3084" spans="1:4" x14ac:dyDescent="0.4">
      <c r="A3084" s="1" t="s">
        <v>5946</v>
      </c>
      <c r="B3084" t="e">
        <f>-終息-EPSON LPC3T21MV 環境推進トナー ﾏｾﾞﾝﾀﾞ</f>
        <v>#NAME?</v>
      </c>
      <c r="C3084" t="s">
        <v>5</v>
      </c>
      <c r="D3084">
        <v>23400</v>
      </c>
    </row>
    <row r="3085" spans="1:4" x14ac:dyDescent="0.4">
      <c r="A3085" s="1" t="s">
        <v>5947</v>
      </c>
      <c r="B3085" t="e">
        <f>-終息-EPSON LPC3T21Y ﾄﾅｰｶｰﾄﾘｯｼﾞ ｲｴﾛｰ</f>
        <v>#NAME?</v>
      </c>
      <c r="C3085" t="s">
        <v>5</v>
      </c>
      <c r="D3085">
        <v>28600</v>
      </c>
    </row>
    <row r="3086" spans="1:4" x14ac:dyDescent="0.4">
      <c r="A3086" s="1" t="s">
        <v>5948</v>
      </c>
      <c r="B3086" t="e">
        <f>-終息-EPSON LPC3T21YV 環境推進トナー ｲｴﾛｰ</f>
        <v>#NAME?</v>
      </c>
      <c r="C3086" t="s">
        <v>5</v>
      </c>
      <c r="D3086">
        <v>23400</v>
      </c>
    </row>
    <row r="3087" spans="1:4" x14ac:dyDescent="0.4">
      <c r="A3087" s="1" t="s">
        <v>5949</v>
      </c>
      <c r="B3087" t="s">
        <v>5950</v>
      </c>
      <c r="C3087" t="s">
        <v>5</v>
      </c>
      <c r="D3087">
        <v>12200</v>
      </c>
    </row>
    <row r="3088" spans="1:4" x14ac:dyDescent="0.4">
      <c r="A3088" s="1" t="s">
        <v>5951</v>
      </c>
      <c r="B3088" t="s">
        <v>5952</v>
      </c>
      <c r="C3088" t="s">
        <v>5</v>
      </c>
      <c r="D3088">
        <v>9300</v>
      </c>
    </row>
    <row r="3089" spans="1:4" x14ac:dyDescent="0.4">
      <c r="A3089" s="1" t="s">
        <v>5953</v>
      </c>
      <c r="B3089" t="s">
        <v>5954</v>
      </c>
      <c r="C3089" t="s">
        <v>5</v>
      </c>
      <c r="D3089">
        <v>12200</v>
      </c>
    </row>
    <row r="3090" spans="1:4" x14ac:dyDescent="0.4">
      <c r="A3090" s="1" t="s">
        <v>5955</v>
      </c>
      <c r="B3090" t="s">
        <v>5956</v>
      </c>
      <c r="C3090" t="s">
        <v>5</v>
      </c>
      <c r="D3090">
        <v>12200</v>
      </c>
    </row>
    <row r="3091" spans="1:4" x14ac:dyDescent="0.4">
      <c r="A3091" s="1" t="s">
        <v>5957</v>
      </c>
      <c r="B3091" t="s">
        <v>5958</v>
      </c>
      <c r="C3091" t="s">
        <v>5</v>
      </c>
      <c r="D3091">
        <v>26100</v>
      </c>
    </row>
    <row r="3092" spans="1:4" x14ac:dyDescent="0.4">
      <c r="A3092" s="1" t="s">
        <v>5959</v>
      </c>
      <c r="B3092" t="s">
        <v>5960</v>
      </c>
      <c r="C3092" t="s">
        <v>5</v>
      </c>
      <c r="D3092">
        <v>30500</v>
      </c>
    </row>
    <row r="3093" spans="1:4" x14ac:dyDescent="0.4">
      <c r="A3093" s="1" t="s">
        <v>5961</v>
      </c>
      <c r="B3093" t="s">
        <v>5962</v>
      </c>
      <c r="C3093" t="s">
        <v>5</v>
      </c>
      <c r="D3093">
        <v>15300</v>
      </c>
    </row>
    <row r="3094" spans="1:4" x14ac:dyDescent="0.4">
      <c r="A3094" s="1" t="s">
        <v>5963</v>
      </c>
      <c r="B3094" t="s">
        <v>5964</v>
      </c>
      <c r="C3094" t="s">
        <v>5</v>
      </c>
      <c r="D3094">
        <v>20800</v>
      </c>
    </row>
    <row r="3095" spans="1:4" x14ac:dyDescent="0.4">
      <c r="A3095" s="1" t="s">
        <v>5965</v>
      </c>
      <c r="B3095" t="s">
        <v>5966</v>
      </c>
      <c r="C3095" t="s">
        <v>5</v>
      </c>
      <c r="D3095">
        <v>17500</v>
      </c>
    </row>
    <row r="3096" spans="1:4" x14ac:dyDescent="0.4">
      <c r="A3096" s="1" t="s">
        <v>5967</v>
      </c>
      <c r="B3096" t="s">
        <v>5968</v>
      </c>
      <c r="C3096" t="s">
        <v>5</v>
      </c>
      <c r="D3096">
        <v>22300</v>
      </c>
    </row>
    <row r="3097" spans="1:4" x14ac:dyDescent="0.4">
      <c r="A3097" s="1" t="s">
        <v>5969</v>
      </c>
      <c r="B3097" t="s">
        <v>5970</v>
      </c>
      <c r="C3097" t="s">
        <v>5</v>
      </c>
      <c r="D3097">
        <v>11200</v>
      </c>
    </row>
    <row r="3098" spans="1:4" x14ac:dyDescent="0.4">
      <c r="A3098" s="1" t="s">
        <v>5971</v>
      </c>
      <c r="B3098" t="s">
        <v>5972</v>
      </c>
      <c r="C3098" t="s">
        <v>5</v>
      </c>
      <c r="D3098">
        <v>14000</v>
      </c>
    </row>
    <row r="3099" spans="1:4" x14ac:dyDescent="0.4">
      <c r="A3099" s="1" t="s">
        <v>5973</v>
      </c>
      <c r="B3099" t="s">
        <v>5974</v>
      </c>
      <c r="C3099" t="s">
        <v>5</v>
      </c>
      <c r="D3099">
        <v>26100</v>
      </c>
    </row>
    <row r="3100" spans="1:4" x14ac:dyDescent="0.4">
      <c r="A3100" s="1" t="s">
        <v>5975</v>
      </c>
      <c r="B3100" t="s">
        <v>5976</v>
      </c>
      <c r="C3100" t="s">
        <v>5</v>
      </c>
      <c r="D3100">
        <v>30500</v>
      </c>
    </row>
    <row r="3101" spans="1:4" x14ac:dyDescent="0.4">
      <c r="A3101" s="1" t="s">
        <v>5977</v>
      </c>
      <c r="B3101" t="s">
        <v>5978</v>
      </c>
      <c r="C3101" t="s">
        <v>5</v>
      </c>
      <c r="D3101">
        <v>15300</v>
      </c>
    </row>
    <row r="3102" spans="1:4" x14ac:dyDescent="0.4">
      <c r="A3102" s="1" t="s">
        <v>5979</v>
      </c>
      <c r="B3102" t="s">
        <v>5980</v>
      </c>
      <c r="C3102" t="s">
        <v>5</v>
      </c>
      <c r="D3102">
        <v>20800</v>
      </c>
    </row>
    <row r="3103" spans="1:4" x14ac:dyDescent="0.4">
      <c r="A3103" s="1" t="s">
        <v>5981</v>
      </c>
      <c r="B3103" t="s">
        <v>5982</v>
      </c>
      <c r="C3103" t="s">
        <v>5</v>
      </c>
      <c r="D3103">
        <v>26100</v>
      </c>
    </row>
    <row r="3104" spans="1:4" x14ac:dyDescent="0.4">
      <c r="A3104" s="1" t="s">
        <v>5983</v>
      </c>
      <c r="B3104" t="s">
        <v>5984</v>
      </c>
      <c r="C3104" t="s">
        <v>5</v>
      </c>
      <c r="D3104">
        <v>30500</v>
      </c>
    </row>
    <row r="3105" spans="1:4" x14ac:dyDescent="0.4">
      <c r="A3105" s="1" t="s">
        <v>5985</v>
      </c>
      <c r="B3105" t="s">
        <v>5986</v>
      </c>
      <c r="C3105" t="s">
        <v>5</v>
      </c>
      <c r="D3105">
        <v>15300</v>
      </c>
    </row>
    <row r="3106" spans="1:4" x14ac:dyDescent="0.4">
      <c r="A3106" s="1" t="s">
        <v>5987</v>
      </c>
      <c r="B3106" t="s">
        <v>5988</v>
      </c>
      <c r="C3106" t="s">
        <v>5</v>
      </c>
      <c r="D3106">
        <v>20800</v>
      </c>
    </row>
    <row r="3107" spans="1:4" x14ac:dyDescent="0.4">
      <c r="A3107" s="1" t="s">
        <v>5989</v>
      </c>
      <c r="B3107" t="s">
        <v>5990</v>
      </c>
      <c r="C3107" t="s">
        <v>5</v>
      </c>
      <c r="D3107">
        <v>10100</v>
      </c>
    </row>
    <row r="3108" spans="1:4" x14ac:dyDescent="0.4">
      <c r="A3108" s="1" t="s">
        <v>5991</v>
      </c>
      <c r="B3108" t="s">
        <v>5992</v>
      </c>
      <c r="C3108" t="s">
        <v>5</v>
      </c>
      <c r="D3108">
        <v>9200</v>
      </c>
    </row>
    <row r="3109" spans="1:4" x14ac:dyDescent="0.4">
      <c r="A3109" s="1" t="s">
        <v>5993</v>
      </c>
      <c r="B3109" t="s">
        <v>5994</v>
      </c>
      <c r="C3109" t="s">
        <v>5</v>
      </c>
      <c r="D3109">
        <v>10100</v>
      </c>
    </row>
    <row r="3110" spans="1:4" x14ac:dyDescent="0.4">
      <c r="A3110" s="1" t="s">
        <v>5995</v>
      </c>
      <c r="B3110" t="s">
        <v>5996</v>
      </c>
      <c r="C3110" t="s">
        <v>5</v>
      </c>
      <c r="D3110">
        <v>10100</v>
      </c>
    </row>
    <row r="3111" spans="1:4" x14ac:dyDescent="0.4">
      <c r="A3111" s="1" t="s">
        <v>5997</v>
      </c>
      <c r="B3111" t="s">
        <v>5998</v>
      </c>
      <c r="C3111" t="s">
        <v>5</v>
      </c>
      <c r="D3111">
        <v>23600</v>
      </c>
    </row>
    <row r="3112" spans="1:4" x14ac:dyDescent="0.4">
      <c r="A3112" s="1" t="s">
        <v>5999</v>
      </c>
      <c r="B3112" t="s">
        <v>6000</v>
      </c>
      <c r="C3112" t="s">
        <v>5</v>
      </c>
      <c r="D3112">
        <v>31500</v>
      </c>
    </row>
    <row r="3113" spans="1:4" x14ac:dyDescent="0.4">
      <c r="A3113" s="1" t="s">
        <v>6001</v>
      </c>
      <c r="B3113" t="s">
        <v>6002</v>
      </c>
      <c r="C3113" t="s">
        <v>5</v>
      </c>
      <c r="D3113">
        <v>15800</v>
      </c>
    </row>
    <row r="3114" spans="1:4" x14ac:dyDescent="0.4">
      <c r="A3114" s="1" t="s">
        <v>6003</v>
      </c>
      <c r="B3114" t="s">
        <v>6004</v>
      </c>
      <c r="C3114" t="s">
        <v>5</v>
      </c>
      <c r="D3114">
        <v>18800</v>
      </c>
    </row>
    <row r="3115" spans="1:4" x14ac:dyDescent="0.4">
      <c r="A3115" s="1" t="s">
        <v>6005</v>
      </c>
      <c r="B3115" t="s">
        <v>6006</v>
      </c>
      <c r="C3115" t="s">
        <v>5</v>
      </c>
      <c r="D3115">
        <v>17600</v>
      </c>
    </row>
    <row r="3116" spans="1:4" x14ac:dyDescent="0.4">
      <c r="A3116" s="1" t="s">
        <v>6007</v>
      </c>
      <c r="B3116" t="s">
        <v>6008</v>
      </c>
      <c r="C3116" t="s">
        <v>5</v>
      </c>
      <c r="D3116">
        <v>23400</v>
      </c>
    </row>
    <row r="3117" spans="1:4" x14ac:dyDescent="0.4">
      <c r="A3117" s="1" t="s">
        <v>6009</v>
      </c>
      <c r="B3117" t="s">
        <v>6010</v>
      </c>
      <c r="C3117" t="s">
        <v>5</v>
      </c>
      <c r="D3117">
        <v>11700</v>
      </c>
    </row>
    <row r="3118" spans="1:4" x14ac:dyDescent="0.4">
      <c r="A3118" s="1" t="s">
        <v>6011</v>
      </c>
      <c r="B3118" t="s">
        <v>6012</v>
      </c>
      <c r="C3118" t="s">
        <v>5</v>
      </c>
      <c r="D3118">
        <v>14100</v>
      </c>
    </row>
    <row r="3119" spans="1:4" x14ac:dyDescent="0.4">
      <c r="A3119" s="1" t="s">
        <v>6013</v>
      </c>
      <c r="B3119" t="s">
        <v>6014</v>
      </c>
      <c r="C3119" t="s">
        <v>5</v>
      </c>
      <c r="D3119">
        <v>23600</v>
      </c>
    </row>
    <row r="3120" spans="1:4" x14ac:dyDescent="0.4">
      <c r="A3120" s="1" t="s">
        <v>6015</v>
      </c>
      <c r="B3120" t="s">
        <v>6016</v>
      </c>
      <c r="C3120" t="s">
        <v>5</v>
      </c>
      <c r="D3120">
        <v>31500</v>
      </c>
    </row>
    <row r="3121" spans="1:4" x14ac:dyDescent="0.4">
      <c r="A3121" s="1" t="s">
        <v>6017</v>
      </c>
      <c r="B3121" t="s">
        <v>6018</v>
      </c>
      <c r="C3121" t="s">
        <v>5</v>
      </c>
      <c r="D3121">
        <v>15800</v>
      </c>
    </row>
    <row r="3122" spans="1:4" x14ac:dyDescent="0.4">
      <c r="A3122" s="1" t="s">
        <v>6019</v>
      </c>
      <c r="B3122" t="s">
        <v>6020</v>
      </c>
      <c r="C3122" t="s">
        <v>5</v>
      </c>
      <c r="D3122">
        <v>18800</v>
      </c>
    </row>
    <row r="3123" spans="1:4" x14ac:dyDescent="0.4">
      <c r="A3123" s="1" t="s">
        <v>6021</v>
      </c>
      <c r="B3123" t="s">
        <v>6022</v>
      </c>
      <c r="C3123" t="s">
        <v>5</v>
      </c>
      <c r="D3123">
        <v>23600</v>
      </c>
    </row>
    <row r="3124" spans="1:4" x14ac:dyDescent="0.4">
      <c r="A3124" s="1" t="s">
        <v>6023</v>
      </c>
      <c r="B3124" t="s">
        <v>6024</v>
      </c>
      <c r="C3124" t="s">
        <v>5</v>
      </c>
      <c r="D3124">
        <v>31500</v>
      </c>
    </row>
    <row r="3125" spans="1:4" x14ac:dyDescent="0.4">
      <c r="A3125" s="1" t="s">
        <v>6025</v>
      </c>
      <c r="B3125" t="s">
        <v>6026</v>
      </c>
      <c r="C3125" t="s">
        <v>5</v>
      </c>
      <c r="D3125">
        <v>15800</v>
      </c>
    </row>
    <row r="3126" spans="1:4" x14ac:dyDescent="0.4">
      <c r="A3126" s="1" t="s">
        <v>6027</v>
      </c>
      <c r="B3126" t="s">
        <v>6028</v>
      </c>
      <c r="C3126" t="s">
        <v>5</v>
      </c>
      <c r="D3126">
        <v>18800</v>
      </c>
    </row>
    <row r="3127" spans="1:4" x14ac:dyDescent="0.4">
      <c r="A3127" s="1" t="s">
        <v>6029</v>
      </c>
      <c r="B3127" t="s">
        <v>6030</v>
      </c>
      <c r="C3127" t="s">
        <v>5</v>
      </c>
      <c r="D3127">
        <v>10500</v>
      </c>
    </row>
    <row r="3128" spans="1:4" x14ac:dyDescent="0.4">
      <c r="A3128" s="1" t="s">
        <v>6031</v>
      </c>
      <c r="B3128" t="s">
        <v>6032</v>
      </c>
      <c r="C3128" t="s">
        <v>5</v>
      </c>
      <c r="D3128">
        <v>10000</v>
      </c>
    </row>
    <row r="3129" spans="1:4" x14ac:dyDescent="0.4">
      <c r="A3129" s="1" t="s">
        <v>6033</v>
      </c>
      <c r="B3129" t="s">
        <v>6034</v>
      </c>
      <c r="C3129" t="s">
        <v>5</v>
      </c>
      <c r="D3129">
        <v>10500</v>
      </c>
    </row>
    <row r="3130" spans="1:4" x14ac:dyDescent="0.4">
      <c r="A3130" s="1" t="s">
        <v>6035</v>
      </c>
      <c r="B3130" t="s">
        <v>6036</v>
      </c>
      <c r="C3130" t="s">
        <v>5</v>
      </c>
      <c r="D3130">
        <v>10500</v>
      </c>
    </row>
    <row r="3131" spans="1:4" x14ac:dyDescent="0.4">
      <c r="A3131" s="1" t="s">
        <v>6037</v>
      </c>
      <c r="B3131" t="s">
        <v>6038</v>
      </c>
      <c r="C3131" t="s">
        <v>5</v>
      </c>
      <c r="D3131">
        <v>19500</v>
      </c>
    </row>
    <row r="3132" spans="1:4" x14ac:dyDescent="0.4">
      <c r="A3132" s="1" t="s">
        <v>6039</v>
      </c>
      <c r="B3132" t="s">
        <v>6040</v>
      </c>
      <c r="C3132" t="s">
        <v>5</v>
      </c>
      <c r="D3132">
        <v>13100</v>
      </c>
    </row>
    <row r="3133" spans="1:4" x14ac:dyDescent="0.4">
      <c r="A3133" s="1" t="s">
        <v>6041</v>
      </c>
      <c r="B3133" t="s">
        <v>6042</v>
      </c>
      <c r="C3133" t="s">
        <v>5</v>
      </c>
      <c r="D3133">
        <v>13100</v>
      </c>
    </row>
    <row r="3134" spans="1:4" x14ac:dyDescent="0.4">
      <c r="A3134" s="1" t="s">
        <v>6043</v>
      </c>
      <c r="B3134" t="s">
        <v>6044</v>
      </c>
      <c r="C3134" t="s">
        <v>5</v>
      </c>
      <c r="D3134">
        <v>17700</v>
      </c>
    </row>
    <row r="3135" spans="1:4" x14ac:dyDescent="0.4">
      <c r="A3135" s="1" t="s">
        <v>6045</v>
      </c>
      <c r="B3135" t="s">
        <v>6046</v>
      </c>
      <c r="C3135" t="s">
        <v>5</v>
      </c>
      <c r="D3135">
        <v>23800</v>
      </c>
    </row>
    <row r="3136" spans="1:4" x14ac:dyDescent="0.4">
      <c r="A3136" s="1" t="s">
        <v>6047</v>
      </c>
      <c r="B3136" t="s">
        <v>6048</v>
      </c>
      <c r="C3136" t="s">
        <v>5</v>
      </c>
      <c r="D3136">
        <v>11900</v>
      </c>
    </row>
    <row r="3137" spans="1:4" x14ac:dyDescent="0.4">
      <c r="A3137" s="1" t="s">
        <v>6049</v>
      </c>
      <c r="B3137" t="s">
        <v>6050</v>
      </c>
      <c r="C3137" t="s">
        <v>5</v>
      </c>
      <c r="D3137">
        <v>14300</v>
      </c>
    </row>
    <row r="3138" spans="1:4" x14ac:dyDescent="0.4">
      <c r="A3138" s="1" t="s">
        <v>6051</v>
      </c>
      <c r="B3138" t="s">
        <v>6052</v>
      </c>
      <c r="C3138" t="s">
        <v>5</v>
      </c>
      <c r="D3138">
        <v>19500</v>
      </c>
    </row>
    <row r="3139" spans="1:4" x14ac:dyDescent="0.4">
      <c r="A3139" s="1" t="s">
        <v>6053</v>
      </c>
      <c r="B3139" t="s">
        <v>6054</v>
      </c>
      <c r="C3139" t="s">
        <v>5</v>
      </c>
      <c r="D3139">
        <v>13100</v>
      </c>
    </row>
    <row r="3140" spans="1:4" x14ac:dyDescent="0.4">
      <c r="A3140" s="1" t="s">
        <v>6055</v>
      </c>
      <c r="B3140" t="s">
        <v>6056</v>
      </c>
      <c r="C3140" t="s">
        <v>5</v>
      </c>
      <c r="D3140">
        <v>13100</v>
      </c>
    </row>
    <row r="3141" spans="1:4" x14ac:dyDescent="0.4">
      <c r="A3141" s="1" t="s">
        <v>6057</v>
      </c>
      <c r="B3141" t="s">
        <v>6058</v>
      </c>
      <c r="C3141" t="s">
        <v>5</v>
      </c>
      <c r="D3141">
        <v>19500</v>
      </c>
    </row>
    <row r="3142" spans="1:4" x14ac:dyDescent="0.4">
      <c r="A3142" s="1" t="s">
        <v>6059</v>
      </c>
      <c r="B3142" t="s">
        <v>6060</v>
      </c>
      <c r="C3142" t="s">
        <v>5</v>
      </c>
      <c r="D3142">
        <v>13100</v>
      </c>
    </row>
    <row r="3143" spans="1:4" x14ac:dyDescent="0.4">
      <c r="A3143" s="1" t="s">
        <v>6061</v>
      </c>
      <c r="B3143" t="s">
        <v>6062</v>
      </c>
      <c r="C3143" t="s">
        <v>5</v>
      </c>
      <c r="D3143">
        <v>13100</v>
      </c>
    </row>
    <row r="3144" spans="1:4" x14ac:dyDescent="0.4">
      <c r="A3144" s="1" t="s">
        <v>6063</v>
      </c>
      <c r="B3144" t="s">
        <v>6064</v>
      </c>
      <c r="C3144" t="s">
        <v>5</v>
      </c>
      <c r="D3144">
        <v>49800</v>
      </c>
    </row>
    <row r="3145" spans="1:4" x14ac:dyDescent="0.4">
      <c r="A3145" s="1" t="s">
        <v>6065</v>
      </c>
      <c r="B3145" t="s">
        <v>6066</v>
      </c>
      <c r="C3145" t="s">
        <v>5</v>
      </c>
      <c r="D3145">
        <v>39800</v>
      </c>
    </row>
    <row r="3146" spans="1:4" x14ac:dyDescent="0.4">
      <c r="A3146" s="1" t="s">
        <v>6067</v>
      </c>
      <c r="B3146" t="s">
        <v>6068</v>
      </c>
      <c r="C3146" t="s">
        <v>5</v>
      </c>
      <c r="D3146">
        <v>39800</v>
      </c>
    </row>
    <row r="3147" spans="1:4" x14ac:dyDescent="0.4">
      <c r="A3147" s="1" t="s">
        <v>6069</v>
      </c>
      <c r="B3147" t="s">
        <v>6070</v>
      </c>
      <c r="C3147" t="s">
        <v>5</v>
      </c>
      <c r="D3147">
        <v>57300</v>
      </c>
    </row>
    <row r="3148" spans="1:4" x14ac:dyDescent="0.4">
      <c r="A3148" s="1" t="s">
        <v>6071</v>
      </c>
      <c r="B3148" t="s">
        <v>6072</v>
      </c>
      <c r="C3148" t="s">
        <v>5</v>
      </c>
      <c r="D3148">
        <v>45800</v>
      </c>
    </row>
    <row r="3149" spans="1:4" x14ac:dyDescent="0.4">
      <c r="A3149" s="1" t="s">
        <v>6073</v>
      </c>
      <c r="B3149" t="s">
        <v>6074</v>
      </c>
      <c r="C3149" t="s">
        <v>5</v>
      </c>
      <c r="D3149">
        <v>49800</v>
      </c>
    </row>
    <row r="3150" spans="1:4" x14ac:dyDescent="0.4">
      <c r="A3150" s="1" t="s">
        <v>6075</v>
      </c>
      <c r="B3150" t="s">
        <v>6076</v>
      </c>
      <c r="C3150" t="s">
        <v>5</v>
      </c>
      <c r="D3150">
        <v>39800</v>
      </c>
    </row>
    <row r="3151" spans="1:4" x14ac:dyDescent="0.4">
      <c r="A3151" s="1" t="s">
        <v>6077</v>
      </c>
      <c r="B3151" t="s">
        <v>6078</v>
      </c>
      <c r="C3151" t="s">
        <v>5</v>
      </c>
      <c r="D3151">
        <v>39800</v>
      </c>
    </row>
    <row r="3152" spans="1:4" x14ac:dyDescent="0.4">
      <c r="A3152" s="1" t="s">
        <v>6079</v>
      </c>
      <c r="B3152" t="s">
        <v>6080</v>
      </c>
      <c r="C3152" t="s">
        <v>5</v>
      </c>
      <c r="D3152">
        <v>49800</v>
      </c>
    </row>
    <row r="3153" spans="1:4" x14ac:dyDescent="0.4">
      <c r="A3153" s="1" t="s">
        <v>6081</v>
      </c>
      <c r="B3153" t="s">
        <v>6082</v>
      </c>
      <c r="C3153" t="s">
        <v>5</v>
      </c>
      <c r="D3153">
        <v>39800</v>
      </c>
    </row>
    <row r="3154" spans="1:4" x14ac:dyDescent="0.4">
      <c r="A3154" s="1" t="s">
        <v>6083</v>
      </c>
      <c r="B3154" t="s">
        <v>6084</v>
      </c>
      <c r="C3154" t="s">
        <v>5</v>
      </c>
      <c r="D3154">
        <v>39800</v>
      </c>
    </row>
    <row r="3155" spans="1:4" x14ac:dyDescent="0.4">
      <c r="A3155" s="1" t="s">
        <v>6085</v>
      </c>
      <c r="B3155" t="s">
        <v>6086</v>
      </c>
      <c r="C3155" t="s">
        <v>5</v>
      </c>
      <c r="D3155">
        <v>17800</v>
      </c>
    </row>
    <row r="3156" spans="1:4" x14ac:dyDescent="0.4">
      <c r="A3156" s="1" t="s">
        <v>6087</v>
      </c>
      <c r="B3156" t="s">
        <v>6088</v>
      </c>
      <c r="C3156" t="s">
        <v>5</v>
      </c>
      <c r="D3156">
        <v>17800</v>
      </c>
    </row>
    <row r="3157" spans="1:4" x14ac:dyDescent="0.4">
      <c r="A3157" s="1" t="s">
        <v>6089</v>
      </c>
      <c r="B3157" t="s">
        <v>6090</v>
      </c>
      <c r="C3157" t="s">
        <v>5</v>
      </c>
      <c r="D3157">
        <v>17800</v>
      </c>
    </row>
    <row r="3158" spans="1:4" x14ac:dyDescent="0.4">
      <c r="A3158" s="1" t="s">
        <v>6091</v>
      </c>
      <c r="B3158" t="s">
        <v>6092</v>
      </c>
      <c r="C3158" t="s">
        <v>5</v>
      </c>
      <c r="D3158">
        <v>17800</v>
      </c>
    </row>
    <row r="3159" spans="1:4" x14ac:dyDescent="0.4">
      <c r="A3159" s="1" t="s">
        <v>6093</v>
      </c>
      <c r="B3159" t="s">
        <v>6094</v>
      </c>
      <c r="C3159" t="s">
        <v>5</v>
      </c>
      <c r="D3159">
        <v>25500</v>
      </c>
    </row>
    <row r="3160" spans="1:4" x14ac:dyDescent="0.4">
      <c r="A3160" s="1" t="s">
        <v>6095</v>
      </c>
      <c r="B3160" t="s">
        <v>6096</v>
      </c>
      <c r="C3160" t="s">
        <v>5</v>
      </c>
      <c r="D3160">
        <v>20300</v>
      </c>
    </row>
    <row r="3161" spans="1:4" x14ac:dyDescent="0.4">
      <c r="A3161" s="1" t="s">
        <v>6097</v>
      </c>
      <c r="B3161" t="s">
        <v>6098</v>
      </c>
      <c r="C3161" t="s">
        <v>5</v>
      </c>
      <c r="D3161">
        <v>20300</v>
      </c>
    </row>
    <row r="3162" spans="1:4" x14ac:dyDescent="0.4">
      <c r="A3162" s="1" t="s">
        <v>6099</v>
      </c>
      <c r="B3162" t="s">
        <v>6100</v>
      </c>
      <c r="C3162" t="s">
        <v>5</v>
      </c>
      <c r="D3162">
        <v>33200</v>
      </c>
    </row>
    <row r="3163" spans="1:4" x14ac:dyDescent="0.4">
      <c r="A3163" s="1" t="s">
        <v>6101</v>
      </c>
      <c r="B3163" t="s">
        <v>6102</v>
      </c>
      <c r="C3163" t="s">
        <v>5</v>
      </c>
      <c r="D3163">
        <v>25900</v>
      </c>
    </row>
    <row r="3164" spans="1:4" x14ac:dyDescent="0.4">
      <c r="A3164" s="1" t="s">
        <v>6103</v>
      </c>
      <c r="B3164" t="s">
        <v>6104</v>
      </c>
      <c r="C3164" t="s">
        <v>5</v>
      </c>
      <c r="D3164">
        <v>25900</v>
      </c>
    </row>
    <row r="3165" spans="1:4" x14ac:dyDescent="0.4">
      <c r="A3165" s="1" t="s">
        <v>6105</v>
      </c>
      <c r="B3165" t="s">
        <v>6106</v>
      </c>
      <c r="C3165" t="s">
        <v>5</v>
      </c>
      <c r="D3165">
        <v>25500</v>
      </c>
    </row>
    <row r="3166" spans="1:4" x14ac:dyDescent="0.4">
      <c r="A3166" s="1" t="s">
        <v>6107</v>
      </c>
      <c r="B3166" t="s">
        <v>6108</v>
      </c>
      <c r="C3166" t="s">
        <v>5</v>
      </c>
      <c r="D3166">
        <v>20300</v>
      </c>
    </row>
    <row r="3167" spans="1:4" x14ac:dyDescent="0.4">
      <c r="A3167" s="1" t="s">
        <v>6109</v>
      </c>
      <c r="B3167" t="s">
        <v>6110</v>
      </c>
      <c r="C3167" t="s">
        <v>5</v>
      </c>
      <c r="D3167">
        <v>20300</v>
      </c>
    </row>
    <row r="3168" spans="1:4" x14ac:dyDescent="0.4">
      <c r="A3168" s="1" t="s">
        <v>6111</v>
      </c>
      <c r="B3168" t="s">
        <v>6112</v>
      </c>
      <c r="C3168" t="s">
        <v>5</v>
      </c>
      <c r="D3168">
        <v>25500</v>
      </c>
    </row>
    <row r="3169" spans="1:4" x14ac:dyDescent="0.4">
      <c r="A3169" s="1" t="s">
        <v>6113</v>
      </c>
      <c r="B3169" t="s">
        <v>6114</v>
      </c>
      <c r="C3169" t="s">
        <v>5</v>
      </c>
      <c r="D3169">
        <v>20300</v>
      </c>
    </row>
    <row r="3170" spans="1:4" x14ac:dyDescent="0.4">
      <c r="A3170" s="1" t="s">
        <v>6115</v>
      </c>
      <c r="B3170" t="s">
        <v>6116</v>
      </c>
      <c r="C3170" t="s">
        <v>5</v>
      </c>
      <c r="D3170">
        <v>20300</v>
      </c>
    </row>
    <row r="3171" spans="1:4" x14ac:dyDescent="0.4">
      <c r="A3171" s="1" t="s">
        <v>6117</v>
      </c>
      <c r="B3171" t="s">
        <v>6118</v>
      </c>
      <c r="C3171" t="s">
        <v>5</v>
      </c>
      <c r="D3171">
        <v>37200</v>
      </c>
    </row>
    <row r="3172" spans="1:4" x14ac:dyDescent="0.4">
      <c r="A3172" s="1" t="s">
        <v>6119</v>
      </c>
      <c r="B3172" t="s">
        <v>6120</v>
      </c>
      <c r="C3172" t="s">
        <v>5</v>
      </c>
      <c r="D3172">
        <v>29800</v>
      </c>
    </row>
    <row r="3173" spans="1:4" x14ac:dyDescent="0.4">
      <c r="A3173" s="1" t="s">
        <v>6121</v>
      </c>
      <c r="B3173" t="s">
        <v>6122</v>
      </c>
      <c r="C3173" t="s">
        <v>5</v>
      </c>
      <c r="D3173">
        <v>29800</v>
      </c>
    </row>
    <row r="3174" spans="1:4" x14ac:dyDescent="0.4">
      <c r="A3174" s="1" t="s">
        <v>6123</v>
      </c>
      <c r="B3174" t="s">
        <v>6124</v>
      </c>
      <c r="C3174" t="s">
        <v>5</v>
      </c>
      <c r="D3174">
        <v>57800</v>
      </c>
    </row>
    <row r="3175" spans="1:4" x14ac:dyDescent="0.4">
      <c r="A3175" s="1" t="s">
        <v>6125</v>
      </c>
      <c r="B3175" t="s">
        <v>6126</v>
      </c>
      <c r="C3175" t="s">
        <v>5</v>
      </c>
      <c r="D3175">
        <v>46200</v>
      </c>
    </row>
    <row r="3176" spans="1:4" x14ac:dyDescent="0.4">
      <c r="A3176" s="1" t="s">
        <v>6127</v>
      </c>
      <c r="B3176" t="s">
        <v>6128</v>
      </c>
      <c r="C3176" t="s">
        <v>5</v>
      </c>
      <c r="D3176">
        <v>46200</v>
      </c>
    </row>
    <row r="3177" spans="1:4" x14ac:dyDescent="0.4">
      <c r="A3177" s="1" t="s">
        <v>6129</v>
      </c>
      <c r="B3177" t="s">
        <v>6130</v>
      </c>
      <c r="C3177" t="s">
        <v>5</v>
      </c>
      <c r="D3177">
        <v>37200</v>
      </c>
    </row>
    <row r="3178" spans="1:4" x14ac:dyDescent="0.4">
      <c r="A3178" s="1" t="s">
        <v>6131</v>
      </c>
      <c r="B3178" t="s">
        <v>6132</v>
      </c>
      <c r="C3178" t="s">
        <v>5</v>
      </c>
      <c r="D3178">
        <v>29800</v>
      </c>
    </row>
    <row r="3179" spans="1:4" x14ac:dyDescent="0.4">
      <c r="A3179" s="1" t="s">
        <v>6133</v>
      </c>
      <c r="B3179" t="s">
        <v>6134</v>
      </c>
      <c r="C3179" t="s">
        <v>5</v>
      </c>
      <c r="D3179">
        <v>29800</v>
      </c>
    </row>
    <row r="3180" spans="1:4" x14ac:dyDescent="0.4">
      <c r="A3180" s="1" t="s">
        <v>6135</v>
      </c>
      <c r="B3180" t="s">
        <v>6136</v>
      </c>
      <c r="C3180" t="s">
        <v>5</v>
      </c>
      <c r="D3180">
        <v>37200</v>
      </c>
    </row>
    <row r="3181" spans="1:4" x14ac:dyDescent="0.4">
      <c r="A3181" s="1" t="s">
        <v>6137</v>
      </c>
      <c r="B3181" t="s">
        <v>6138</v>
      </c>
      <c r="C3181" t="s">
        <v>5</v>
      </c>
      <c r="D3181">
        <v>29800</v>
      </c>
    </row>
    <row r="3182" spans="1:4" x14ac:dyDescent="0.4">
      <c r="A3182" s="1" t="s">
        <v>6139</v>
      </c>
      <c r="B3182" t="s">
        <v>6140</v>
      </c>
      <c r="C3182" t="s">
        <v>5</v>
      </c>
      <c r="D3182">
        <v>29800</v>
      </c>
    </row>
    <row r="3183" spans="1:4" x14ac:dyDescent="0.4">
      <c r="A3183" s="1" t="s">
        <v>6141</v>
      </c>
      <c r="B3183" t="s">
        <v>6142</v>
      </c>
      <c r="C3183" t="s">
        <v>5</v>
      </c>
      <c r="D3183">
        <v>35000</v>
      </c>
    </row>
    <row r="3184" spans="1:4" x14ac:dyDescent="0.4">
      <c r="A3184" s="1" t="s">
        <v>6143</v>
      </c>
      <c r="B3184" t="s">
        <v>6144</v>
      </c>
      <c r="C3184" t="s">
        <v>5</v>
      </c>
      <c r="D3184">
        <v>10500</v>
      </c>
    </row>
    <row r="3185" spans="1:4" x14ac:dyDescent="0.4">
      <c r="A3185" s="1" t="s">
        <v>6145</v>
      </c>
      <c r="B3185" t="s">
        <v>6146</v>
      </c>
      <c r="C3185" t="s">
        <v>5</v>
      </c>
      <c r="D3185">
        <v>3200</v>
      </c>
    </row>
    <row r="3186" spans="1:4" x14ac:dyDescent="0.4">
      <c r="A3186" s="1" t="s">
        <v>6147</v>
      </c>
      <c r="B3186" t="e">
        <f>-終息-EPSON LPC4K6 感光体ﾕﾆｯﾄ</f>
        <v>#NAME?</v>
      </c>
      <c r="C3186" t="s">
        <v>5</v>
      </c>
      <c r="D3186">
        <v>15000</v>
      </c>
    </row>
    <row r="3187" spans="1:4" x14ac:dyDescent="0.4">
      <c r="A3187" s="1" t="s">
        <v>6148</v>
      </c>
      <c r="B3187" t="s">
        <v>6149</v>
      </c>
      <c r="C3187" t="s">
        <v>5</v>
      </c>
      <c r="D3187">
        <v>27300</v>
      </c>
    </row>
    <row r="3188" spans="1:4" x14ac:dyDescent="0.4">
      <c r="A3188" s="1" t="s">
        <v>6150</v>
      </c>
      <c r="B3188" t="s">
        <v>6151</v>
      </c>
      <c r="C3188" t="s">
        <v>5</v>
      </c>
      <c r="D3188">
        <v>27300</v>
      </c>
    </row>
    <row r="3189" spans="1:4" x14ac:dyDescent="0.4">
      <c r="A3189" s="1" t="s">
        <v>6152</v>
      </c>
      <c r="B3189" t="s">
        <v>6153</v>
      </c>
      <c r="C3189" t="s">
        <v>5</v>
      </c>
      <c r="D3189">
        <v>27300</v>
      </c>
    </row>
    <row r="3190" spans="1:4" x14ac:dyDescent="0.4">
      <c r="A3190" s="1" t="s">
        <v>6154</v>
      </c>
      <c r="B3190" t="s">
        <v>6155</v>
      </c>
      <c r="C3190" t="s">
        <v>5</v>
      </c>
      <c r="D3190">
        <v>27300</v>
      </c>
    </row>
    <row r="3191" spans="1:4" x14ac:dyDescent="0.4">
      <c r="A3191" s="1" t="s">
        <v>6156</v>
      </c>
      <c r="B3191" t="s">
        <v>6157</v>
      </c>
      <c r="C3191" t="s">
        <v>5</v>
      </c>
      <c r="D3191">
        <v>4990</v>
      </c>
    </row>
    <row r="3192" spans="1:4" x14ac:dyDescent="0.4">
      <c r="A3192" s="1" t="s">
        <v>6158</v>
      </c>
      <c r="B3192" t="s">
        <v>6159</v>
      </c>
      <c r="C3192" t="s">
        <v>5</v>
      </c>
      <c r="D3192">
        <v>4990</v>
      </c>
    </row>
    <row r="3193" spans="1:4" x14ac:dyDescent="0.4">
      <c r="A3193" s="1" t="s">
        <v>6160</v>
      </c>
      <c r="B3193" t="s">
        <v>6161</v>
      </c>
      <c r="C3193" t="s">
        <v>5</v>
      </c>
      <c r="D3193">
        <v>4990</v>
      </c>
    </row>
    <row r="3194" spans="1:4" x14ac:dyDescent="0.4">
      <c r="A3194" s="1" t="s">
        <v>6162</v>
      </c>
      <c r="B3194" t="s">
        <v>6163</v>
      </c>
      <c r="C3194" t="s">
        <v>5</v>
      </c>
      <c r="D3194">
        <v>4990</v>
      </c>
    </row>
    <row r="3195" spans="1:4" x14ac:dyDescent="0.4">
      <c r="A3195" s="1" t="s">
        <v>6164</v>
      </c>
      <c r="B3195" t="s">
        <v>6165</v>
      </c>
      <c r="C3195" t="s">
        <v>5</v>
      </c>
      <c r="D3195">
        <v>25500</v>
      </c>
    </row>
    <row r="3196" spans="1:4" x14ac:dyDescent="0.4">
      <c r="A3196" s="1" t="s">
        <v>6166</v>
      </c>
      <c r="B3196" t="s">
        <v>6167</v>
      </c>
      <c r="C3196" t="s">
        <v>5</v>
      </c>
      <c r="D3196">
        <v>20300</v>
      </c>
    </row>
    <row r="3197" spans="1:4" x14ac:dyDescent="0.4">
      <c r="A3197" s="1" t="s">
        <v>6168</v>
      </c>
      <c r="B3197" t="s">
        <v>6169</v>
      </c>
      <c r="C3197" t="s">
        <v>5</v>
      </c>
      <c r="D3197">
        <v>20300</v>
      </c>
    </row>
    <row r="3198" spans="1:4" x14ac:dyDescent="0.4">
      <c r="A3198" s="1" t="s">
        <v>6170</v>
      </c>
      <c r="B3198" t="s">
        <v>6171</v>
      </c>
      <c r="C3198" t="s">
        <v>5</v>
      </c>
      <c r="D3198">
        <v>21000</v>
      </c>
    </row>
    <row r="3199" spans="1:4" x14ac:dyDescent="0.4">
      <c r="A3199" s="1" t="s">
        <v>6172</v>
      </c>
      <c r="B3199" t="s">
        <v>6173</v>
      </c>
      <c r="C3199" t="s">
        <v>5</v>
      </c>
      <c r="D3199">
        <v>39100</v>
      </c>
    </row>
    <row r="3200" spans="1:4" x14ac:dyDescent="0.4">
      <c r="A3200" s="1" t="s">
        <v>6174</v>
      </c>
      <c r="B3200" t="s">
        <v>6175</v>
      </c>
      <c r="C3200" t="s">
        <v>5</v>
      </c>
      <c r="D3200">
        <v>31300</v>
      </c>
    </row>
    <row r="3201" spans="1:4" x14ac:dyDescent="0.4">
      <c r="A3201" s="1" t="s">
        <v>6176</v>
      </c>
      <c r="B3201" t="s">
        <v>6177</v>
      </c>
      <c r="C3201" t="s">
        <v>5</v>
      </c>
      <c r="D3201">
        <v>16800</v>
      </c>
    </row>
    <row r="3202" spans="1:4" x14ac:dyDescent="0.4">
      <c r="A3202" s="1" t="s">
        <v>6178</v>
      </c>
      <c r="B3202" t="s">
        <v>6179</v>
      </c>
      <c r="C3202" t="s">
        <v>5</v>
      </c>
      <c r="D3202">
        <v>16800</v>
      </c>
    </row>
    <row r="3203" spans="1:4" x14ac:dyDescent="0.4">
      <c r="A3203" s="1" t="s">
        <v>6180</v>
      </c>
      <c r="B3203" t="s">
        <v>6181</v>
      </c>
      <c r="C3203" t="s">
        <v>5</v>
      </c>
      <c r="D3203">
        <v>25500</v>
      </c>
    </row>
    <row r="3204" spans="1:4" x14ac:dyDescent="0.4">
      <c r="A3204" s="1" t="s">
        <v>6182</v>
      </c>
      <c r="B3204" t="s">
        <v>6183</v>
      </c>
      <c r="C3204" t="s">
        <v>5</v>
      </c>
      <c r="D3204">
        <v>20300</v>
      </c>
    </row>
    <row r="3205" spans="1:4" x14ac:dyDescent="0.4">
      <c r="A3205" s="1" t="s">
        <v>6184</v>
      </c>
      <c r="B3205" t="s">
        <v>6185</v>
      </c>
      <c r="C3205" t="s">
        <v>5</v>
      </c>
      <c r="D3205">
        <v>20300</v>
      </c>
    </row>
    <row r="3206" spans="1:4" x14ac:dyDescent="0.4">
      <c r="A3206" s="1" t="s">
        <v>6186</v>
      </c>
      <c r="B3206" t="s">
        <v>6187</v>
      </c>
      <c r="C3206" t="s">
        <v>5</v>
      </c>
      <c r="D3206">
        <v>25500</v>
      </c>
    </row>
    <row r="3207" spans="1:4" x14ac:dyDescent="0.4">
      <c r="A3207" s="1" t="s">
        <v>6188</v>
      </c>
      <c r="B3207" t="s">
        <v>6189</v>
      </c>
      <c r="C3207" t="s">
        <v>5</v>
      </c>
      <c r="D3207">
        <v>20300</v>
      </c>
    </row>
    <row r="3208" spans="1:4" x14ac:dyDescent="0.4">
      <c r="A3208" s="1" t="s">
        <v>6190</v>
      </c>
      <c r="B3208" t="s">
        <v>6191</v>
      </c>
      <c r="C3208" t="s">
        <v>5</v>
      </c>
      <c r="D3208">
        <v>20300</v>
      </c>
    </row>
    <row r="3209" spans="1:4" x14ac:dyDescent="0.4">
      <c r="A3209" s="1" t="s">
        <v>6192</v>
      </c>
      <c r="B3209" t="e">
        <f>-終息-EPSON LPC4T7CV 環境推進トナー ｼｱﾝ</f>
        <v>#NAME?</v>
      </c>
      <c r="C3209" t="s">
        <v>5</v>
      </c>
      <c r="D3209">
        <v>12000</v>
      </c>
    </row>
    <row r="3210" spans="1:4" x14ac:dyDescent="0.4">
      <c r="A3210" s="1" t="s">
        <v>6193</v>
      </c>
      <c r="B3210" t="e">
        <f>-終息-EPSON LPC4T7KV 環境推進トナー ﾌﾞﾗｯｸ</f>
        <v>#NAME?</v>
      </c>
      <c r="C3210" t="s">
        <v>5</v>
      </c>
      <c r="D3210">
        <v>10500</v>
      </c>
    </row>
    <row r="3211" spans="1:4" x14ac:dyDescent="0.4">
      <c r="A3211" s="1" t="s">
        <v>6194</v>
      </c>
      <c r="B3211" t="e">
        <f>-終息-EPSON LPC4T7MV 環境推進トナー ﾏｾﾞﾝﾀﾞ</f>
        <v>#NAME?</v>
      </c>
      <c r="C3211" t="s">
        <v>5</v>
      </c>
      <c r="D3211">
        <v>12000</v>
      </c>
    </row>
    <row r="3212" spans="1:4" x14ac:dyDescent="0.4">
      <c r="A3212" s="1" t="s">
        <v>6195</v>
      </c>
      <c r="B3212" t="s">
        <v>6196</v>
      </c>
      <c r="C3212" t="s">
        <v>5</v>
      </c>
      <c r="D3212">
        <v>12000</v>
      </c>
    </row>
    <row r="3213" spans="1:4" x14ac:dyDescent="0.4">
      <c r="A3213" s="1" t="s">
        <v>6197</v>
      </c>
      <c r="B3213" t="e">
        <f>-終息-EPSON LPC4T8C ﾄﾅｰｶｰﾄﾘｯｼﾞ ｼｱﾝ</f>
        <v>#NAME?</v>
      </c>
      <c r="C3213" t="s">
        <v>5</v>
      </c>
      <c r="D3213">
        <v>8380</v>
      </c>
    </row>
    <row r="3214" spans="1:4" x14ac:dyDescent="0.4">
      <c r="A3214" s="1" t="s">
        <v>6198</v>
      </c>
      <c r="B3214" t="e">
        <f>-終息-EPSON LPC4T8CS 環境推進トナー ｼｱﾝ</f>
        <v>#NAME?</v>
      </c>
      <c r="C3214" t="s">
        <v>5</v>
      </c>
      <c r="D3214">
        <v>6700</v>
      </c>
    </row>
    <row r="3215" spans="1:4" x14ac:dyDescent="0.4">
      <c r="A3215" s="1" t="s">
        <v>6199</v>
      </c>
      <c r="B3215" t="e">
        <f>-終息-EPSON LPC4T8CV 環境推進トナー ｼｱﾝ</f>
        <v>#NAME?</v>
      </c>
      <c r="C3215" t="s">
        <v>5</v>
      </c>
      <c r="D3215">
        <v>6700</v>
      </c>
    </row>
    <row r="3216" spans="1:4" x14ac:dyDescent="0.4">
      <c r="A3216" s="1" t="s">
        <v>6200</v>
      </c>
      <c r="B3216" t="e">
        <f>-終息-EPSON LPC4T8K ﾄﾅｰｶｰﾄﾘｯｼﾞ ﾌﾞﾗｯｸ</f>
        <v>#NAME?</v>
      </c>
      <c r="C3216" t="s">
        <v>5</v>
      </c>
      <c r="D3216">
        <v>10600</v>
      </c>
    </row>
    <row r="3217" spans="1:4" x14ac:dyDescent="0.4">
      <c r="A3217" s="1" t="s">
        <v>6201</v>
      </c>
      <c r="B3217" t="e">
        <f>-終息-EPSON LPC4T8KS 環境推進トナー ﾌﾞﾗｯｸ</f>
        <v>#NAME?</v>
      </c>
      <c r="C3217" t="s">
        <v>5</v>
      </c>
      <c r="D3217">
        <v>8500</v>
      </c>
    </row>
    <row r="3218" spans="1:4" x14ac:dyDescent="0.4">
      <c r="A3218" s="1" t="s">
        <v>6202</v>
      </c>
      <c r="B3218" t="e">
        <f>-終息-EPSON LPC4T8KV 環境推進トナー ﾌﾞﾗｯｸ</f>
        <v>#NAME?</v>
      </c>
      <c r="C3218" t="s">
        <v>5</v>
      </c>
      <c r="D3218">
        <v>8500</v>
      </c>
    </row>
    <row r="3219" spans="1:4" x14ac:dyDescent="0.4">
      <c r="A3219" s="1" t="s">
        <v>6203</v>
      </c>
      <c r="B3219" t="e">
        <f>-終息-EPSON LPC4T8M ﾄﾅｰｶｰﾄﾘｯｼﾞ ﾏｾﾞﾝﾀﾞ</f>
        <v>#NAME?</v>
      </c>
      <c r="C3219" t="s">
        <v>5</v>
      </c>
      <c r="D3219">
        <v>8380</v>
      </c>
    </row>
    <row r="3220" spans="1:4" x14ac:dyDescent="0.4">
      <c r="A3220" s="1" t="s">
        <v>6204</v>
      </c>
      <c r="B3220" t="e">
        <f>-終息-EPSON LPC4T8MS 環境推進トナー ﾏｾﾞﾝﾀ</f>
        <v>#NAME?</v>
      </c>
      <c r="C3220" t="s">
        <v>5</v>
      </c>
      <c r="D3220">
        <v>6700</v>
      </c>
    </row>
    <row r="3221" spans="1:4" x14ac:dyDescent="0.4">
      <c r="A3221" s="1" t="s">
        <v>6205</v>
      </c>
      <c r="B3221" t="e">
        <f>-終息-EPSON LPC4T8MV 環境推進トナー ﾏｾﾞﾝﾀﾞ</f>
        <v>#NAME?</v>
      </c>
      <c r="C3221" t="s">
        <v>5</v>
      </c>
      <c r="D3221">
        <v>6700</v>
      </c>
    </row>
    <row r="3222" spans="1:4" x14ac:dyDescent="0.4">
      <c r="A3222" s="1" t="s">
        <v>6206</v>
      </c>
      <c r="B3222" t="e">
        <f>-終息-EPSON LPC4T8Y ﾄﾅｰｶｰﾄﾘｯｼﾞ ｲｴﾛｰ</f>
        <v>#NAME?</v>
      </c>
      <c r="C3222" t="s">
        <v>5</v>
      </c>
      <c r="D3222">
        <v>8380</v>
      </c>
    </row>
    <row r="3223" spans="1:4" x14ac:dyDescent="0.4">
      <c r="A3223" s="1" t="s">
        <v>6207</v>
      </c>
      <c r="B3223" t="e">
        <f>-終息-EPSON LPC4T8YS 環境推進トナー ｲｴﾛｰ</f>
        <v>#NAME?</v>
      </c>
      <c r="C3223" t="s">
        <v>5</v>
      </c>
      <c r="D3223">
        <v>6700</v>
      </c>
    </row>
    <row r="3224" spans="1:4" x14ac:dyDescent="0.4">
      <c r="A3224" s="1" t="s">
        <v>6208</v>
      </c>
      <c r="B3224" t="e">
        <f>-終息-EPSON LPC4T8YV 環境推進トナー ｲｴﾛｰ</f>
        <v>#NAME?</v>
      </c>
      <c r="C3224" t="s">
        <v>5</v>
      </c>
      <c r="D3224">
        <v>6700</v>
      </c>
    </row>
    <row r="3225" spans="1:4" x14ac:dyDescent="0.4">
      <c r="A3225" s="1" t="s">
        <v>6209</v>
      </c>
      <c r="B3225" t="s">
        <v>6210</v>
      </c>
      <c r="C3225" t="s">
        <v>5</v>
      </c>
      <c r="D3225">
        <v>18500</v>
      </c>
    </row>
    <row r="3226" spans="1:4" x14ac:dyDescent="0.4">
      <c r="A3226" s="1" t="s">
        <v>6211</v>
      </c>
      <c r="B3226" t="s">
        <v>6212</v>
      </c>
      <c r="C3226" t="s">
        <v>5</v>
      </c>
      <c r="D3226">
        <v>14700</v>
      </c>
    </row>
    <row r="3227" spans="1:4" x14ac:dyDescent="0.4">
      <c r="A3227" s="1" t="s">
        <v>6213</v>
      </c>
      <c r="B3227" t="s">
        <v>6214</v>
      </c>
      <c r="C3227" t="s">
        <v>5</v>
      </c>
      <c r="D3227">
        <v>14700</v>
      </c>
    </row>
    <row r="3228" spans="1:4" x14ac:dyDescent="0.4">
      <c r="A3228" s="1" t="s">
        <v>6215</v>
      </c>
      <c r="B3228" t="s">
        <v>6216</v>
      </c>
      <c r="C3228" t="s">
        <v>5</v>
      </c>
      <c r="D3228">
        <v>18200</v>
      </c>
    </row>
    <row r="3229" spans="1:4" x14ac:dyDescent="0.4">
      <c r="A3229" s="1" t="s">
        <v>6217</v>
      </c>
      <c r="B3229" t="s">
        <v>6218</v>
      </c>
      <c r="C3229" t="s">
        <v>5</v>
      </c>
      <c r="D3229">
        <v>33800</v>
      </c>
    </row>
    <row r="3230" spans="1:4" x14ac:dyDescent="0.4">
      <c r="A3230" s="1" t="s">
        <v>6219</v>
      </c>
      <c r="B3230" t="s">
        <v>6220</v>
      </c>
      <c r="C3230" t="s">
        <v>5</v>
      </c>
      <c r="D3230">
        <v>27000</v>
      </c>
    </row>
    <row r="3231" spans="1:4" x14ac:dyDescent="0.4">
      <c r="A3231" s="1" t="s">
        <v>6221</v>
      </c>
      <c r="B3231" t="s">
        <v>6222</v>
      </c>
      <c r="C3231" t="s">
        <v>5</v>
      </c>
      <c r="D3231">
        <v>14500</v>
      </c>
    </row>
    <row r="3232" spans="1:4" x14ac:dyDescent="0.4">
      <c r="A3232" s="1" t="s">
        <v>6223</v>
      </c>
      <c r="B3232" t="s">
        <v>6224</v>
      </c>
      <c r="C3232" t="s">
        <v>5</v>
      </c>
      <c r="D3232">
        <v>14500</v>
      </c>
    </row>
    <row r="3233" spans="1:4" x14ac:dyDescent="0.4">
      <c r="A3233" s="1" t="s">
        <v>6225</v>
      </c>
      <c r="B3233" t="s">
        <v>6226</v>
      </c>
      <c r="C3233" t="s">
        <v>5</v>
      </c>
      <c r="D3233">
        <v>18500</v>
      </c>
    </row>
    <row r="3234" spans="1:4" x14ac:dyDescent="0.4">
      <c r="A3234" s="1" t="s">
        <v>6227</v>
      </c>
      <c r="B3234" t="s">
        <v>6228</v>
      </c>
      <c r="C3234" t="s">
        <v>5</v>
      </c>
      <c r="D3234">
        <v>14700</v>
      </c>
    </row>
    <row r="3235" spans="1:4" x14ac:dyDescent="0.4">
      <c r="A3235" s="1" t="s">
        <v>6229</v>
      </c>
      <c r="B3235" t="s">
        <v>6230</v>
      </c>
      <c r="C3235" t="s">
        <v>5</v>
      </c>
      <c r="D3235">
        <v>14700</v>
      </c>
    </row>
    <row r="3236" spans="1:4" x14ac:dyDescent="0.4">
      <c r="A3236" s="1" t="s">
        <v>6231</v>
      </c>
      <c r="B3236" t="s">
        <v>6232</v>
      </c>
      <c r="C3236" t="s">
        <v>5</v>
      </c>
      <c r="D3236">
        <v>18500</v>
      </c>
    </row>
    <row r="3237" spans="1:4" x14ac:dyDescent="0.4">
      <c r="A3237" s="1" t="s">
        <v>6233</v>
      </c>
      <c r="B3237" t="s">
        <v>6234</v>
      </c>
      <c r="C3237" t="s">
        <v>5</v>
      </c>
      <c r="D3237">
        <v>14700</v>
      </c>
    </row>
    <row r="3238" spans="1:4" x14ac:dyDescent="0.4">
      <c r="A3238" s="1" t="s">
        <v>6235</v>
      </c>
      <c r="B3238" t="s">
        <v>6236</v>
      </c>
      <c r="C3238" t="s">
        <v>5</v>
      </c>
      <c r="D3238">
        <v>14700</v>
      </c>
    </row>
    <row r="3239" spans="1:4" x14ac:dyDescent="0.4">
      <c r="A3239" s="1" t="s">
        <v>6237</v>
      </c>
      <c r="B3239" t="s">
        <v>6238</v>
      </c>
      <c r="C3239" t="s">
        <v>5</v>
      </c>
      <c r="D3239">
        <v>35000</v>
      </c>
    </row>
    <row r="3240" spans="1:4" x14ac:dyDescent="0.4">
      <c r="A3240" s="1" t="s">
        <v>6239</v>
      </c>
      <c r="B3240" t="s">
        <v>6240</v>
      </c>
      <c r="C3240" t="s">
        <v>5</v>
      </c>
      <c r="D3240">
        <v>35000</v>
      </c>
    </row>
    <row r="3241" spans="1:4" x14ac:dyDescent="0.4">
      <c r="A3241" s="1" t="s">
        <v>6241</v>
      </c>
      <c r="B3241" t="s">
        <v>6242</v>
      </c>
      <c r="C3241" t="s">
        <v>5</v>
      </c>
      <c r="D3241">
        <v>16000</v>
      </c>
    </row>
    <row r="3242" spans="1:4" x14ac:dyDescent="0.4">
      <c r="A3242" s="1" t="s">
        <v>6243</v>
      </c>
      <c r="B3242" t="s">
        <v>6244</v>
      </c>
      <c r="C3242" t="s">
        <v>5</v>
      </c>
      <c r="D3242">
        <v>19500</v>
      </c>
    </row>
    <row r="3243" spans="1:4" x14ac:dyDescent="0.4">
      <c r="A3243" s="1" t="s">
        <v>6245</v>
      </c>
      <c r="B3243" t="s">
        <v>6246</v>
      </c>
      <c r="C3243" t="s">
        <v>5</v>
      </c>
      <c r="D3243">
        <v>16000</v>
      </c>
    </row>
    <row r="3244" spans="1:4" x14ac:dyDescent="0.4">
      <c r="A3244" s="1" t="s">
        <v>6247</v>
      </c>
      <c r="B3244" t="s">
        <v>6248</v>
      </c>
      <c r="C3244" t="s">
        <v>5</v>
      </c>
      <c r="D3244">
        <v>16000</v>
      </c>
    </row>
    <row r="3245" spans="1:4" x14ac:dyDescent="0.4">
      <c r="A3245" s="1" t="s">
        <v>6249</v>
      </c>
      <c r="B3245" t="s">
        <v>6250</v>
      </c>
      <c r="C3245" t="s">
        <v>5</v>
      </c>
      <c r="D3245">
        <v>27000</v>
      </c>
    </row>
    <row r="3246" spans="1:4" x14ac:dyDescent="0.4">
      <c r="A3246" s="1" t="s">
        <v>6251</v>
      </c>
      <c r="B3246" t="s">
        <v>6252</v>
      </c>
      <c r="C3246" t="s">
        <v>5</v>
      </c>
      <c r="D3246">
        <v>32500</v>
      </c>
    </row>
    <row r="3247" spans="1:4" x14ac:dyDescent="0.4">
      <c r="A3247" s="1" t="s">
        <v>6253</v>
      </c>
      <c r="B3247" t="s">
        <v>6254</v>
      </c>
      <c r="C3247" t="s">
        <v>5</v>
      </c>
      <c r="D3247">
        <v>27000</v>
      </c>
    </row>
    <row r="3248" spans="1:4" x14ac:dyDescent="0.4">
      <c r="A3248" s="1" t="s">
        <v>6255</v>
      </c>
      <c r="B3248" t="s">
        <v>6256</v>
      </c>
      <c r="C3248" t="s">
        <v>5</v>
      </c>
      <c r="D3248">
        <v>27000</v>
      </c>
    </row>
    <row r="3249" spans="1:4" x14ac:dyDescent="0.4">
      <c r="A3249" s="1" t="s">
        <v>6257</v>
      </c>
      <c r="B3249" t="s">
        <v>6258</v>
      </c>
      <c r="C3249" t="s">
        <v>5</v>
      </c>
      <c r="D3249">
        <v>4000</v>
      </c>
    </row>
    <row r="3250" spans="1:4" x14ac:dyDescent="0.4">
      <c r="A3250" s="1" t="s">
        <v>6259</v>
      </c>
      <c r="B3250" t="e">
        <f>-終息-EPSON LPCA3HTB5 廃ﾄﾅｰﾎﾞｯｸｽ</f>
        <v>#NAME?</v>
      </c>
      <c r="C3250" t="s">
        <v>5</v>
      </c>
      <c r="D3250">
        <v>3000</v>
      </c>
    </row>
    <row r="3251" spans="1:4" x14ac:dyDescent="0.4">
      <c r="A3251" s="1" t="s">
        <v>6260</v>
      </c>
      <c r="B3251" t="e">
        <f>-在庫限り終息-EPSON LPCA3K9 感光体ﾕﾆｯﾄ</f>
        <v>#NAME?</v>
      </c>
      <c r="C3251" t="s">
        <v>5</v>
      </c>
      <c r="D3251">
        <v>33000</v>
      </c>
    </row>
    <row r="3252" spans="1:4" x14ac:dyDescent="0.4">
      <c r="A3252" s="1" t="s">
        <v>6261</v>
      </c>
      <c r="B3252" t="e">
        <f>-在庫限りで終息-EPSON LPCA3KUT7C 感光体ﾕﾆｯﾄ ｼｱﾝ</f>
        <v>#NAME?</v>
      </c>
      <c r="C3252" t="s">
        <v>5</v>
      </c>
      <c r="D3252">
        <v>23000</v>
      </c>
    </row>
    <row r="3253" spans="1:4" x14ac:dyDescent="0.4">
      <c r="A3253" s="1" t="s">
        <v>6262</v>
      </c>
      <c r="B3253" t="e">
        <f>-在庫限りで終息-EPSON LPCA3KUT7K 感光体ﾕﾆｯﾄ ﾌﾞﾗｯｸ</f>
        <v>#NAME?</v>
      </c>
      <c r="C3253" t="s">
        <v>5</v>
      </c>
      <c r="D3253">
        <v>35000</v>
      </c>
    </row>
    <row r="3254" spans="1:4" x14ac:dyDescent="0.4">
      <c r="A3254" s="1" t="s">
        <v>6263</v>
      </c>
      <c r="B3254" t="e">
        <f>-在庫限りで終息-EPSON LPCA3KUT7M 感光体ﾕﾆｯﾄ ﾏｾﾞﾝﾀﾞ</f>
        <v>#NAME?</v>
      </c>
      <c r="C3254" t="s">
        <v>5</v>
      </c>
      <c r="D3254">
        <v>23000</v>
      </c>
    </row>
    <row r="3255" spans="1:4" x14ac:dyDescent="0.4">
      <c r="A3255" s="1" t="s">
        <v>6264</v>
      </c>
      <c r="B3255" t="e">
        <f>-在庫限りで終息-EPSON LPCA3KUT7Y 感光体ﾕﾆｯﾄ ｲｴﾛｰ</f>
        <v>#NAME?</v>
      </c>
      <c r="C3255" t="s">
        <v>5</v>
      </c>
      <c r="D3255">
        <v>23000</v>
      </c>
    </row>
    <row r="3256" spans="1:4" x14ac:dyDescent="0.4">
      <c r="A3256" s="1" t="s">
        <v>6265</v>
      </c>
      <c r="B3256" t="s">
        <v>6266</v>
      </c>
      <c r="C3256" t="s">
        <v>5</v>
      </c>
      <c r="D3256">
        <v>14500</v>
      </c>
    </row>
    <row r="3257" spans="1:4" x14ac:dyDescent="0.4">
      <c r="A3257" s="1" t="s">
        <v>6267</v>
      </c>
      <c r="B3257" t="s">
        <v>6268</v>
      </c>
      <c r="C3257" t="s">
        <v>5</v>
      </c>
      <c r="D3257">
        <v>14500</v>
      </c>
    </row>
    <row r="3258" spans="1:4" x14ac:dyDescent="0.4">
      <c r="A3258" s="1" t="s">
        <v>6269</v>
      </c>
      <c r="B3258" t="s">
        <v>6270</v>
      </c>
      <c r="C3258" t="s">
        <v>5</v>
      </c>
      <c r="D3258">
        <v>14500</v>
      </c>
    </row>
    <row r="3259" spans="1:4" x14ac:dyDescent="0.4">
      <c r="A3259" s="1" t="s">
        <v>6271</v>
      </c>
      <c r="B3259" t="s">
        <v>6272</v>
      </c>
      <c r="C3259" t="s">
        <v>5</v>
      </c>
      <c r="D3259">
        <v>24500</v>
      </c>
    </row>
    <row r="3260" spans="1:4" x14ac:dyDescent="0.4">
      <c r="A3260" s="1" t="s">
        <v>6273</v>
      </c>
      <c r="B3260" t="e">
        <f>-終息-EPSON LPCA3T12K ﾄﾅｰｶｰﾄﾘｯｼﾞ ﾌﾞﾗｯｸ</f>
        <v>#NAME?</v>
      </c>
      <c r="C3260" t="s">
        <v>5</v>
      </c>
      <c r="D3260">
        <v>14000</v>
      </c>
    </row>
    <row r="3261" spans="1:4" x14ac:dyDescent="0.4">
      <c r="A3261" s="1" t="s">
        <v>6274</v>
      </c>
      <c r="B3261" t="s">
        <v>6275</v>
      </c>
      <c r="C3261" t="s">
        <v>5</v>
      </c>
      <c r="D3261">
        <v>23800</v>
      </c>
    </row>
    <row r="3262" spans="1:4" x14ac:dyDescent="0.4">
      <c r="A3262" s="1" t="s">
        <v>6276</v>
      </c>
      <c r="B3262" t="s">
        <v>6277</v>
      </c>
      <c r="C3262" t="s">
        <v>5</v>
      </c>
      <c r="D3262">
        <v>24500</v>
      </c>
    </row>
    <row r="3263" spans="1:4" x14ac:dyDescent="0.4">
      <c r="A3263" s="1" t="s">
        <v>6278</v>
      </c>
      <c r="B3263" t="s">
        <v>6279</v>
      </c>
      <c r="C3263" t="s">
        <v>5</v>
      </c>
      <c r="D3263">
        <v>24500</v>
      </c>
    </row>
    <row r="3264" spans="1:4" x14ac:dyDescent="0.4">
      <c r="A3264" s="1" t="s">
        <v>6280</v>
      </c>
      <c r="B3264" t="e">
        <f>-終息-EPSON LPCA3T19C ﾄﾅｰｶｰﾄﾘｯｼﾞ ｼｱﾝ</f>
        <v>#NAME?</v>
      </c>
      <c r="C3264" t="s">
        <v>5</v>
      </c>
      <c r="D3264">
        <v>8700</v>
      </c>
    </row>
    <row r="3265" spans="1:4" x14ac:dyDescent="0.4">
      <c r="A3265" s="1" t="s">
        <v>6281</v>
      </c>
      <c r="B3265" t="e">
        <f>-終息-EPSON LPCA3T19K ﾄﾅｰｶｰﾄﾘｯｼﾞ ﾌﾞﾗｯｸ</f>
        <v>#NAME?</v>
      </c>
      <c r="C3265" t="s">
        <v>5</v>
      </c>
      <c r="D3265">
        <v>7500</v>
      </c>
    </row>
    <row r="3266" spans="1:4" x14ac:dyDescent="0.4">
      <c r="A3266" s="1" t="s">
        <v>6282</v>
      </c>
      <c r="B3266" t="e">
        <f>-終息-EPSON LPCA3T19M ﾄﾅｰｶｰﾄﾘｯｼﾞ ﾏｾﾞﾝﾀ</f>
        <v>#NAME?</v>
      </c>
      <c r="C3266" t="s">
        <v>5</v>
      </c>
      <c r="D3266">
        <v>8700</v>
      </c>
    </row>
    <row r="3267" spans="1:4" x14ac:dyDescent="0.4">
      <c r="A3267" s="1" t="s">
        <v>6283</v>
      </c>
      <c r="B3267" t="e">
        <f>-終息-EPSON LPCA3T19Y ﾄﾅｰｶｰﾄﾘｯｼﾞ ｲｴﾛｰ</f>
        <v>#NAME?</v>
      </c>
      <c r="C3267" t="s">
        <v>5</v>
      </c>
      <c r="D3267">
        <v>8700</v>
      </c>
    </row>
    <row r="3268" spans="1:4" x14ac:dyDescent="0.4">
      <c r="A3268" s="1" t="s">
        <v>6284</v>
      </c>
      <c r="B3268" t="s">
        <v>6285</v>
      </c>
      <c r="C3268" t="s">
        <v>5</v>
      </c>
      <c r="D3268">
        <v>35000</v>
      </c>
    </row>
    <row r="3269" spans="1:4" x14ac:dyDescent="0.4">
      <c r="A3269" s="1" t="s">
        <v>6286</v>
      </c>
      <c r="B3269" t="s">
        <v>6287</v>
      </c>
      <c r="C3269" t="s">
        <v>5</v>
      </c>
      <c r="D3269">
        <v>45000</v>
      </c>
    </row>
    <row r="3270" spans="1:4" x14ac:dyDescent="0.4">
      <c r="A3270" s="1" t="s">
        <v>6288</v>
      </c>
      <c r="B3270" t="s">
        <v>6289</v>
      </c>
      <c r="C3270" t="s">
        <v>5</v>
      </c>
      <c r="D3270">
        <v>13000</v>
      </c>
    </row>
    <row r="3271" spans="1:4" x14ac:dyDescent="0.4">
      <c r="A3271" s="1" t="s">
        <v>6290</v>
      </c>
      <c r="B3271" t="s">
        <v>6291</v>
      </c>
      <c r="C3271" t="s">
        <v>5</v>
      </c>
      <c r="D3271">
        <v>9000</v>
      </c>
    </row>
    <row r="3272" spans="1:4" x14ac:dyDescent="0.4">
      <c r="A3272" s="1" t="s">
        <v>6292</v>
      </c>
      <c r="B3272" t="s">
        <v>6293</v>
      </c>
      <c r="C3272" t="s">
        <v>5</v>
      </c>
      <c r="D3272">
        <v>13000</v>
      </c>
    </row>
    <row r="3273" spans="1:4" x14ac:dyDescent="0.4">
      <c r="A3273" s="1" t="s">
        <v>6294</v>
      </c>
      <c r="B3273" t="s">
        <v>6295</v>
      </c>
      <c r="C3273" t="s">
        <v>5</v>
      </c>
      <c r="D3273">
        <v>13000</v>
      </c>
    </row>
    <row r="3274" spans="1:4" x14ac:dyDescent="0.4">
      <c r="A3274" s="1" t="s">
        <v>6296</v>
      </c>
      <c r="B3274" t="s">
        <v>6297</v>
      </c>
      <c r="C3274" t="s">
        <v>5</v>
      </c>
      <c r="D3274">
        <v>45800</v>
      </c>
    </row>
    <row r="3275" spans="1:4" x14ac:dyDescent="0.4">
      <c r="A3275" s="1" t="s">
        <v>6298</v>
      </c>
      <c r="B3275" t="s">
        <v>6299</v>
      </c>
    </row>
    <row r="3276" spans="1:4" x14ac:dyDescent="0.4">
      <c r="A3276" s="1" t="s">
        <v>6300</v>
      </c>
      <c r="B3276" t="s">
        <v>6301</v>
      </c>
    </row>
    <row r="3277" spans="1:4" x14ac:dyDescent="0.4">
      <c r="A3277" s="1" t="s">
        <v>6302</v>
      </c>
      <c r="B3277" t="s">
        <v>6303</v>
      </c>
      <c r="C3277" t="s">
        <v>5</v>
      </c>
    </row>
    <row r="3278" spans="1:4" x14ac:dyDescent="0.4">
      <c r="A3278" s="1" t="s">
        <v>6304</v>
      </c>
      <c r="B3278" t="s">
        <v>6305</v>
      </c>
      <c r="C3278" t="s">
        <v>5</v>
      </c>
      <c r="D3278">
        <v>7000</v>
      </c>
    </row>
    <row r="3279" spans="1:4" x14ac:dyDescent="0.4">
      <c r="A3279" s="1" t="s">
        <v>6306</v>
      </c>
      <c r="B3279" t="s">
        <v>6307</v>
      </c>
      <c r="C3279" t="s">
        <v>5</v>
      </c>
      <c r="D3279">
        <v>7000</v>
      </c>
    </row>
    <row r="3280" spans="1:4" x14ac:dyDescent="0.4">
      <c r="A3280" s="1" t="s">
        <v>6308</v>
      </c>
      <c r="B3280" t="s">
        <v>6309</v>
      </c>
      <c r="C3280" t="s">
        <v>5</v>
      </c>
      <c r="D3280">
        <v>7000</v>
      </c>
    </row>
    <row r="3281" spans="1:4" x14ac:dyDescent="0.4">
      <c r="A3281" s="1" t="s">
        <v>6310</v>
      </c>
      <c r="B3281" t="s">
        <v>6311</v>
      </c>
      <c r="C3281" t="s">
        <v>5</v>
      </c>
      <c r="D3281">
        <v>7000</v>
      </c>
    </row>
    <row r="3282" spans="1:4" x14ac:dyDescent="0.4">
      <c r="A3282" s="1" t="s">
        <v>6312</v>
      </c>
      <c r="B3282" t="s">
        <v>6313</v>
      </c>
      <c r="C3282" t="s">
        <v>5</v>
      </c>
      <c r="D3282">
        <v>7000</v>
      </c>
    </row>
    <row r="3283" spans="1:4" x14ac:dyDescent="0.4">
      <c r="A3283" s="1" t="s">
        <v>6314</v>
      </c>
      <c r="B3283" t="s">
        <v>6315</v>
      </c>
      <c r="C3283" t="s">
        <v>5</v>
      </c>
      <c r="D3283">
        <v>7000</v>
      </c>
    </row>
    <row r="3284" spans="1:4" x14ac:dyDescent="0.4">
      <c r="A3284" s="1" t="s">
        <v>6316</v>
      </c>
      <c r="B3284" t="s">
        <v>6317</v>
      </c>
      <c r="C3284" t="s">
        <v>5</v>
      </c>
      <c r="D3284">
        <v>2400</v>
      </c>
    </row>
    <row r="3285" spans="1:4" x14ac:dyDescent="0.4">
      <c r="A3285" s="1" t="s">
        <v>6318</v>
      </c>
      <c r="B3285" t="s">
        <v>6319</v>
      </c>
      <c r="C3285" t="s">
        <v>5</v>
      </c>
      <c r="D3285">
        <v>7000</v>
      </c>
    </row>
    <row r="3286" spans="1:4" x14ac:dyDescent="0.4">
      <c r="A3286" s="1" t="s">
        <v>6320</v>
      </c>
      <c r="B3286" t="s">
        <v>6321</v>
      </c>
      <c r="C3286" t="s">
        <v>5</v>
      </c>
      <c r="D3286">
        <v>7000</v>
      </c>
    </row>
    <row r="3287" spans="1:4" x14ac:dyDescent="0.4">
      <c r="A3287" s="1" t="s">
        <v>6322</v>
      </c>
      <c r="B3287" t="s">
        <v>6323</v>
      </c>
    </row>
    <row r="3288" spans="1:4" x14ac:dyDescent="0.4">
      <c r="A3288" s="1" t="s">
        <v>6324</v>
      </c>
      <c r="B3288" t="s">
        <v>6325</v>
      </c>
      <c r="C3288" t="s">
        <v>5</v>
      </c>
    </row>
    <row r="3289" spans="1:4" x14ac:dyDescent="0.4">
      <c r="A3289" s="1" t="s">
        <v>6326</v>
      </c>
      <c r="B3289" t="s">
        <v>6327</v>
      </c>
    </row>
    <row r="3290" spans="1:4" x14ac:dyDescent="0.4">
      <c r="A3290" s="1" t="s">
        <v>6328</v>
      </c>
      <c r="B3290" t="s">
        <v>6329</v>
      </c>
      <c r="C3290" t="s">
        <v>5</v>
      </c>
    </row>
    <row r="3291" spans="1:4" x14ac:dyDescent="0.4">
      <c r="A3291" s="1" t="s">
        <v>6330</v>
      </c>
      <c r="B3291" t="s">
        <v>6331</v>
      </c>
      <c r="C3291" t="s">
        <v>5</v>
      </c>
    </row>
    <row r="3292" spans="1:4" x14ac:dyDescent="0.4">
      <c r="A3292" s="1" t="s">
        <v>6332</v>
      </c>
      <c r="B3292" t="s">
        <v>6333</v>
      </c>
      <c r="C3292" t="s">
        <v>5</v>
      </c>
    </row>
    <row r="3293" spans="1:4" x14ac:dyDescent="0.4">
      <c r="A3293" s="1" t="s">
        <v>6334</v>
      </c>
      <c r="B3293" t="s">
        <v>6335</v>
      </c>
      <c r="C3293" t="s">
        <v>5</v>
      </c>
    </row>
    <row r="3294" spans="1:4" x14ac:dyDescent="0.4">
      <c r="A3294" s="1" t="s">
        <v>6336</v>
      </c>
      <c r="B3294" t="s">
        <v>6337</v>
      </c>
      <c r="C3294" t="s">
        <v>5</v>
      </c>
    </row>
    <row r="3295" spans="1:4" x14ac:dyDescent="0.4">
      <c r="A3295" s="1" t="s">
        <v>6338</v>
      </c>
      <c r="B3295" t="s">
        <v>6339</v>
      </c>
    </row>
    <row r="3296" spans="1:4" x14ac:dyDescent="0.4">
      <c r="A3296" s="1" t="s">
        <v>6340</v>
      </c>
      <c r="B3296" t="s">
        <v>6341</v>
      </c>
    </row>
    <row r="3297" spans="1:4" x14ac:dyDescent="0.4">
      <c r="A3297" s="1" t="s">
        <v>6342</v>
      </c>
      <c r="B3297" t="s">
        <v>6343</v>
      </c>
    </row>
    <row r="3298" spans="1:4" x14ac:dyDescent="0.4">
      <c r="A3298" s="1" t="s">
        <v>6344</v>
      </c>
      <c r="B3298" t="s">
        <v>6345</v>
      </c>
    </row>
    <row r="3299" spans="1:4" x14ac:dyDescent="0.4">
      <c r="A3299" s="1" t="s">
        <v>6346</v>
      </c>
      <c r="B3299" t="s">
        <v>6347</v>
      </c>
    </row>
    <row r="3300" spans="1:4" x14ac:dyDescent="0.4">
      <c r="A3300" s="1" t="s">
        <v>6348</v>
      </c>
      <c r="B3300" t="s">
        <v>6349</v>
      </c>
    </row>
    <row r="3301" spans="1:4" x14ac:dyDescent="0.4">
      <c r="A3301" s="1" t="s">
        <v>6350</v>
      </c>
      <c r="B3301" t="s">
        <v>6351</v>
      </c>
    </row>
    <row r="3302" spans="1:4" x14ac:dyDescent="0.4">
      <c r="A3302" s="1" t="s">
        <v>6352</v>
      </c>
      <c r="B3302" t="s">
        <v>6353</v>
      </c>
      <c r="C3302" t="s">
        <v>5</v>
      </c>
    </row>
    <row r="3303" spans="1:4" x14ac:dyDescent="0.4">
      <c r="A3303" s="1" t="s">
        <v>6354</v>
      </c>
      <c r="B3303" t="s">
        <v>6355</v>
      </c>
      <c r="D3303">
        <v>17500</v>
      </c>
    </row>
    <row r="3304" spans="1:4" x14ac:dyDescent="0.4">
      <c r="A3304" s="1" t="s">
        <v>6356</v>
      </c>
      <c r="B3304" t="s">
        <v>6357</v>
      </c>
      <c r="C3304" t="s">
        <v>5</v>
      </c>
      <c r="D3304">
        <v>21900</v>
      </c>
    </row>
    <row r="3305" spans="1:4" x14ac:dyDescent="0.4">
      <c r="A3305" s="1" t="s">
        <v>6358</v>
      </c>
      <c r="B3305" t="s">
        <v>6359</v>
      </c>
      <c r="C3305" t="s">
        <v>5</v>
      </c>
      <c r="D3305">
        <v>23300</v>
      </c>
    </row>
    <row r="3306" spans="1:4" x14ac:dyDescent="0.4">
      <c r="A3306" s="1" t="s">
        <v>6360</v>
      </c>
      <c r="B3306" t="s">
        <v>6361</v>
      </c>
      <c r="C3306" t="s">
        <v>5</v>
      </c>
      <c r="D3306">
        <v>24300</v>
      </c>
    </row>
    <row r="3307" spans="1:4" x14ac:dyDescent="0.4">
      <c r="A3307" s="1" t="s">
        <v>6362</v>
      </c>
      <c r="B3307" t="s">
        <v>6363</v>
      </c>
      <c r="D3307">
        <v>57000</v>
      </c>
    </row>
    <row r="3308" spans="1:4" x14ac:dyDescent="0.4">
      <c r="A3308" s="1" t="s">
        <v>6364</v>
      </c>
      <c r="B3308" t="s">
        <v>6365</v>
      </c>
      <c r="C3308" t="s">
        <v>5</v>
      </c>
    </row>
    <row r="3309" spans="1:4" x14ac:dyDescent="0.4">
      <c r="A3309" s="1" t="s">
        <v>6366</v>
      </c>
      <c r="B3309" t="s">
        <v>6367</v>
      </c>
      <c r="C3309" t="s">
        <v>5</v>
      </c>
    </row>
    <row r="3310" spans="1:4" x14ac:dyDescent="0.4">
      <c r="A3310" s="1" t="s">
        <v>6368</v>
      </c>
      <c r="B3310" t="s">
        <v>6369</v>
      </c>
      <c r="C3310" t="s">
        <v>5</v>
      </c>
    </row>
    <row r="3311" spans="1:4" x14ac:dyDescent="0.4">
      <c r="A3311" s="1" t="s">
        <v>6370</v>
      </c>
      <c r="B3311" t="s">
        <v>6371</v>
      </c>
      <c r="C3311" t="s">
        <v>5</v>
      </c>
      <c r="D3311">
        <v>40000</v>
      </c>
    </row>
    <row r="3312" spans="1:4" x14ac:dyDescent="0.4">
      <c r="A3312" s="1" t="s">
        <v>6372</v>
      </c>
      <c r="B3312" t="s">
        <v>6373</v>
      </c>
      <c r="C3312" t="s">
        <v>5</v>
      </c>
      <c r="D3312">
        <v>40000</v>
      </c>
    </row>
    <row r="3313" spans="1:4" x14ac:dyDescent="0.4">
      <c r="A3313" s="1" t="s">
        <v>6374</v>
      </c>
      <c r="B3313" t="s">
        <v>6375</v>
      </c>
      <c r="C3313" t="s">
        <v>5</v>
      </c>
      <c r="D3313">
        <v>40000</v>
      </c>
    </row>
    <row r="3314" spans="1:4" x14ac:dyDescent="0.4">
      <c r="A3314" s="1" t="s">
        <v>6376</v>
      </c>
      <c r="B3314" t="s">
        <v>6377</v>
      </c>
      <c r="C3314" t="s">
        <v>5</v>
      </c>
      <c r="D3314">
        <v>50000</v>
      </c>
    </row>
    <row r="3315" spans="1:4" x14ac:dyDescent="0.4">
      <c r="A3315" s="1" t="s">
        <v>6378</v>
      </c>
      <c r="B3315" t="s">
        <v>6379</v>
      </c>
      <c r="C3315" t="s">
        <v>5</v>
      </c>
      <c r="D3315">
        <v>32000</v>
      </c>
    </row>
    <row r="3316" spans="1:4" x14ac:dyDescent="0.4">
      <c r="A3316" s="1" t="s">
        <v>6380</v>
      </c>
      <c r="B3316" t="s">
        <v>6381</v>
      </c>
      <c r="C3316" t="s">
        <v>5</v>
      </c>
      <c r="D3316">
        <v>25500</v>
      </c>
    </row>
    <row r="3317" spans="1:4" x14ac:dyDescent="0.4">
      <c r="A3317" s="1" t="s">
        <v>6382</v>
      </c>
      <c r="B3317" t="s">
        <v>6383</v>
      </c>
      <c r="C3317" t="s">
        <v>5</v>
      </c>
      <c r="D3317">
        <v>17000</v>
      </c>
    </row>
    <row r="3318" spans="1:4" x14ac:dyDescent="0.4">
      <c r="A3318" s="1" t="s">
        <v>6384</v>
      </c>
      <c r="B3318" t="s">
        <v>6385</v>
      </c>
      <c r="C3318" t="s">
        <v>5</v>
      </c>
      <c r="D3318">
        <v>4800</v>
      </c>
    </row>
    <row r="3319" spans="1:4" x14ac:dyDescent="0.4">
      <c r="A3319" s="1" t="s">
        <v>6386</v>
      </c>
      <c r="B3319" t="s">
        <v>6387</v>
      </c>
      <c r="C3319" t="s">
        <v>5</v>
      </c>
      <c r="D3319">
        <v>4800</v>
      </c>
    </row>
    <row r="3320" spans="1:4" x14ac:dyDescent="0.4">
      <c r="A3320" s="1" t="s">
        <v>6388</v>
      </c>
      <c r="B3320" t="s">
        <v>6389</v>
      </c>
      <c r="C3320" t="s">
        <v>5</v>
      </c>
      <c r="D3320">
        <v>4800</v>
      </c>
    </row>
    <row r="3321" spans="1:4" x14ac:dyDescent="0.4">
      <c r="A3321" s="1" t="s">
        <v>6390</v>
      </c>
      <c r="B3321" t="s">
        <v>6391</v>
      </c>
      <c r="C3321" t="s">
        <v>5</v>
      </c>
    </row>
    <row r="3322" spans="1:4" x14ac:dyDescent="0.4">
      <c r="A3322" s="1" t="s">
        <v>6392</v>
      </c>
      <c r="B3322" t="s">
        <v>6393</v>
      </c>
      <c r="C3322" t="s">
        <v>5</v>
      </c>
    </row>
    <row r="3323" spans="1:4" x14ac:dyDescent="0.4">
      <c r="A3323" s="1" t="s">
        <v>6394</v>
      </c>
      <c r="B3323" t="s">
        <v>6395</v>
      </c>
      <c r="C3323" t="s">
        <v>5</v>
      </c>
    </row>
    <row r="3324" spans="1:4" x14ac:dyDescent="0.4">
      <c r="A3324" s="1" t="s">
        <v>6396</v>
      </c>
      <c r="B3324" t="s">
        <v>6397</v>
      </c>
      <c r="C3324" t="s">
        <v>5</v>
      </c>
    </row>
    <row r="3325" spans="1:4" x14ac:dyDescent="0.4">
      <c r="A3325" s="1" t="s">
        <v>6398</v>
      </c>
      <c r="B3325" t="s">
        <v>6399</v>
      </c>
      <c r="C3325" t="s">
        <v>5</v>
      </c>
    </row>
    <row r="3326" spans="1:4" x14ac:dyDescent="0.4">
      <c r="A3326" s="1" t="s">
        <v>6400</v>
      </c>
      <c r="B3326" t="s">
        <v>6401</v>
      </c>
      <c r="C3326" t="s">
        <v>5</v>
      </c>
    </row>
    <row r="3327" spans="1:4" x14ac:dyDescent="0.4">
      <c r="A3327" s="1" t="s">
        <v>6402</v>
      </c>
      <c r="B3327" t="s">
        <v>6403</v>
      </c>
      <c r="C3327" t="s">
        <v>5</v>
      </c>
    </row>
    <row r="3328" spans="1:4" x14ac:dyDescent="0.4">
      <c r="A3328" s="1" t="s">
        <v>6404</v>
      </c>
      <c r="B3328" t="s">
        <v>6405</v>
      </c>
      <c r="C3328" t="s">
        <v>5</v>
      </c>
    </row>
    <row r="3329" spans="1:3" x14ac:dyDescent="0.4">
      <c r="A3329" s="1" t="s">
        <v>6406</v>
      </c>
      <c r="B3329" t="s">
        <v>6407</v>
      </c>
      <c r="C3329" t="s">
        <v>5</v>
      </c>
    </row>
    <row r="3330" spans="1:3" x14ac:dyDescent="0.4">
      <c r="A3330" s="1" t="s">
        <v>6408</v>
      </c>
      <c r="B3330" t="s">
        <v>6409</v>
      </c>
      <c r="C3330" t="s">
        <v>5</v>
      </c>
    </row>
    <row r="3331" spans="1:3" x14ac:dyDescent="0.4">
      <c r="A3331" s="1" t="s">
        <v>6410</v>
      </c>
      <c r="B3331" t="s">
        <v>6411</v>
      </c>
      <c r="C3331" t="s">
        <v>5</v>
      </c>
    </row>
    <row r="3332" spans="1:3" x14ac:dyDescent="0.4">
      <c r="A3332" s="1" t="s">
        <v>6412</v>
      </c>
      <c r="B3332" t="s">
        <v>6413</v>
      </c>
      <c r="C3332" t="s">
        <v>5</v>
      </c>
    </row>
    <row r="3333" spans="1:3" x14ac:dyDescent="0.4">
      <c r="A3333" s="1" t="s">
        <v>6414</v>
      </c>
      <c r="B3333" t="s">
        <v>6415</v>
      </c>
      <c r="C3333" t="s">
        <v>5</v>
      </c>
    </row>
    <row r="3334" spans="1:3" x14ac:dyDescent="0.4">
      <c r="A3334" s="1" t="s">
        <v>6416</v>
      </c>
      <c r="B3334" t="s">
        <v>6417</v>
      </c>
      <c r="C3334" t="s">
        <v>5</v>
      </c>
    </row>
    <row r="3335" spans="1:3" x14ac:dyDescent="0.4">
      <c r="A3335" s="1" t="s">
        <v>6418</v>
      </c>
      <c r="B3335" t="s">
        <v>6419</v>
      </c>
      <c r="C3335" t="s">
        <v>5</v>
      </c>
    </row>
    <row r="3336" spans="1:3" x14ac:dyDescent="0.4">
      <c r="A3336" s="1" t="s">
        <v>6420</v>
      </c>
      <c r="B3336" t="s">
        <v>6421</v>
      </c>
      <c r="C3336" t="s">
        <v>5</v>
      </c>
    </row>
    <row r="3337" spans="1:3" x14ac:dyDescent="0.4">
      <c r="A3337" s="1" t="s">
        <v>6422</v>
      </c>
      <c r="B3337" t="s">
        <v>6423</v>
      </c>
      <c r="C3337" t="s">
        <v>5</v>
      </c>
    </row>
    <row r="3338" spans="1:3" x14ac:dyDescent="0.4">
      <c r="A3338" s="1" t="s">
        <v>6424</v>
      </c>
      <c r="B3338" t="s">
        <v>6425</v>
      </c>
      <c r="C3338" t="s">
        <v>5</v>
      </c>
    </row>
    <row r="3339" spans="1:3" x14ac:dyDescent="0.4">
      <c r="A3339" s="1" t="s">
        <v>6426</v>
      </c>
      <c r="B3339" t="s">
        <v>6427</v>
      </c>
      <c r="C3339" t="s">
        <v>5</v>
      </c>
    </row>
    <row r="3340" spans="1:3" x14ac:dyDescent="0.4">
      <c r="A3340" s="1" t="s">
        <v>6428</v>
      </c>
      <c r="B3340" t="s">
        <v>6429</v>
      </c>
      <c r="C3340" t="s">
        <v>5</v>
      </c>
    </row>
    <row r="3341" spans="1:3" x14ac:dyDescent="0.4">
      <c r="A3341" s="1" t="s">
        <v>6430</v>
      </c>
      <c r="B3341" t="s">
        <v>6431</v>
      </c>
      <c r="C3341" t="s">
        <v>5</v>
      </c>
    </row>
    <row r="3342" spans="1:3" x14ac:dyDescent="0.4">
      <c r="A3342" s="1" t="s">
        <v>6432</v>
      </c>
      <c r="B3342" t="s">
        <v>6433</v>
      </c>
      <c r="C3342" t="s">
        <v>5</v>
      </c>
    </row>
    <row r="3343" spans="1:3" x14ac:dyDescent="0.4">
      <c r="A3343" s="1" t="s">
        <v>6434</v>
      </c>
      <c r="B3343" t="s">
        <v>6435</v>
      </c>
      <c r="C3343" t="s">
        <v>5</v>
      </c>
    </row>
    <row r="3344" spans="1:3" x14ac:dyDescent="0.4">
      <c r="A3344" s="1" t="s">
        <v>6436</v>
      </c>
      <c r="B3344" t="s">
        <v>6437</v>
      </c>
      <c r="C3344" t="s">
        <v>5</v>
      </c>
    </row>
    <row r="3345" spans="1:3" x14ac:dyDescent="0.4">
      <c r="A3345" s="1" t="s">
        <v>6438</v>
      </c>
      <c r="B3345" t="s">
        <v>6439</v>
      </c>
      <c r="C3345" t="s">
        <v>5</v>
      </c>
    </row>
    <row r="3346" spans="1:3" x14ac:dyDescent="0.4">
      <c r="A3346" s="1" t="s">
        <v>6440</v>
      </c>
      <c r="B3346" t="s">
        <v>6441</v>
      </c>
      <c r="C3346" t="s">
        <v>5</v>
      </c>
    </row>
    <row r="3347" spans="1:3" x14ac:dyDescent="0.4">
      <c r="A3347" s="1" t="s">
        <v>6442</v>
      </c>
      <c r="B3347" t="s">
        <v>6443</v>
      </c>
      <c r="C3347" t="s">
        <v>5</v>
      </c>
    </row>
    <row r="3348" spans="1:3" x14ac:dyDescent="0.4">
      <c r="A3348" s="1" t="s">
        <v>6444</v>
      </c>
      <c r="B3348" t="s">
        <v>6445</v>
      </c>
      <c r="C3348" t="s">
        <v>5</v>
      </c>
    </row>
    <row r="3349" spans="1:3" x14ac:dyDescent="0.4">
      <c r="A3349" s="1" t="s">
        <v>6446</v>
      </c>
      <c r="B3349" t="s">
        <v>6447</v>
      </c>
      <c r="C3349" t="s">
        <v>5</v>
      </c>
    </row>
    <row r="3350" spans="1:3" x14ac:dyDescent="0.4">
      <c r="A3350" s="1" t="s">
        <v>6448</v>
      </c>
      <c r="B3350" t="s">
        <v>6449</v>
      </c>
      <c r="C3350" t="s">
        <v>5</v>
      </c>
    </row>
    <row r="3351" spans="1:3" x14ac:dyDescent="0.4">
      <c r="A3351" s="1" t="s">
        <v>6450</v>
      </c>
      <c r="B3351" t="s">
        <v>6451</v>
      </c>
      <c r="C3351" t="s">
        <v>5</v>
      </c>
    </row>
    <row r="3352" spans="1:3" x14ac:dyDescent="0.4">
      <c r="A3352" s="1" t="s">
        <v>6452</v>
      </c>
      <c r="B3352" t="s">
        <v>6453</v>
      </c>
      <c r="C3352" t="s">
        <v>5</v>
      </c>
    </row>
    <row r="3353" spans="1:3" x14ac:dyDescent="0.4">
      <c r="A3353" s="1" t="s">
        <v>6454</v>
      </c>
      <c r="B3353" t="s">
        <v>6455</v>
      </c>
      <c r="C3353" t="s">
        <v>5</v>
      </c>
    </row>
    <row r="3354" spans="1:3" x14ac:dyDescent="0.4">
      <c r="A3354" s="1" t="s">
        <v>6456</v>
      </c>
      <c r="B3354" t="s">
        <v>6457</v>
      </c>
      <c r="C3354" t="s">
        <v>5</v>
      </c>
    </row>
    <row r="3355" spans="1:3" x14ac:dyDescent="0.4">
      <c r="A3355" s="1" t="s">
        <v>6458</v>
      </c>
      <c r="B3355" t="s">
        <v>6459</v>
      </c>
      <c r="C3355" t="s">
        <v>5</v>
      </c>
    </row>
    <row r="3356" spans="1:3" x14ac:dyDescent="0.4">
      <c r="A3356" s="1" t="s">
        <v>6460</v>
      </c>
      <c r="B3356" t="s">
        <v>6461</v>
      </c>
      <c r="C3356" t="s">
        <v>5</v>
      </c>
    </row>
    <row r="3357" spans="1:3" x14ac:dyDescent="0.4">
      <c r="A3357" s="1" t="s">
        <v>6462</v>
      </c>
      <c r="B3357" t="s">
        <v>6463</v>
      </c>
      <c r="C3357" t="s">
        <v>5</v>
      </c>
    </row>
    <row r="3358" spans="1:3" x14ac:dyDescent="0.4">
      <c r="A3358" s="1" t="s">
        <v>6464</v>
      </c>
      <c r="B3358" t="s">
        <v>6465</v>
      </c>
      <c r="C3358" t="s">
        <v>5</v>
      </c>
    </row>
    <row r="3359" spans="1:3" x14ac:dyDescent="0.4">
      <c r="A3359" s="1" t="s">
        <v>6466</v>
      </c>
      <c r="B3359" t="s">
        <v>6467</v>
      </c>
      <c r="C3359" t="s">
        <v>5</v>
      </c>
    </row>
    <row r="3360" spans="1:3" x14ac:dyDescent="0.4">
      <c r="A3360" s="1" t="s">
        <v>6468</v>
      </c>
      <c r="B3360" t="s">
        <v>6469</v>
      </c>
      <c r="C3360" t="s">
        <v>5</v>
      </c>
    </row>
    <row r="3361" spans="1:3" x14ac:dyDescent="0.4">
      <c r="A3361" s="1" t="s">
        <v>6470</v>
      </c>
      <c r="B3361" t="s">
        <v>6471</v>
      </c>
      <c r="C3361" t="s">
        <v>5</v>
      </c>
    </row>
    <row r="3362" spans="1:3" x14ac:dyDescent="0.4">
      <c r="A3362" s="1" t="s">
        <v>6472</v>
      </c>
      <c r="B3362" t="s">
        <v>6473</v>
      </c>
      <c r="C3362" t="s">
        <v>5</v>
      </c>
    </row>
    <row r="3363" spans="1:3" x14ac:dyDescent="0.4">
      <c r="A3363" s="1" t="s">
        <v>6474</v>
      </c>
      <c r="B3363" t="s">
        <v>6475</v>
      </c>
      <c r="C3363" t="s">
        <v>5</v>
      </c>
    </row>
    <row r="3364" spans="1:3" x14ac:dyDescent="0.4">
      <c r="A3364" s="1" t="s">
        <v>6476</v>
      </c>
      <c r="B3364" t="s">
        <v>6477</v>
      </c>
      <c r="C3364" t="s">
        <v>5</v>
      </c>
    </row>
    <row r="3365" spans="1:3" x14ac:dyDescent="0.4">
      <c r="A3365" s="1" t="s">
        <v>6478</v>
      </c>
      <c r="B3365" t="s">
        <v>6479</v>
      </c>
      <c r="C3365" t="s">
        <v>5</v>
      </c>
    </row>
    <row r="3366" spans="1:3" x14ac:dyDescent="0.4">
      <c r="A3366" s="1" t="s">
        <v>6480</v>
      </c>
      <c r="B3366" t="s">
        <v>6481</v>
      </c>
      <c r="C3366" t="s">
        <v>5</v>
      </c>
    </row>
    <row r="3367" spans="1:3" x14ac:dyDescent="0.4">
      <c r="A3367" s="1" t="s">
        <v>6482</v>
      </c>
      <c r="B3367" t="s">
        <v>6483</v>
      </c>
      <c r="C3367" t="s">
        <v>5</v>
      </c>
    </row>
    <row r="3368" spans="1:3" x14ac:dyDescent="0.4">
      <c r="A3368" s="1" t="s">
        <v>6484</v>
      </c>
      <c r="B3368" t="s">
        <v>6485</v>
      </c>
      <c r="C3368" t="s">
        <v>5</v>
      </c>
    </row>
    <row r="3369" spans="1:3" x14ac:dyDescent="0.4">
      <c r="A3369" s="1" t="s">
        <v>6486</v>
      </c>
      <c r="B3369" t="s">
        <v>6487</v>
      </c>
      <c r="C3369" t="s">
        <v>5</v>
      </c>
    </row>
    <row r="3370" spans="1:3" x14ac:dyDescent="0.4">
      <c r="A3370" s="1" t="s">
        <v>6488</v>
      </c>
      <c r="B3370" t="s">
        <v>6489</v>
      </c>
      <c r="C3370" t="s">
        <v>5</v>
      </c>
    </row>
    <row r="3371" spans="1:3" x14ac:dyDescent="0.4">
      <c r="A3371" s="1" t="s">
        <v>6490</v>
      </c>
      <c r="B3371" t="s">
        <v>6491</v>
      </c>
      <c r="C3371" t="s">
        <v>5</v>
      </c>
    </row>
    <row r="3372" spans="1:3" x14ac:dyDescent="0.4">
      <c r="A3372" s="1" t="s">
        <v>6492</v>
      </c>
      <c r="B3372" t="s">
        <v>6493</v>
      </c>
      <c r="C3372" t="s">
        <v>5</v>
      </c>
    </row>
    <row r="3373" spans="1:3" x14ac:dyDescent="0.4">
      <c r="A3373" s="1" t="s">
        <v>6494</v>
      </c>
      <c r="B3373" t="s">
        <v>6495</v>
      </c>
      <c r="C3373" t="s">
        <v>5</v>
      </c>
    </row>
    <row r="3374" spans="1:3" x14ac:dyDescent="0.4">
      <c r="A3374" s="1" t="s">
        <v>6496</v>
      </c>
      <c r="B3374" t="s">
        <v>6497</v>
      </c>
      <c r="C3374" t="s">
        <v>5</v>
      </c>
    </row>
    <row r="3375" spans="1:3" x14ac:dyDescent="0.4">
      <c r="A3375" s="1" t="s">
        <v>6498</v>
      </c>
      <c r="B3375" t="s">
        <v>6499</v>
      </c>
      <c r="C3375" t="s">
        <v>5</v>
      </c>
    </row>
    <row r="3376" spans="1:3" x14ac:dyDescent="0.4">
      <c r="A3376" s="1" t="s">
        <v>6500</v>
      </c>
      <c r="B3376" t="s">
        <v>6501</v>
      </c>
      <c r="C3376" t="s">
        <v>5</v>
      </c>
    </row>
    <row r="3377" spans="1:3" x14ac:dyDescent="0.4">
      <c r="A3377" s="1" t="s">
        <v>6502</v>
      </c>
      <c r="B3377" t="s">
        <v>6503</v>
      </c>
      <c r="C3377" t="s">
        <v>5</v>
      </c>
    </row>
    <row r="3378" spans="1:3" x14ac:dyDescent="0.4">
      <c r="A3378" s="1" t="s">
        <v>6504</v>
      </c>
      <c r="B3378" t="s">
        <v>6505</v>
      </c>
      <c r="C3378" t="s">
        <v>5</v>
      </c>
    </row>
    <row r="3379" spans="1:3" x14ac:dyDescent="0.4">
      <c r="A3379" s="1" t="s">
        <v>6506</v>
      </c>
      <c r="B3379" t="s">
        <v>6507</v>
      </c>
      <c r="C3379" t="s">
        <v>5</v>
      </c>
    </row>
    <row r="3380" spans="1:3" x14ac:dyDescent="0.4">
      <c r="A3380" s="1" t="s">
        <v>6508</v>
      </c>
      <c r="B3380" t="s">
        <v>6509</v>
      </c>
      <c r="C3380" t="s">
        <v>5</v>
      </c>
    </row>
    <row r="3381" spans="1:3" x14ac:dyDescent="0.4">
      <c r="A3381" s="1" t="s">
        <v>6510</v>
      </c>
      <c r="B3381" t="s">
        <v>6511</v>
      </c>
      <c r="C3381" t="s">
        <v>5</v>
      </c>
    </row>
    <row r="3382" spans="1:3" x14ac:dyDescent="0.4">
      <c r="A3382" s="1" t="s">
        <v>6512</v>
      </c>
      <c r="B3382" t="s">
        <v>6513</v>
      </c>
      <c r="C3382" t="s">
        <v>5</v>
      </c>
    </row>
    <row r="3383" spans="1:3" x14ac:dyDescent="0.4">
      <c r="A3383" s="1" t="s">
        <v>6514</v>
      </c>
      <c r="B3383" t="s">
        <v>6515</v>
      </c>
      <c r="C3383" t="s">
        <v>5</v>
      </c>
    </row>
    <row r="3384" spans="1:3" x14ac:dyDescent="0.4">
      <c r="A3384" s="1" t="s">
        <v>6516</v>
      </c>
      <c r="B3384" t="s">
        <v>6517</v>
      </c>
      <c r="C3384" t="s">
        <v>5</v>
      </c>
    </row>
    <row r="3385" spans="1:3" x14ac:dyDescent="0.4">
      <c r="A3385" s="1" t="s">
        <v>6518</v>
      </c>
      <c r="B3385" t="s">
        <v>6519</v>
      </c>
      <c r="C3385" t="s">
        <v>5</v>
      </c>
    </row>
    <row r="3386" spans="1:3" x14ac:dyDescent="0.4">
      <c r="A3386" s="1" t="s">
        <v>6520</v>
      </c>
      <c r="B3386" t="s">
        <v>6521</v>
      </c>
      <c r="C3386" t="s">
        <v>5</v>
      </c>
    </row>
    <row r="3387" spans="1:3" x14ac:dyDescent="0.4">
      <c r="A3387" s="1" t="s">
        <v>6522</v>
      </c>
      <c r="B3387" t="s">
        <v>6523</v>
      </c>
      <c r="C3387" t="s">
        <v>5</v>
      </c>
    </row>
    <row r="3388" spans="1:3" x14ac:dyDescent="0.4">
      <c r="A3388" s="1" t="s">
        <v>6524</v>
      </c>
      <c r="B3388" t="s">
        <v>6525</v>
      </c>
      <c r="C3388" t="s">
        <v>5</v>
      </c>
    </row>
    <row r="3389" spans="1:3" x14ac:dyDescent="0.4">
      <c r="A3389" s="1" t="s">
        <v>6526</v>
      </c>
      <c r="B3389" t="s">
        <v>6527</v>
      </c>
      <c r="C3389" t="s">
        <v>5</v>
      </c>
    </row>
    <row r="3390" spans="1:3" x14ac:dyDescent="0.4">
      <c r="A3390" s="1" t="s">
        <v>6528</v>
      </c>
      <c r="B3390" t="s">
        <v>6529</v>
      </c>
      <c r="C3390" t="s">
        <v>5</v>
      </c>
    </row>
    <row r="3391" spans="1:3" x14ac:dyDescent="0.4">
      <c r="A3391" s="1" t="s">
        <v>6530</v>
      </c>
      <c r="B3391" t="s">
        <v>6531</v>
      </c>
      <c r="C3391" t="s">
        <v>5</v>
      </c>
    </row>
    <row r="3392" spans="1:3" x14ac:dyDescent="0.4">
      <c r="A3392" s="1" t="s">
        <v>6532</v>
      </c>
      <c r="B3392" t="s">
        <v>6533</v>
      </c>
      <c r="C3392" t="s">
        <v>5</v>
      </c>
    </row>
    <row r="3393" spans="1:3" x14ac:dyDescent="0.4">
      <c r="A3393" s="1" t="s">
        <v>6534</v>
      </c>
      <c r="B3393" t="s">
        <v>6535</v>
      </c>
      <c r="C3393" t="s">
        <v>5</v>
      </c>
    </row>
    <row r="3394" spans="1:3" x14ac:dyDescent="0.4">
      <c r="A3394" s="1" t="s">
        <v>6536</v>
      </c>
      <c r="B3394" t="s">
        <v>6537</v>
      </c>
      <c r="C3394" t="s">
        <v>5</v>
      </c>
    </row>
    <row r="3395" spans="1:3" x14ac:dyDescent="0.4">
      <c r="A3395" s="1" t="s">
        <v>6538</v>
      </c>
      <c r="B3395" t="s">
        <v>6539</v>
      </c>
      <c r="C3395" t="s">
        <v>5</v>
      </c>
    </row>
    <row r="3396" spans="1:3" x14ac:dyDescent="0.4">
      <c r="A3396" s="1" t="s">
        <v>6540</v>
      </c>
      <c r="B3396" t="s">
        <v>6541</v>
      </c>
      <c r="C3396" t="s">
        <v>5</v>
      </c>
    </row>
    <row r="3397" spans="1:3" x14ac:dyDescent="0.4">
      <c r="A3397" s="1" t="s">
        <v>6542</v>
      </c>
      <c r="B3397" t="s">
        <v>6543</v>
      </c>
      <c r="C3397" t="s">
        <v>5</v>
      </c>
    </row>
    <row r="3398" spans="1:3" x14ac:dyDescent="0.4">
      <c r="A3398" s="1" t="s">
        <v>6544</v>
      </c>
      <c r="B3398" t="s">
        <v>6545</v>
      </c>
      <c r="C3398" t="s">
        <v>5</v>
      </c>
    </row>
    <row r="3399" spans="1:3" x14ac:dyDescent="0.4">
      <c r="A3399" s="1" t="s">
        <v>6546</v>
      </c>
      <c r="B3399" t="s">
        <v>6547</v>
      </c>
      <c r="C3399" t="s">
        <v>5</v>
      </c>
    </row>
    <row r="3400" spans="1:3" x14ac:dyDescent="0.4">
      <c r="A3400" s="1" t="s">
        <v>6548</v>
      </c>
      <c r="B3400" t="s">
        <v>6549</v>
      </c>
      <c r="C3400" t="s">
        <v>5</v>
      </c>
    </row>
    <row r="3401" spans="1:3" x14ac:dyDescent="0.4">
      <c r="A3401" s="1" t="s">
        <v>6550</v>
      </c>
      <c r="B3401" t="s">
        <v>6551</v>
      </c>
      <c r="C3401" t="s">
        <v>5</v>
      </c>
    </row>
    <row r="3402" spans="1:3" x14ac:dyDescent="0.4">
      <c r="A3402" s="1" t="s">
        <v>6552</v>
      </c>
      <c r="B3402" t="s">
        <v>6553</v>
      </c>
      <c r="C3402" t="s">
        <v>5</v>
      </c>
    </row>
    <row r="3403" spans="1:3" x14ac:dyDescent="0.4">
      <c r="A3403" s="1" t="s">
        <v>6554</v>
      </c>
      <c r="B3403" t="s">
        <v>6555</v>
      </c>
      <c r="C3403" t="s">
        <v>5</v>
      </c>
    </row>
    <row r="3404" spans="1:3" x14ac:dyDescent="0.4">
      <c r="A3404" s="1" t="s">
        <v>6556</v>
      </c>
      <c r="B3404" t="s">
        <v>6557</v>
      </c>
      <c r="C3404" t="s">
        <v>5</v>
      </c>
    </row>
    <row r="3405" spans="1:3" x14ac:dyDescent="0.4">
      <c r="A3405" s="1" t="s">
        <v>6558</v>
      </c>
      <c r="B3405" t="s">
        <v>6559</v>
      </c>
      <c r="C3405" t="s">
        <v>5</v>
      </c>
    </row>
    <row r="3406" spans="1:3" x14ac:dyDescent="0.4">
      <c r="A3406" s="1" t="s">
        <v>6560</v>
      </c>
      <c r="B3406" t="s">
        <v>6561</v>
      </c>
      <c r="C3406" t="s">
        <v>5</v>
      </c>
    </row>
    <row r="3407" spans="1:3" x14ac:dyDescent="0.4">
      <c r="A3407" s="1" t="s">
        <v>6562</v>
      </c>
      <c r="B3407" t="s">
        <v>6563</v>
      </c>
      <c r="C3407" t="s">
        <v>5</v>
      </c>
    </row>
    <row r="3408" spans="1:3" x14ac:dyDescent="0.4">
      <c r="A3408" s="1" t="s">
        <v>6564</v>
      </c>
      <c r="B3408" t="s">
        <v>6565</v>
      </c>
      <c r="C3408" t="s">
        <v>5</v>
      </c>
    </row>
    <row r="3409" spans="1:3" x14ac:dyDescent="0.4">
      <c r="A3409" s="1" t="s">
        <v>6566</v>
      </c>
      <c r="B3409" t="s">
        <v>6567</v>
      </c>
      <c r="C3409" t="s">
        <v>5</v>
      </c>
    </row>
    <row r="3410" spans="1:3" x14ac:dyDescent="0.4">
      <c r="A3410" s="1" t="s">
        <v>6568</v>
      </c>
      <c r="B3410" t="s">
        <v>6569</v>
      </c>
      <c r="C3410" t="s">
        <v>5</v>
      </c>
    </row>
    <row r="3411" spans="1:3" x14ac:dyDescent="0.4">
      <c r="A3411" s="1" t="s">
        <v>6570</v>
      </c>
      <c r="B3411" t="s">
        <v>6571</v>
      </c>
      <c r="C3411" t="s">
        <v>5</v>
      </c>
    </row>
    <row r="3412" spans="1:3" x14ac:dyDescent="0.4">
      <c r="A3412" s="1" t="s">
        <v>6572</v>
      </c>
      <c r="B3412" t="s">
        <v>6573</v>
      </c>
      <c r="C3412" t="s">
        <v>5</v>
      </c>
    </row>
    <row r="3413" spans="1:3" x14ac:dyDescent="0.4">
      <c r="A3413" s="1" t="s">
        <v>6574</v>
      </c>
      <c r="B3413" t="s">
        <v>6575</v>
      </c>
      <c r="C3413" t="s">
        <v>5</v>
      </c>
    </row>
    <row r="3414" spans="1:3" x14ac:dyDescent="0.4">
      <c r="A3414" s="1" t="s">
        <v>6576</v>
      </c>
      <c r="B3414" t="s">
        <v>6577</v>
      </c>
      <c r="C3414" t="s">
        <v>5</v>
      </c>
    </row>
    <row r="3415" spans="1:3" x14ac:dyDescent="0.4">
      <c r="A3415" s="1" t="s">
        <v>6578</v>
      </c>
      <c r="B3415" t="s">
        <v>6579</v>
      </c>
      <c r="C3415" t="s">
        <v>5</v>
      </c>
    </row>
    <row r="3416" spans="1:3" x14ac:dyDescent="0.4">
      <c r="A3416" s="1" t="s">
        <v>6580</v>
      </c>
      <c r="B3416" t="s">
        <v>6581</v>
      </c>
      <c r="C3416" t="s">
        <v>5</v>
      </c>
    </row>
    <row r="3417" spans="1:3" x14ac:dyDescent="0.4">
      <c r="A3417" s="1" t="s">
        <v>6582</v>
      </c>
      <c r="B3417" t="s">
        <v>6583</v>
      </c>
      <c r="C3417" t="s">
        <v>5</v>
      </c>
    </row>
    <row r="3418" spans="1:3" x14ac:dyDescent="0.4">
      <c r="A3418" s="1" t="s">
        <v>6584</v>
      </c>
      <c r="B3418" t="s">
        <v>6585</v>
      </c>
      <c r="C3418" t="s">
        <v>5</v>
      </c>
    </row>
    <row r="3419" spans="1:3" x14ac:dyDescent="0.4">
      <c r="A3419" s="1" t="s">
        <v>6586</v>
      </c>
      <c r="B3419" t="s">
        <v>6587</v>
      </c>
      <c r="C3419" t="s">
        <v>5</v>
      </c>
    </row>
    <row r="3420" spans="1:3" x14ac:dyDescent="0.4">
      <c r="A3420" s="1" t="s">
        <v>6588</v>
      </c>
      <c r="B3420" t="s">
        <v>6589</v>
      </c>
      <c r="C3420" t="s">
        <v>5</v>
      </c>
    </row>
    <row r="3421" spans="1:3" x14ac:dyDescent="0.4">
      <c r="A3421" s="1" t="s">
        <v>6590</v>
      </c>
      <c r="B3421" t="s">
        <v>6591</v>
      </c>
      <c r="C3421" t="s">
        <v>5</v>
      </c>
    </row>
    <row r="3422" spans="1:3" x14ac:dyDescent="0.4">
      <c r="A3422" s="1" t="s">
        <v>6592</v>
      </c>
      <c r="B3422" t="s">
        <v>6593</v>
      </c>
      <c r="C3422" t="s">
        <v>5</v>
      </c>
    </row>
    <row r="3423" spans="1:3" x14ac:dyDescent="0.4">
      <c r="A3423" s="1" t="s">
        <v>6594</v>
      </c>
      <c r="B3423" t="s">
        <v>6595</v>
      </c>
      <c r="C3423" t="s">
        <v>5</v>
      </c>
    </row>
    <row r="3424" spans="1:3" x14ac:dyDescent="0.4">
      <c r="A3424" s="1" t="s">
        <v>6596</v>
      </c>
      <c r="B3424" t="s">
        <v>6597</v>
      </c>
      <c r="C3424" t="s">
        <v>5</v>
      </c>
    </row>
    <row r="3425" spans="1:3" x14ac:dyDescent="0.4">
      <c r="A3425" s="1" t="s">
        <v>6598</v>
      </c>
      <c r="B3425" t="s">
        <v>6599</v>
      </c>
      <c r="C3425" t="s">
        <v>5</v>
      </c>
    </row>
    <row r="3426" spans="1:3" x14ac:dyDescent="0.4">
      <c r="A3426" s="1" t="s">
        <v>6600</v>
      </c>
      <c r="B3426" t="s">
        <v>6601</v>
      </c>
      <c r="C3426" t="s">
        <v>5</v>
      </c>
    </row>
    <row r="3427" spans="1:3" x14ac:dyDescent="0.4">
      <c r="A3427" s="1" t="s">
        <v>6602</v>
      </c>
      <c r="B3427" t="s">
        <v>6603</v>
      </c>
      <c r="C3427" t="s">
        <v>5</v>
      </c>
    </row>
    <row r="3428" spans="1:3" x14ac:dyDescent="0.4">
      <c r="A3428" s="1" t="s">
        <v>6604</v>
      </c>
      <c r="B3428" t="s">
        <v>6605</v>
      </c>
      <c r="C3428" t="s">
        <v>5</v>
      </c>
    </row>
    <row r="3429" spans="1:3" x14ac:dyDescent="0.4">
      <c r="A3429" s="1" t="s">
        <v>6606</v>
      </c>
      <c r="B3429" t="s">
        <v>6607</v>
      </c>
      <c r="C3429" t="s">
        <v>5</v>
      </c>
    </row>
    <row r="3430" spans="1:3" x14ac:dyDescent="0.4">
      <c r="A3430" s="1" t="s">
        <v>6608</v>
      </c>
      <c r="B3430" t="s">
        <v>6609</v>
      </c>
      <c r="C3430" t="s">
        <v>5</v>
      </c>
    </row>
    <row r="3431" spans="1:3" x14ac:dyDescent="0.4">
      <c r="A3431" s="1" t="s">
        <v>6610</v>
      </c>
      <c r="B3431" t="s">
        <v>6611</v>
      </c>
      <c r="C3431" t="s">
        <v>5</v>
      </c>
    </row>
    <row r="3432" spans="1:3" x14ac:dyDescent="0.4">
      <c r="A3432" s="1" t="s">
        <v>6612</v>
      </c>
      <c r="B3432" t="s">
        <v>6613</v>
      </c>
      <c r="C3432" t="s">
        <v>5</v>
      </c>
    </row>
    <row r="3433" spans="1:3" x14ac:dyDescent="0.4">
      <c r="A3433" s="1" t="s">
        <v>6614</v>
      </c>
      <c r="B3433" t="s">
        <v>6615</v>
      </c>
      <c r="C3433" t="s">
        <v>5</v>
      </c>
    </row>
    <row r="3434" spans="1:3" x14ac:dyDescent="0.4">
      <c r="A3434" s="1" t="s">
        <v>6616</v>
      </c>
      <c r="B3434" t="s">
        <v>6617</v>
      </c>
      <c r="C3434" t="s">
        <v>5</v>
      </c>
    </row>
    <row r="3435" spans="1:3" x14ac:dyDescent="0.4">
      <c r="A3435" s="1" t="s">
        <v>6618</v>
      </c>
      <c r="B3435" t="s">
        <v>6619</v>
      </c>
      <c r="C3435" t="s">
        <v>5</v>
      </c>
    </row>
    <row r="3436" spans="1:3" x14ac:dyDescent="0.4">
      <c r="A3436" s="1" t="s">
        <v>6620</v>
      </c>
      <c r="B3436" t="s">
        <v>6621</v>
      </c>
      <c r="C3436" t="s">
        <v>5</v>
      </c>
    </row>
    <row r="3437" spans="1:3" x14ac:dyDescent="0.4">
      <c r="A3437" s="1" t="s">
        <v>6622</v>
      </c>
      <c r="B3437" t="s">
        <v>6623</v>
      </c>
      <c r="C3437" t="s">
        <v>5</v>
      </c>
    </row>
    <row r="3438" spans="1:3" x14ac:dyDescent="0.4">
      <c r="A3438" s="1" t="s">
        <v>6624</v>
      </c>
      <c r="B3438" t="s">
        <v>6625</v>
      </c>
      <c r="C3438" t="s">
        <v>5</v>
      </c>
    </row>
    <row r="3439" spans="1:3" x14ac:dyDescent="0.4">
      <c r="A3439" s="1" t="s">
        <v>6626</v>
      </c>
      <c r="B3439" t="s">
        <v>6627</v>
      </c>
      <c r="C3439" t="s">
        <v>5</v>
      </c>
    </row>
    <row r="3440" spans="1:3" x14ac:dyDescent="0.4">
      <c r="A3440" s="1" t="s">
        <v>6628</v>
      </c>
      <c r="B3440" t="s">
        <v>6629</v>
      </c>
      <c r="C3440" t="s">
        <v>5</v>
      </c>
    </row>
    <row r="3441" spans="1:3" x14ac:dyDescent="0.4">
      <c r="A3441" s="1" t="s">
        <v>6630</v>
      </c>
      <c r="B3441" t="s">
        <v>6631</v>
      </c>
      <c r="C3441" t="s">
        <v>5</v>
      </c>
    </row>
    <row r="3442" spans="1:3" x14ac:dyDescent="0.4">
      <c r="A3442" s="1" t="s">
        <v>6632</v>
      </c>
      <c r="B3442" t="s">
        <v>6633</v>
      </c>
      <c r="C3442" t="s">
        <v>5</v>
      </c>
    </row>
    <row r="3443" spans="1:3" x14ac:dyDescent="0.4">
      <c r="A3443" s="1" t="s">
        <v>6634</v>
      </c>
      <c r="B3443" t="s">
        <v>6635</v>
      </c>
      <c r="C3443" t="s">
        <v>5</v>
      </c>
    </row>
    <row r="3444" spans="1:3" x14ac:dyDescent="0.4">
      <c r="A3444" s="1" t="s">
        <v>6636</v>
      </c>
      <c r="B3444" t="s">
        <v>6637</v>
      </c>
      <c r="C3444" t="s">
        <v>5</v>
      </c>
    </row>
    <row r="3445" spans="1:3" x14ac:dyDescent="0.4">
      <c r="A3445" s="1" t="s">
        <v>6638</v>
      </c>
      <c r="B3445" t="s">
        <v>6639</v>
      </c>
      <c r="C3445" t="s">
        <v>5</v>
      </c>
    </row>
    <row r="3446" spans="1:3" x14ac:dyDescent="0.4">
      <c r="A3446" s="1" t="s">
        <v>6640</v>
      </c>
      <c r="B3446" t="s">
        <v>6641</v>
      </c>
      <c r="C3446" t="s">
        <v>5</v>
      </c>
    </row>
    <row r="3447" spans="1:3" x14ac:dyDescent="0.4">
      <c r="A3447" s="1" t="s">
        <v>6642</v>
      </c>
      <c r="B3447" t="s">
        <v>6643</v>
      </c>
      <c r="C3447" t="s">
        <v>5</v>
      </c>
    </row>
    <row r="3448" spans="1:3" x14ac:dyDescent="0.4">
      <c r="A3448" s="1" t="s">
        <v>6644</v>
      </c>
      <c r="B3448" t="s">
        <v>6645</v>
      </c>
      <c r="C3448" t="s">
        <v>5</v>
      </c>
    </row>
    <row r="3449" spans="1:3" x14ac:dyDescent="0.4">
      <c r="A3449" s="1" t="s">
        <v>6646</v>
      </c>
      <c r="B3449" t="s">
        <v>6647</v>
      </c>
      <c r="C3449" t="s">
        <v>5</v>
      </c>
    </row>
    <row r="3450" spans="1:3" x14ac:dyDescent="0.4">
      <c r="A3450" s="1" t="s">
        <v>6648</v>
      </c>
      <c r="B3450" t="s">
        <v>6649</v>
      </c>
      <c r="C3450" t="s">
        <v>5</v>
      </c>
    </row>
    <row r="3451" spans="1:3" x14ac:dyDescent="0.4">
      <c r="A3451" s="1" t="s">
        <v>6650</v>
      </c>
      <c r="B3451" t="s">
        <v>6651</v>
      </c>
      <c r="C3451" t="s">
        <v>5</v>
      </c>
    </row>
    <row r="3452" spans="1:3" x14ac:dyDescent="0.4">
      <c r="A3452" s="1" t="s">
        <v>6652</v>
      </c>
      <c r="B3452" t="s">
        <v>6653</v>
      </c>
      <c r="C3452" t="s">
        <v>5</v>
      </c>
    </row>
    <row r="3453" spans="1:3" x14ac:dyDescent="0.4">
      <c r="A3453" s="1" t="s">
        <v>6654</v>
      </c>
      <c r="B3453" t="s">
        <v>6655</v>
      </c>
      <c r="C3453" t="s">
        <v>5</v>
      </c>
    </row>
    <row r="3454" spans="1:3" x14ac:dyDescent="0.4">
      <c r="A3454" s="1" t="s">
        <v>6656</v>
      </c>
      <c r="B3454" t="s">
        <v>6657</v>
      </c>
      <c r="C3454" t="s">
        <v>5</v>
      </c>
    </row>
    <row r="3455" spans="1:3" x14ac:dyDescent="0.4">
      <c r="A3455" s="1" t="s">
        <v>6658</v>
      </c>
      <c r="B3455" t="s">
        <v>6659</v>
      </c>
      <c r="C3455" t="s">
        <v>5</v>
      </c>
    </row>
    <row r="3456" spans="1:3" x14ac:dyDescent="0.4">
      <c r="A3456" s="1" t="s">
        <v>6660</v>
      </c>
      <c r="B3456" t="s">
        <v>6661</v>
      </c>
      <c r="C3456" t="s">
        <v>5</v>
      </c>
    </row>
    <row r="3457" spans="1:4" x14ac:dyDescent="0.4">
      <c r="A3457" s="1" t="s">
        <v>6662</v>
      </c>
      <c r="B3457" t="s">
        <v>6663</v>
      </c>
      <c r="C3457" t="s">
        <v>5</v>
      </c>
    </row>
    <row r="3458" spans="1:4" x14ac:dyDescent="0.4">
      <c r="A3458" s="1" t="s">
        <v>6664</v>
      </c>
      <c r="B3458" t="s">
        <v>6665</v>
      </c>
      <c r="C3458" t="s">
        <v>5</v>
      </c>
    </row>
    <row r="3459" spans="1:4" x14ac:dyDescent="0.4">
      <c r="A3459" s="1" t="s">
        <v>6666</v>
      </c>
      <c r="B3459" t="s">
        <v>6667</v>
      </c>
      <c r="C3459" t="s">
        <v>5</v>
      </c>
    </row>
    <row r="3460" spans="1:4" x14ac:dyDescent="0.4">
      <c r="A3460" s="1" t="s">
        <v>6668</v>
      </c>
      <c r="B3460" t="s">
        <v>6669</v>
      </c>
      <c r="C3460" t="s">
        <v>5</v>
      </c>
    </row>
    <row r="3461" spans="1:4" x14ac:dyDescent="0.4">
      <c r="A3461" s="1" t="s">
        <v>6670</v>
      </c>
      <c r="B3461" t="s">
        <v>6671</v>
      </c>
      <c r="C3461" t="s">
        <v>5</v>
      </c>
    </row>
    <row r="3462" spans="1:4" x14ac:dyDescent="0.4">
      <c r="A3462" s="1" t="s">
        <v>6672</v>
      </c>
      <c r="B3462" t="s">
        <v>6673</v>
      </c>
      <c r="C3462" t="s">
        <v>5</v>
      </c>
    </row>
    <row r="3463" spans="1:4" x14ac:dyDescent="0.4">
      <c r="A3463" s="1" t="s">
        <v>6674</v>
      </c>
      <c r="B3463" t="s">
        <v>6675</v>
      </c>
      <c r="C3463" t="s">
        <v>5</v>
      </c>
    </row>
    <row r="3464" spans="1:4" x14ac:dyDescent="0.4">
      <c r="A3464" s="1" t="s">
        <v>6676</v>
      </c>
      <c r="B3464" t="s">
        <v>6677</v>
      </c>
      <c r="C3464" t="s">
        <v>5</v>
      </c>
    </row>
    <row r="3465" spans="1:4" x14ac:dyDescent="0.4">
      <c r="A3465" s="1" t="s">
        <v>6678</v>
      </c>
      <c r="B3465" t="s">
        <v>6679</v>
      </c>
      <c r="C3465" t="s">
        <v>5</v>
      </c>
    </row>
    <row r="3466" spans="1:4" x14ac:dyDescent="0.4">
      <c r="A3466" s="1" t="s">
        <v>6680</v>
      </c>
      <c r="B3466" t="s">
        <v>6681</v>
      </c>
      <c r="C3466" t="s">
        <v>5</v>
      </c>
    </row>
    <row r="3467" spans="1:4" x14ac:dyDescent="0.4">
      <c r="A3467" s="1" t="s">
        <v>6682</v>
      </c>
      <c r="B3467" t="s">
        <v>6683</v>
      </c>
      <c r="C3467" t="s">
        <v>5</v>
      </c>
    </row>
    <row r="3468" spans="1:4" x14ac:dyDescent="0.4">
      <c r="A3468" s="1" t="s">
        <v>6684</v>
      </c>
      <c r="B3468" t="s">
        <v>6685</v>
      </c>
      <c r="C3468" t="s">
        <v>5</v>
      </c>
    </row>
    <row r="3469" spans="1:4" x14ac:dyDescent="0.4">
      <c r="A3469" s="1" t="s">
        <v>6686</v>
      </c>
      <c r="B3469" t="s">
        <v>6687</v>
      </c>
      <c r="C3469" t="s">
        <v>5</v>
      </c>
    </row>
    <row r="3470" spans="1:4" x14ac:dyDescent="0.4">
      <c r="A3470" s="1" t="s">
        <v>6688</v>
      </c>
      <c r="B3470" t="s">
        <v>6689</v>
      </c>
      <c r="C3470" t="s">
        <v>5</v>
      </c>
    </row>
    <row r="3471" spans="1:4" x14ac:dyDescent="0.4">
      <c r="A3471" s="1" t="s">
        <v>6690</v>
      </c>
      <c r="B3471" t="s">
        <v>6691</v>
      </c>
      <c r="C3471" t="s">
        <v>5</v>
      </c>
    </row>
    <row r="3472" spans="1:4" x14ac:dyDescent="0.4">
      <c r="A3472" s="1" t="s">
        <v>6692</v>
      </c>
      <c r="B3472" t="e">
        <f>-終息-カシオ  #REF!-DSY ﾄﾞﾗﾑｶｰﾄﾘｯｼﾞ ｲｴﾛｰ</f>
        <v>#NAME?</v>
      </c>
      <c r="C3472" t="s">
        <v>5</v>
      </c>
      <c r="D3472">
        <v>24000</v>
      </c>
    </row>
    <row r="3473" spans="1:4" x14ac:dyDescent="0.4">
      <c r="A3473" s="1" t="s">
        <v>6693</v>
      </c>
      <c r="B3473" t="e">
        <f>-終息-カシオ  #REF!-TSC-G 回収協力ﾄﾅｰ ｼｱﾝ</f>
        <v>#NAME?</v>
      </c>
      <c r="C3473" t="s">
        <v>5</v>
      </c>
      <c r="D3473">
        <v>14000</v>
      </c>
    </row>
    <row r="3474" spans="1:4" x14ac:dyDescent="0.4">
      <c r="A3474" s="1" t="s">
        <v>6694</v>
      </c>
      <c r="B3474" t="e">
        <f>-終息-カシオ  #REF!-TSM-G 回収協力ﾄﾅｰ ﾏｾﾞﾝﾀ</f>
        <v>#NAME?</v>
      </c>
      <c r="C3474" t="s">
        <v>5</v>
      </c>
      <c r="D3474">
        <v>14000</v>
      </c>
    </row>
    <row r="3475" spans="1:4" x14ac:dyDescent="0.4">
      <c r="A3475" s="1" t="s">
        <v>6695</v>
      </c>
      <c r="B3475" t="e">
        <f>-終息-CASIO 廃ﾄﾅｰﾎﾞﾄﾙ #REF!-HTB</f>
        <v>#NAME?</v>
      </c>
      <c r="C3475" t="s">
        <v>5</v>
      </c>
      <c r="D3475">
        <v>4000</v>
      </c>
    </row>
    <row r="3476" spans="1:4" x14ac:dyDescent="0.4">
      <c r="A3476" s="1" t="s">
        <v>6696</v>
      </c>
      <c r="B3476" t="e">
        <f>-終息-カシオ  #REF!-TSC-G 回収協力ﾄﾅｰ ｼｱﾝ</f>
        <v>#NAME?</v>
      </c>
      <c r="C3476" t="s">
        <v>5</v>
      </c>
      <c r="D3476">
        <v>32000</v>
      </c>
    </row>
    <row r="3477" spans="1:4" x14ac:dyDescent="0.4">
      <c r="A3477" s="1" t="s">
        <v>6697</v>
      </c>
      <c r="B3477" t="e">
        <f>-終息-カシオ  #REF!-TSK-G 回収協力ﾄﾅｰ ﾌﾞﾗｯｸ</f>
        <v>#NAME?</v>
      </c>
      <c r="C3477" t="s">
        <v>5</v>
      </c>
      <c r="D3477">
        <v>30000</v>
      </c>
    </row>
    <row r="3478" spans="1:4" x14ac:dyDescent="0.4">
      <c r="A3478" s="1" t="s">
        <v>6698</v>
      </c>
      <c r="B3478" t="e">
        <f>-終息-カシオ  #REF!-TSM-G 回収協力ﾄﾅｰ ﾏｾﾞﾝﾀ</f>
        <v>#NAME?</v>
      </c>
      <c r="C3478" t="s">
        <v>5</v>
      </c>
      <c r="D3478">
        <v>32000</v>
      </c>
    </row>
    <row r="3479" spans="1:4" x14ac:dyDescent="0.4">
      <c r="A3479" s="1" t="s">
        <v>6699</v>
      </c>
      <c r="B3479" t="e">
        <f>-終息-カシオ  #REF!-TSY-G 回収協力ﾄﾅｰ ｲｴﾛｰ</f>
        <v>#NAME?</v>
      </c>
      <c r="C3479" t="s">
        <v>5</v>
      </c>
      <c r="D3479">
        <v>32000</v>
      </c>
    </row>
    <row r="3480" spans="1:4" x14ac:dyDescent="0.4">
      <c r="A3480" s="1" t="s">
        <v>6700</v>
      </c>
      <c r="B3480" t="e">
        <f>-終息-カシオ  #REF!-DS3C ｶﾗｰﾄﾞﾗﾑ</f>
        <v>#NAME?</v>
      </c>
      <c r="C3480" t="s">
        <v>5</v>
      </c>
      <c r="D3480">
        <v>48000</v>
      </c>
    </row>
    <row r="3481" spans="1:4" x14ac:dyDescent="0.4">
      <c r="A3481" s="1" t="s">
        <v>6701</v>
      </c>
      <c r="B3481" t="s">
        <v>6702</v>
      </c>
      <c r="C3481" t="s">
        <v>5</v>
      </c>
    </row>
    <row r="3482" spans="1:4" x14ac:dyDescent="0.4">
      <c r="A3482" s="1" t="s">
        <v>6703</v>
      </c>
      <c r="B3482" t="s">
        <v>6704</v>
      </c>
      <c r="C3482" t="s">
        <v>5</v>
      </c>
    </row>
    <row r="3483" spans="1:4" x14ac:dyDescent="0.4">
      <c r="A3483" s="1" t="s">
        <v>6705</v>
      </c>
      <c r="B3483" t="s">
        <v>6706</v>
      </c>
      <c r="C3483" t="s">
        <v>5</v>
      </c>
    </row>
    <row r="3484" spans="1:4" x14ac:dyDescent="0.4">
      <c r="A3484" s="1" t="s">
        <v>6707</v>
      </c>
      <c r="B3484" t="s">
        <v>6708</v>
      </c>
      <c r="C3484" t="s">
        <v>5</v>
      </c>
    </row>
    <row r="3485" spans="1:4" x14ac:dyDescent="0.4">
      <c r="A3485" s="1" t="s">
        <v>6709</v>
      </c>
      <c r="B3485" t="s">
        <v>6710</v>
      </c>
      <c r="C3485" t="s">
        <v>5</v>
      </c>
    </row>
    <row r="3486" spans="1:4" x14ac:dyDescent="0.4">
      <c r="A3486" s="1" t="s">
        <v>6711</v>
      </c>
      <c r="B3486" t="s">
        <v>6712</v>
      </c>
      <c r="C3486" t="s">
        <v>5</v>
      </c>
    </row>
    <row r="3487" spans="1:4" x14ac:dyDescent="0.4">
      <c r="A3487" s="1" t="s">
        <v>6713</v>
      </c>
      <c r="B3487" t="s">
        <v>6714</v>
      </c>
      <c r="C3487" t="s">
        <v>5</v>
      </c>
    </row>
    <row r="3488" spans="1:4" x14ac:dyDescent="0.4">
      <c r="A3488" s="1" t="s">
        <v>6715</v>
      </c>
      <c r="B3488" t="s">
        <v>6716</v>
      </c>
      <c r="C3488" t="s">
        <v>5</v>
      </c>
    </row>
    <row r="3489" spans="1:4" x14ac:dyDescent="0.4">
      <c r="A3489" s="1" t="s">
        <v>6717</v>
      </c>
      <c r="B3489" t="s">
        <v>6718</v>
      </c>
      <c r="C3489" t="s">
        <v>5</v>
      </c>
    </row>
    <row r="3490" spans="1:4" x14ac:dyDescent="0.4">
      <c r="A3490" s="1" t="s">
        <v>6719</v>
      </c>
      <c r="B3490" t="s">
        <v>6720</v>
      </c>
      <c r="C3490" t="s">
        <v>5</v>
      </c>
    </row>
    <row r="3491" spans="1:4" x14ac:dyDescent="0.4">
      <c r="A3491" s="1" t="s">
        <v>6721</v>
      </c>
      <c r="B3491" t="s">
        <v>6722</v>
      </c>
      <c r="C3491" t="s">
        <v>5</v>
      </c>
    </row>
    <row r="3492" spans="1:4" x14ac:dyDescent="0.4">
      <c r="A3492" s="1" t="s">
        <v>6723</v>
      </c>
      <c r="B3492" t="s">
        <v>6724</v>
      </c>
      <c r="C3492" t="s">
        <v>5</v>
      </c>
    </row>
    <row r="3493" spans="1:4" x14ac:dyDescent="0.4">
      <c r="A3493" s="1" t="s">
        <v>6725</v>
      </c>
      <c r="B3493" t="s">
        <v>6726</v>
      </c>
      <c r="C3493" t="s">
        <v>5</v>
      </c>
    </row>
    <row r="3494" spans="1:4" x14ac:dyDescent="0.4">
      <c r="A3494" s="1" t="s">
        <v>6727</v>
      </c>
      <c r="B3494" t="s">
        <v>6728</v>
      </c>
      <c r="C3494" t="s">
        <v>5</v>
      </c>
    </row>
    <row r="3495" spans="1:4" x14ac:dyDescent="0.4">
      <c r="A3495" s="1" t="s">
        <v>6729</v>
      </c>
      <c r="B3495" t="e">
        <f>-終息-CANON ﾄﾅｰｶｰﾄﾘｯｼﾞ NPG-54</f>
        <v>#NAME?</v>
      </c>
      <c r="C3495" t="s">
        <v>5</v>
      </c>
    </row>
    <row r="3496" spans="1:4" x14ac:dyDescent="0.4">
      <c r="A3496" s="1" t="s">
        <v>6730</v>
      </c>
      <c r="B3496" t="s">
        <v>6731</v>
      </c>
      <c r="C3496" t="s">
        <v>5</v>
      </c>
    </row>
    <row r="3497" spans="1:4" x14ac:dyDescent="0.4">
      <c r="A3497" s="1" t="s">
        <v>6732</v>
      </c>
      <c r="B3497" t="s">
        <v>6733</v>
      </c>
      <c r="C3497" t="s">
        <v>5</v>
      </c>
    </row>
    <row r="3498" spans="1:4" x14ac:dyDescent="0.4">
      <c r="A3498" s="1" t="s">
        <v>6734</v>
      </c>
      <c r="B3498" t="s">
        <v>6735</v>
      </c>
      <c r="C3498" t="s">
        <v>5</v>
      </c>
      <c r="D3498">
        <v>30000</v>
      </c>
    </row>
    <row r="3499" spans="1:4" x14ac:dyDescent="0.4">
      <c r="A3499" s="1" t="s">
        <v>6736</v>
      </c>
      <c r="B3499" t="s">
        <v>6737</v>
      </c>
      <c r="C3499" t="s">
        <v>5</v>
      </c>
      <c r="D3499">
        <v>23800</v>
      </c>
    </row>
    <row r="3500" spans="1:4" x14ac:dyDescent="0.4">
      <c r="A3500" s="1" t="s">
        <v>6738</v>
      </c>
      <c r="B3500" t="s">
        <v>6739</v>
      </c>
      <c r="C3500" t="s">
        <v>5</v>
      </c>
      <c r="D3500">
        <v>23800</v>
      </c>
    </row>
    <row r="3501" spans="1:4" x14ac:dyDescent="0.4">
      <c r="A3501" s="1" t="s">
        <v>6740</v>
      </c>
      <c r="B3501" t="s">
        <v>6741</v>
      </c>
      <c r="C3501" t="s">
        <v>5</v>
      </c>
      <c r="D3501">
        <v>23800</v>
      </c>
    </row>
    <row r="3502" spans="1:4" x14ac:dyDescent="0.4">
      <c r="A3502" s="1" t="s">
        <v>6742</v>
      </c>
      <c r="B3502" t="s">
        <v>6743</v>
      </c>
      <c r="C3502" t="s">
        <v>5</v>
      </c>
    </row>
    <row r="3503" spans="1:4" x14ac:dyDescent="0.4">
      <c r="A3503" s="1" t="s">
        <v>6744</v>
      </c>
      <c r="B3503" t="s">
        <v>6745</v>
      </c>
      <c r="C3503" t="s">
        <v>5</v>
      </c>
    </row>
    <row r="3504" spans="1:4" x14ac:dyDescent="0.4">
      <c r="A3504" s="1" t="s">
        <v>6746</v>
      </c>
      <c r="B3504" t="s">
        <v>6747</v>
      </c>
      <c r="C3504" t="s">
        <v>5</v>
      </c>
    </row>
    <row r="3505" spans="1:4" x14ac:dyDescent="0.4">
      <c r="A3505" s="1" t="s">
        <v>6748</v>
      </c>
      <c r="B3505" t="s">
        <v>6749</v>
      </c>
      <c r="C3505" t="s">
        <v>5</v>
      </c>
    </row>
    <row r="3506" spans="1:4" x14ac:dyDescent="0.4">
      <c r="A3506" s="1" t="s">
        <v>6750</v>
      </c>
      <c r="B3506" t="s">
        <v>6751</v>
      </c>
      <c r="C3506" t="s">
        <v>5</v>
      </c>
    </row>
    <row r="3507" spans="1:4" x14ac:dyDescent="0.4">
      <c r="A3507" s="1" t="s">
        <v>6752</v>
      </c>
      <c r="B3507" t="s">
        <v>6753</v>
      </c>
      <c r="C3507" t="s">
        <v>5</v>
      </c>
    </row>
    <row r="3508" spans="1:4" x14ac:dyDescent="0.4">
      <c r="A3508" s="1" t="s">
        <v>6754</v>
      </c>
      <c r="B3508" t="s">
        <v>6755</v>
      </c>
      <c r="C3508" t="s">
        <v>5</v>
      </c>
    </row>
    <row r="3509" spans="1:4" x14ac:dyDescent="0.4">
      <c r="A3509" s="1" t="s">
        <v>6756</v>
      </c>
      <c r="B3509" t="s">
        <v>6757</v>
      </c>
      <c r="C3509" t="s">
        <v>5</v>
      </c>
    </row>
    <row r="3510" spans="1:4" x14ac:dyDescent="0.4">
      <c r="A3510" s="1" t="s">
        <v>6758</v>
      </c>
      <c r="B3510" t="s">
        <v>6759</v>
      </c>
      <c r="C3510" t="s">
        <v>5</v>
      </c>
    </row>
    <row r="3511" spans="1:4" x14ac:dyDescent="0.4">
      <c r="A3511" s="1" t="s">
        <v>6760</v>
      </c>
      <c r="B3511" t="s">
        <v>6761</v>
      </c>
      <c r="C3511" t="s">
        <v>5</v>
      </c>
    </row>
    <row r="3512" spans="1:4" x14ac:dyDescent="0.4">
      <c r="A3512" s="1" t="s">
        <v>6762</v>
      </c>
      <c r="B3512" t="s">
        <v>6763</v>
      </c>
      <c r="C3512" t="s">
        <v>5</v>
      </c>
    </row>
    <row r="3513" spans="1:4" x14ac:dyDescent="0.4">
      <c r="A3513" s="1" t="s">
        <v>6764</v>
      </c>
      <c r="B3513" t="s">
        <v>6765</v>
      </c>
      <c r="C3513" t="s">
        <v>5</v>
      </c>
    </row>
    <row r="3514" spans="1:4" x14ac:dyDescent="0.4">
      <c r="A3514" s="1" t="s">
        <v>6766</v>
      </c>
      <c r="B3514" t="s">
        <v>6767</v>
      </c>
      <c r="C3514" t="s">
        <v>5</v>
      </c>
    </row>
    <row r="3515" spans="1:4" x14ac:dyDescent="0.4">
      <c r="A3515" s="1" t="s">
        <v>6768</v>
      </c>
      <c r="B3515" t="s">
        <v>6769</v>
      </c>
      <c r="C3515" t="s">
        <v>5</v>
      </c>
    </row>
    <row r="3516" spans="1:4" x14ac:dyDescent="0.4">
      <c r="A3516" s="1" t="s">
        <v>6770</v>
      </c>
      <c r="B3516" t="s">
        <v>6771</v>
      </c>
      <c r="C3516" t="s">
        <v>5</v>
      </c>
    </row>
    <row r="3517" spans="1:4" x14ac:dyDescent="0.4">
      <c r="A3517" s="1" t="s">
        <v>6772</v>
      </c>
      <c r="B3517" t="s">
        <v>6773</v>
      </c>
      <c r="C3517" t="s">
        <v>5</v>
      </c>
    </row>
    <row r="3518" spans="1:4" x14ac:dyDescent="0.4">
      <c r="A3518" s="1" t="s">
        <v>6774</v>
      </c>
      <c r="B3518" t="s">
        <v>6775</v>
      </c>
      <c r="C3518" t="s">
        <v>5</v>
      </c>
    </row>
    <row r="3519" spans="1:4" x14ac:dyDescent="0.4">
      <c r="A3519" s="1" t="s">
        <v>6776</v>
      </c>
      <c r="B3519" t="s">
        <v>6777</v>
      </c>
      <c r="C3519" t="s">
        <v>5</v>
      </c>
    </row>
    <row r="3520" spans="1:4" x14ac:dyDescent="0.4">
      <c r="A3520" s="1" t="s">
        <v>6778</v>
      </c>
      <c r="B3520" t="s">
        <v>6779</v>
      </c>
      <c r="C3520" t="s">
        <v>5</v>
      </c>
      <c r="D3520">
        <v>80000</v>
      </c>
    </row>
    <row r="3521" spans="1:4" x14ac:dyDescent="0.4">
      <c r="A3521" s="1" t="s">
        <v>6780</v>
      </c>
      <c r="B3521" t="s">
        <v>6781</v>
      </c>
      <c r="C3521" t="s">
        <v>5</v>
      </c>
    </row>
    <row r="3522" spans="1:4" x14ac:dyDescent="0.4">
      <c r="A3522" s="1" t="s">
        <v>6782</v>
      </c>
      <c r="B3522" t="s">
        <v>6783</v>
      </c>
      <c r="C3522" t="s">
        <v>5</v>
      </c>
    </row>
    <row r="3523" spans="1:4" x14ac:dyDescent="0.4">
      <c r="A3523" s="1" t="s">
        <v>6784</v>
      </c>
      <c r="B3523" t="s">
        <v>6785</v>
      </c>
      <c r="C3523" t="s">
        <v>5</v>
      </c>
      <c r="D3523">
        <v>11600</v>
      </c>
    </row>
    <row r="3524" spans="1:4" x14ac:dyDescent="0.4">
      <c r="A3524" s="1" t="s">
        <v>6786</v>
      </c>
      <c r="B3524" t="s">
        <v>6787</v>
      </c>
      <c r="C3524" t="s">
        <v>5</v>
      </c>
      <c r="D3524">
        <v>15100</v>
      </c>
    </row>
    <row r="3525" spans="1:4" x14ac:dyDescent="0.4">
      <c r="A3525" s="1" t="s">
        <v>6788</v>
      </c>
      <c r="B3525" t="s">
        <v>6789</v>
      </c>
      <c r="C3525" t="s">
        <v>5</v>
      </c>
      <c r="D3525">
        <v>10800</v>
      </c>
    </row>
    <row r="3526" spans="1:4" x14ac:dyDescent="0.4">
      <c r="A3526" s="1" t="s">
        <v>6790</v>
      </c>
      <c r="B3526" t="s">
        <v>6791</v>
      </c>
      <c r="C3526" t="s">
        <v>5</v>
      </c>
      <c r="D3526">
        <v>10800</v>
      </c>
    </row>
    <row r="3527" spans="1:4" x14ac:dyDescent="0.4">
      <c r="A3527" s="1" t="s">
        <v>6792</v>
      </c>
      <c r="B3527" t="s">
        <v>6793</v>
      </c>
      <c r="C3527" t="s">
        <v>5</v>
      </c>
      <c r="D3527">
        <v>20600</v>
      </c>
    </row>
    <row r="3528" spans="1:4" x14ac:dyDescent="0.4">
      <c r="A3528" s="1" t="s">
        <v>6794</v>
      </c>
      <c r="B3528" t="s">
        <v>6795</v>
      </c>
      <c r="C3528" t="s">
        <v>5</v>
      </c>
      <c r="D3528">
        <v>20600</v>
      </c>
    </row>
    <row r="3529" spans="1:4" x14ac:dyDescent="0.4">
      <c r="A3529" s="1" t="s">
        <v>6796</v>
      </c>
      <c r="B3529" t="s">
        <v>6797</v>
      </c>
      <c r="C3529" t="s">
        <v>5</v>
      </c>
      <c r="D3529">
        <v>20600</v>
      </c>
    </row>
    <row r="3530" spans="1:4" x14ac:dyDescent="0.4">
      <c r="A3530" s="1" t="s">
        <v>6798</v>
      </c>
      <c r="B3530" t="s">
        <v>6799</v>
      </c>
      <c r="C3530" t="s">
        <v>5</v>
      </c>
      <c r="D3530">
        <v>13000</v>
      </c>
    </row>
    <row r="3531" spans="1:4" x14ac:dyDescent="0.4">
      <c r="A3531" s="1" t="s">
        <v>6800</v>
      </c>
      <c r="B3531" t="s">
        <v>6801</v>
      </c>
      <c r="C3531" t="s">
        <v>5</v>
      </c>
      <c r="D3531">
        <v>13000</v>
      </c>
    </row>
    <row r="3532" spans="1:4" x14ac:dyDescent="0.4">
      <c r="A3532" s="1" t="s">
        <v>6802</v>
      </c>
      <c r="B3532" t="s">
        <v>6803</v>
      </c>
      <c r="C3532" t="s">
        <v>5</v>
      </c>
      <c r="D3532">
        <v>13000</v>
      </c>
    </row>
    <row r="3533" spans="1:4" x14ac:dyDescent="0.4">
      <c r="A3533" s="1" t="s">
        <v>6804</v>
      </c>
      <c r="B3533" t="s">
        <v>6805</v>
      </c>
      <c r="C3533" t="s">
        <v>5</v>
      </c>
      <c r="D3533">
        <v>13000</v>
      </c>
    </row>
    <row r="3534" spans="1:4" x14ac:dyDescent="0.4">
      <c r="A3534" s="1" t="s">
        <v>6806</v>
      </c>
      <c r="B3534" t="s">
        <v>6807</v>
      </c>
      <c r="C3534" t="s">
        <v>5</v>
      </c>
      <c r="D3534">
        <v>13000</v>
      </c>
    </row>
    <row r="3535" spans="1:4" x14ac:dyDescent="0.4">
      <c r="A3535" s="1" t="s">
        <v>6808</v>
      </c>
      <c r="B3535" t="s">
        <v>6809</v>
      </c>
      <c r="C3535" t="s">
        <v>5</v>
      </c>
      <c r="D3535">
        <v>13000</v>
      </c>
    </row>
    <row r="3536" spans="1:4" x14ac:dyDescent="0.4">
      <c r="A3536" s="1" t="s">
        <v>6810</v>
      </c>
      <c r="B3536" t="s">
        <v>6811</v>
      </c>
      <c r="C3536" t="s">
        <v>5</v>
      </c>
    </row>
    <row r="3537" spans="1:4" x14ac:dyDescent="0.4">
      <c r="A3537" s="1" t="s">
        <v>6812</v>
      </c>
      <c r="B3537" t="s">
        <v>6813</v>
      </c>
      <c r="C3537" t="s">
        <v>5</v>
      </c>
    </row>
    <row r="3538" spans="1:4" x14ac:dyDescent="0.4">
      <c r="A3538" s="1" t="s">
        <v>6814</v>
      </c>
      <c r="B3538" t="s">
        <v>6815</v>
      </c>
      <c r="C3538" t="s">
        <v>5</v>
      </c>
    </row>
    <row r="3539" spans="1:4" x14ac:dyDescent="0.4">
      <c r="A3539" s="1" t="s">
        <v>6816</v>
      </c>
      <c r="B3539" t="s">
        <v>6817</v>
      </c>
      <c r="C3539" t="s">
        <v>5</v>
      </c>
      <c r="D3539">
        <v>29300</v>
      </c>
    </row>
    <row r="3540" spans="1:4" x14ac:dyDescent="0.4">
      <c r="A3540" s="1" t="s">
        <v>6818</v>
      </c>
      <c r="B3540" t="s">
        <v>6819</v>
      </c>
      <c r="C3540" t="s">
        <v>5</v>
      </c>
      <c r="D3540">
        <v>29300</v>
      </c>
    </row>
    <row r="3541" spans="1:4" x14ac:dyDescent="0.4">
      <c r="A3541" s="1" t="s">
        <v>6820</v>
      </c>
      <c r="B3541" t="s">
        <v>6821</v>
      </c>
      <c r="C3541" t="s">
        <v>5</v>
      </c>
      <c r="D3541">
        <v>29300</v>
      </c>
    </row>
    <row r="3542" spans="1:4" x14ac:dyDescent="0.4">
      <c r="A3542" s="1" t="s">
        <v>6822</v>
      </c>
      <c r="B3542" t="s">
        <v>6823</v>
      </c>
      <c r="C3542" t="s">
        <v>5</v>
      </c>
      <c r="D3542">
        <v>29300</v>
      </c>
    </row>
    <row r="3543" spans="1:4" x14ac:dyDescent="0.4">
      <c r="A3543" s="1" t="s">
        <v>6824</v>
      </c>
      <c r="B3543" t="s">
        <v>6825</v>
      </c>
      <c r="C3543" t="s">
        <v>5</v>
      </c>
      <c r="D3543">
        <v>47000</v>
      </c>
    </row>
    <row r="3544" spans="1:4" x14ac:dyDescent="0.4">
      <c r="A3544" s="1" t="s">
        <v>6826</v>
      </c>
      <c r="B3544" t="s">
        <v>6827</v>
      </c>
      <c r="D3544">
        <v>74800</v>
      </c>
    </row>
    <row r="3545" spans="1:4" x14ac:dyDescent="0.4">
      <c r="A3545" s="1" t="s">
        <v>6828</v>
      </c>
      <c r="B3545" t="s">
        <v>6829</v>
      </c>
      <c r="D3545">
        <v>118000</v>
      </c>
    </row>
    <row r="3546" spans="1:4" x14ac:dyDescent="0.4">
      <c r="A3546" s="1" t="s">
        <v>6830</v>
      </c>
      <c r="B3546" t="s">
        <v>6831</v>
      </c>
      <c r="D3546">
        <v>218000</v>
      </c>
    </row>
    <row r="3547" spans="1:4" x14ac:dyDescent="0.4">
      <c r="A3547" s="1" t="s">
        <v>6832</v>
      </c>
      <c r="B3547" t="s">
        <v>6833</v>
      </c>
      <c r="C3547" t="s">
        <v>5</v>
      </c>
      <c r="D3547">
        <v>37500</v>
      </c>
    </row>
    <row r="3548" spans="1:4" x14ac:dyDescent="0.4">
      <c r="A3548" s="1" t="s">
        <v>6834</v>
      </c>
      <c r="B3548" t="s">
        <v>6835</v>
      </c>
      <c r="C3548" t="s">
        <v>5</v>
      </c>
      <c r="D3548">
        <v>17700</v>
      </c>
    </row>
    <row r="3549" spans="1:4" x14ac:dyDescent="0.4">
      <c r="A3549" s="1" t="s">
        <v>6836</v>
      </c>
      <c r="B3549" t="s">
        <v>6837</v>
      </c>
      <c r="C3549" t="s">
        <v>5</v>
      </c>
      <c r="D3549">
        <v>49400</v>
      </c>
    </row>
    <row r="3550" spans="1:4" x14ac:dyDescent="0.4">
      <c r="A3550" s="1" t="s">
        <v>6838</v>
      </c>
      <c r="B3550" t="s">
        <v>6839</v>
      </c>
      <c r="C3550" t="s">
        <v>5</v>
      </c>
      <c r="D3550">
        <v>13600</v>
      </c>
    </row>
    <row r="3551" spans="1:4" x14ac:dyDescent="0.4">
      <c r="A3551" s="1" t="s">
        <v>6840</v>
      </c>
      <c r="B3551" t="s">
        <v>6841</v>
      </c>
      <c r="C3551" t="s">
        <v>5</v>
      </c>
    </row>
    <row r="3552" spans="1:4" x14ac:dyDescent="0.4">
      <c r="A3552" s="1" t="s">
        <v>6842</v>
      </c>
      <c r="B3552" t="s">
        <v>6843</v>
      </c>
      <c r="C3552" t="s">
        <v>5</v>
      </c>
      <c r="D3552">
        <v>84000</v>
      </c>
    </row>
    <row r="3553" spans="1:4" x14ac:dyDescent="0.4">
      <c r="A3553" s="1" t="s">
        <v>6844</v>
      </c>
      <c r="B3553" t="s">
        <v>6845</v>
      </c>
      <c r="C3553" t="s">
        <v>5</v>
      </c>
      <c r="D3553">
        <v>110000</v>
      </c>
    </row>
    <row r="3554" spans="1:4" x14ac:dyDescent="0.4">
      <c r="A3554" s="1" t="s">
        <v>6846</v>
      </c>
      <c r="B3554" t="s">
        <v>6847</v>
      </c>
      <c r="C3554" t="s">
        <v>5</v>
      </c>
      <c r="D3554">
        <v>130000</v>
      </c>
    </row>
    <row r="3555" spans="1:4" x14ac:dyDescent="0.4">
      <c r="A3555" s="1" t="s">
        <v>6848</v>
      </c>
      <c r="B3555" t="s">
        <v>6849</v>
      </c>
      <c r="C3555" t="s">
        <v>5</v>
      </c>
      <c r="D3555">
        <v>22100</v>
      </c>
    </row>
    <row r="3556" spans="1:4" x14ac:dyDescent="0.4">
      <c r="A3556" s="1" t="s">
        <v>6850</v>
      </c>
      <c r="B3556" t="s">
        <v>6851</v>
      </c>
      <c r="C3556" t="s">
        <v>5</v>
      </c>
      <c r="D3556">
        <v>22100</v>
      </c>
    </row>
    <row r="3557" spans="1:4" x14ac:dyDescent="0.4">
      <c r="A3557" s="1" t="s">
        <v>6852</v>
      </c>
      <c r="B3557" t="s">
        <v>6853</v>
      </c>
      <c r="C3557" t="s">
        <v>5</v>
      </c>
      <c r="D3557">
        <v>34300</v>
      </c>
    </row>
    <row r="3558" spans="1:4" x14ac:dyDescent="0.4">
      <c r="A3558" s="1" t="s">
        <v>6854</v>
      </c>
      <c r="B3558" t="s">
        <v>6855</v>
      </c>
      <c r="C3558" t="s">
        <v>5</v>
      </c>
    </row>
    <row r="3559" spans="1:4" x14ac:dyDescent="0.4">
      <c r="A3559" s="1" t="s">
        <v>6856</v>
      </c>
      <c r="B3559" t="s">
        <v>6857</v>
      </c>
      <c r="C3559" t="s">
        <v>5</v>
      </c>
    </row>
    <row r="3560" spans="1:4" x14ac:dyDescent="0.4">
      <c r="A3560" s="1" t="s">
        <v>6858</v>
      </c>
      <c r="B3560" t="s">
        <v>6859</v>
      </c>
      <c r="C3560" t="s">
        <v>5</v>
      </c>
      <c r="D3560">
        <v>10400</v>
      </c>
    </row>
    <row r="3561" spans="1:4" x14ac:dyDescent="0.4">
      <c r="A3561" s="1" t="s">
        <v>6860</v>
      </c>
      <c r="B3561" t="s">
        <v>6861</v>
      </c>
      <c r="C3561" t="s">
        <v>5</v>
      </c>
      <c r="D3561">
        <v>12900</v>
      </c>
    </row>
    <row r="3562" spans="1:4" x14ac:dyDescent="0.4">
      <c r="A3562" s="1" t="s">
        <v>6862</v>
      </c>
      <c r="B3562" t="s">
        <v>6863</v>
      </c>
      <c r="C3562" t="s">
        <v>5</v>
      </c>
      <c r="D3562">
        <v>2700</v>
      </c>
    </row>
    <row r="3563" spans="1:4" x14ac:dyDescent="0.4">
      <c r="A3563" s="1" t="s">
        <v>6864</v>
      </c>
      <c r="B3563" t="s">
        <v>6865</v>
      </c>
      <c r="C3563" t="s">
        <v>5</v>
      </c>
      <c r="D3563">
        <v>12900</v>
      </c>
    </row>
    <row r="3564" spans="1:4" x14ac:dyDescent="0.4">
      <c r="A3564" s="1" t="s">
        <v>6866</v>
      </c>
      <c r="B3564" t="s">
        <v>6867</v>
      </c>
      <c r="C3564" t="s">
        <v>5</v>
      </c>
      <c r="D3564">
        <v>12900</v>
      </c>
    </row>
    <row r="3565" spans="1:4" x14ac:dyDescent="0.4">
      <c r="A3565" s="1" t="s">
        <v>6868</v>
      </c>
      <c r="B3565" t="s">
        <v>6869</v>
      </c>
      <c r="C3565" t="s">
        <v>5</v>
      </c>
    </row>
    <row r="3566" spans="1:4" x14ac:dyDescent="0.4">
      <c r="A3566" s="1" t="s">
        <v>6870</v>
      </c>
      <c r="B3566" t="s">
        <v>6871</v>
      </c>
      <c r="C3566" t="s">
        <v>5</v>
      </c>
    </row>
    <row r="3567" spans="1:4" x14ac:dyDescent="0.4">
      <c r="A3567" s="1" t="s">
        <v>6872</v>
      </c>
      <c r="B3567" t="s">
        <v>6873</v>
      </c>
      <c r="C3567" t="s">
        <v>5</v>
      </c>
    </row>
    <row r="3568" spans="1:4" x14ac:dyDescent="0.4">
      <c r="A3568" s="1" t="s">
        <v>6874</v>
      </c>
      <c r="B3568" t="s">
        <v>6875</v>
      </c>
      <c r="C3568" t="s">
        <v>5</v>
      </c>
    </row>
    <row r="3569" spans="1:4" x14ac:dyDescent="0.4">
      <c r="A3569" s="1" t="s">
        <v>6876</v>
      </c>
      <c r="B3569" t="s">
        <v>6877</v>
      </c>
      <c r="C3569" t="s">
        <v>5</v>
      </c>
    </row>
    <row r="3570" spans="1:4" x14ac:dyDescent="0.4">
      <c r="A3570" s="1" t="s">
        <v>6878</v>
      </c>
      <c r="B3570" t="s">
        <v>6879</v>
      </c>
      <c r="C3570" t="s">
        <v>5</v>
      </c>
    </row>
    <row r="3571" spans="1:4" x14ac:dyDescent="0.4">
      <c r="A3571" s="1" t="s">
        <v>6880</v>
      </c>
      <c r="B3571" t="s">
        <v>6881</v>
      </c>
      <c r="C3571" t="s">
        <v>5</v>
      </c>
    </row>
    <row r="3572" spans="1:4" x14ac:dyDescent="0.4">
      <c r="A3572" s="1" t="s">
        <v>6882</v>
      </c>
      <c r="B3572" t="s">
        <v>6883</v>
      </c>
      <c r="C3572" t="s">
        <v>5</v>
      </c>
    </row>
    <row r="3573" spans="1:4" x14ac:dyDescent="0.4">
      <c r="A3573" s="1" t="s">
        <v>6884</v>
      </c>
      <c r="B3573" t="s">
        <v>6885</v>
      </c>
      <c r="C3573" t="s">
        <v>5</v>
      </c>
      <c r="D3573">
        <v>19000</v>
      </c>
    </row>
    <row r="3574" spans="1:4" x14ac:dyDescent="0.4">
      <c r="A3574" s="1" t="s">
        <v>6886</v>
      </c>
      <c r="B3574" t="s">
        <v>6887</v>
      </c>
      <c r="C3574" t="s">
        <v>5</v>
      </c>
    </row>
    <row r="3575" spans="1:4" x14ac:dyDescent="0.4">
      <c r="A3575" s="1" t="s">
        <v>6888</v>
      </c>
      <c r="B3575" t="s">
        <v>6889</v>
      </c>
      <c r="C3575" t="s">
        <v>5</v>
      </c>
    </row>
    <row r="3576" spans="1:4" x14ac:dyDescent="0.4">
      <c r="A3576" s="1" t="s">
        <v>6890</v>
      </c>
      <c r="B3576" t="s">
        <v>6891</v>
      </c>
      <c r="C3576" t="s">
        <v>5</v>
      </c>
    </row>
    <row r="3577" spans="1:4" x14ac:dyDescent="0.4">
      <c r="A3577" s="1" t="s">
        <v>6892</v>
      </c>
      <c r="B3577" t="s">
        <v>6893</v>
      </c>
      <c r="C3577" t="s">
        <v>5</v>
      </c>
    </row>
    <row r="3578" spans="1:4" x14ac:dyDescent="0.4">
      <c r="A3578" s="1" t="s">
        <v>6894</v>
      </c>
      <c r="B3578" t="s">
        <v>6895</v>
      </c>
      <c r="C3578" t="s">
        <v>5</v>
      </c>
    </row>
    <row r="3579" spans="1:4" x14ac:dyDescent="0.4">
      <c r="A3579" s="1" t="s">
        <v>6896</v>
      </c>
      <c r="B3579" t="s">
        <v>6897</v>
      </c>
      <c r="C3579" t="s">
        <v>5</v>
      </c>
    </row>
    <row r="3580" spans="1:4" x14ac:dyDescent="0.4">
      <c r="A3580" s="1" t="s">
        <v>6898</v>
      </c>
      <c r="B3580" t="s">
        <v>6899</v>
      </c>
      <c r="C3580" t="s">
        <v>5</v>
      </c>
    </row>
    <row r="3581" spans="1:4" x14ac:dyDescent="0.4">
      <c r="A3581" s="1" t="s">
        <v>6900</v>
      </c>
      <c r="B3581" t="s">
        <v>6901</v>
      </c>
      <c r="C3581" t="s">
        <v>5</v>
      </c>
    </row>
    <row r="3582" spans="1:4" x14ac:dyDescent="0.4">
      <c r="A3582" s="1" t="s">
        <v>6902</v>
      </c>
      <c r="B3582" t="s">
        <v>6903</v>
      </c>
      <c r="C3582" t="s">
        <v>5</v>
      </c>
      <c r="D3582">
        <v>18100</v>
      </c>
    </row>
    <row r="3583" spans="1:4" x14ac:dyDescent="0.4">
      <c r="A3583" s="1" t="s">
        <v>6904</v>
      </c>
      <c r="B3583" t="s">
        <v>6905</v>
      </c>
      <c r="C3583" t="s">
        <v>5</v>
      </c>
      <c r="D3583">
        <v>18700</v>
      </c>
    </row>
    <row r="3584" spans="1:4" x14ac:dyDescent="0.4">
      <c r="A3584" s="1" t="s">
        <v>6906</v>
      </c>
      <c r="B3584" t="s">
        <v>6907</v>
      </c>
      <c r="C3584" t="s">
        <v>5</v>
      </c>
      <c r="D3584">
        <v>18700</v>
      </c>
    </row>
    <row r="3585" spans="1:4" x14ac:dyDescent="0.4">
      <c r="A3585" s="1" t="s">
        <v>6908</v>
      </c>
      <c r="B3585" t="s">
        <v>6909</v>
      </c>
      <c r="C3585" t="s">
        <v>5</v>
      </c>
      <c r="D3585">
        <v>18700</v>
      </c>
    </row>
    <row r="3586" spans="1:4" x14ac:dyDescent="0.4">
      <c r="A3586" s="1" t="s">
        <v>6910</v>
      </c>
      <c r="B3586" t="s">
        <v>6911</v>
      </c>
      <c r="C3586" t="s">
        <v>5</v>
      </c>
    </row>
    <row r="3587" spans="1:4" x14ac:dyDescent="0.4">
      <c r="A3587" s="1" t="s">
        <v>6912</v>
      </c>
      <c r="B3587" t="s">
        <v>6913</v>
      </c>
      <c r="C3587" t="s">
        <v>5</v>
      </c>
    </row>
    <row r="3588" spans="1:4" x14ac:dyDescent="0.4">
      <c r="A3588" s="1" t="s">
        <v>6914</v>
      </c>
      <c r="B3588" t="s">
        <v>6915</v>
      </c>
      <c r="C3588" t="s">
        <v>5</v>
      </c>
    </row>
    <row r="3589" spans="1:4" x14ac:dyDescent="0.4">
      <c r="A3589" s="1" t="s">
        <v>6916</v>
      </c>
      <c r="B3589" t="s">
        <v>6917</v>
      </c>
      <c r="C3589" t="s">
        <v>5</v>
      </c>
    </row>
    <row r="3590" spans="1:4" x14ac:dyDescent="0.4">
      <c r="A3590" s="1" t="s">
        <v>6918</v>
      </c>
      <c r="B3590" t="s">
        <v>6919</v>
      </c>
      <c r="C3590" t="s">
        <v>5</v>
      </c>
    </row>
    <row r="3591" spans="1:4" x14ac:dyDescent="0.4">
      <c r="A3591" s="1" t="s">
        <v>6920</v>
      </c>
      <c r="B3591" t="s">
        <v>6921</v>
      </c>
      <c r="C3591" t="s">
        <v>5</v>
      </c>
    </row>
    <row r="3592" spans="1:4" x14ac:dyDescent="0.4">
      <c r="A3592" s="1" t="s">
        <v>6922</v>
      </c>
      <c r="B3592" t="s">
        <v>6923</v>
      </c>
      <c r="C3592" t="s">
        <v>5</v>
      </c>
    </row>
    <row r="3593" spans="1:4" x14ac:dyDescent="0.4">
      <c r="A3593" s="1" t="s">
        <v>6924</v>
      </c>
      <c r="B3593" t="s">
        <v>6925</v>
      </c>
      <c r="C3593" t="s">
        <v>5</v>
      </c>
    </row>
    <row r="3594" spans="1:4" x14ac:dyDescent="0.4">
      <c r="A3594" s="1" t="s">
        <v>6926</v>
      </c>
      <c r="B3594" t="s">
        <v>6927</v>
      </c>
      <c r="C3594" t="s">
        <v>5</v>
      </c>
    </row>
    <row r="3595" spans="1:4" x14ac:dyDescent="0.4">
      <c r="A3595" s="1" t="s">
        <v>6928</v>
      </c>
      <c r="B3595" t="s">
        <v>6929</v>
      </c>
      <c r="C3595" t="s">
        <v>5</v>
      </c>
    </row>
    <row r="3596" spans="1:4" x14ac:dyDescent="0.4">
      <c r="A3596" s="1" t="s">
        <v>6930</v>
      </c>
      <c r="B3596" t="s">
        <v>6931</v>
      </c>
      <c r="C3596" t="s">
        <v>5</v>
      </c>
    </row>
    <row r="3597" spans="1:4" x14ac:dyDescent="0.4">
      <c r="A3597" s="1" t="s">
        <v>6932</v>
      </c>
      <c r="B3597" t="s">
        <v>6933</v>
      </c>
      <c r="C3597" t="s">
        <v>5</v>
      </c>
    </row>
    <row r="3598" spans="1:4" x14ac:dyDescent="0.4">
      <c r="A3598" s="1" t="s">
        <v>6934</v>
      </c>
      <c r="B3598" t="s">
        <v>6935</v>
      </c>
      <c r="C3598" t="s">
        <v>5</v>
      </c>
    </row>
    <row r="3599" spans="1:4" x14ac:dyDescent="0.4">
      <c r="A3599" s="1" t="s">
        <v>6936</v>
      </c>
      <c r="B3599" t="s">
        <v>6937</v>
      </c>
      <c r="C3599" t="s">
        <v>5</v>
      </c>
    </row>
    <row r="3600" spans="1:4" x14ac:dyDescent="0.4">
      <c r="A3600" s="1" t="s">
        <v>6938</v>
      </c>
      <c r="B3600" t="s">
        <v>6939</v>
      </c>
      <c r="C3600" t="s">
        <v>5</v>
      </c>
      <c r="D3600">
        <v>46000</v>
      </c>
    </row>
    <row r="3601" spans="1:4" x14ac:dyDescent="0.4">
      <c r="A3601" s="1" t="s">
        <v>6940</v>
      </c>
      <c r="B3601" t="s">
        <v>6941</v>
      </c>
      <c r="C3601" t="s">
        <v>5</v>
      </c>
    </row>
    <row r="3602" spans="1:4" x14ac:dyDescent="0.4">
      <c r="A3602" s="1" t="s">
        <v>6942</v>
      </c>
      <c r="B3602" t="s">
        <v>6943</v>
      </c>
      <c r="C3602" t="s">
        <v>5</v>
      </c>
    </row>
    <row r="3603" spans="1:4" x14ac:dyDescent="0.4">
      <c r="A3603" s="1" t="s">
        <v>6944</v>
      </c>
      <c r="B3603" t="s">
        <v>6945</v>
      </c>
      <c r="C3603" t="s">
        <v>5</v>
      </c>
    </row>
    <row r="3604" spans="1:4" x14ac:dyDescent="0.4">
      <c r="A3604" s="1" t="s">
        <v>6946</v>
      </c>
      <c r="B3604" t="s">
        <v>6947</v>
      </c>
      <c r="C3604" t="s">
        <v>5</v>
      </c>
    </row>
    <row r="3605" spans="1:4" x14ac:dyDescent="0.4">
      <c r="A3605" s="1" t="s">
        <v>6948</v>
      </c>
      <c r="B3605" t="s">
        <v>6949</v>
      </c>
      <c r="C3605" t="s">
        <v>5</v>
      </c>
      <c r="D3605">
        <v>9900</v>
      </c>
    </row>
    <row r="3606" spans="1:4" x14ac:dyDescent="0.4">
      <c r="A3606" s="1" t="s">
        <v>6950</v>
      </c>
      <c r="B3606" t="s">
        <v>6951</v>
      </c>
      <c r="C3606" t="s">
        <v>5</v>
      </c>
      <c r="D3606">
        <v>7800</v>
      </c>
    </row>
    <row r="3607" spans="1:4" x14ac:dyDescent="0.4">
      <c r="A3607" s="1" t="s">
        <v>6952</v>
      </c>
      <c r="B3607" t="s">
        <v>6953</v>
      </c>
      <c r="C3607" t="s">
        <v>5</v>
      </c>
      <c r="D3607">
        <v>26500</v>
      </c>
    </row>
    <row r="3608" spans="1:4" x14ac:dyDescent="0.4">
      <c r="A3608" s="1" t="s">
        <v>6954</v>
      </c>
      <c r="B3608" t="s">
        <v>6955</v>
      </c>
      <c r="C3608" t="s">
        <v>5</v>
      </c>
      <c r="D3608">
        <v>24900</v>
      </c>
    </row>
    <row r="3609" spans="1:4" x14ac:dyDescent="0.4">
      <c r="A3609" s="1" t="s">
        <v>6956</v>
      </c>
      <c r="B3609" t="s">
        <v>6957</v>
      </c>
      <c r="C3609" t="s">
        <v>5</v>
      </c>
      <c r="D3609">
        <v>24900</v>
      </c>
    </row>
    <row r="3610" spans="1:4" x14ac:dyDescent="0.4">
      <c r="A3610" s="1" t="s">
        <v>6958</v>
      </c>
      <c r="B3610" t="s">
        <v>6959</v>
      </c>
      <c r="C3610" t="s">
        <v>5</v>
      </c>
      <c r="D3610">
        <v>24900</v>
      </c>
    </row>
    <row r="3611" spans="1:4" x14ac:dyDescent="0.4">
      <c r="A3611" s="1" t="s">
        <v>6960</v>
      </c>
      <c r="B3611" t="s">
        <v>6961</v>
      </c>
      <c r="C3611" t="s">
        <v>5</v>
      </c>
      <c r="D3611">
        <v>7800</v>
      </c>
    </row>
    <row r="3612" spans="1:4" x14ac:dyDescent="0.4">
      <c r="A3612" s="1" t="s">
        <v>6962</v>
      </c>
      <c r="B3612" t="s">
        <v>6963</v>
      </c>
      <c r="C3612" t="s">
        <v>5</v>
      </c>
      <c r="D3612">
        <v>7800</v>
      </c>
    </row>
    <row r="3613" spans="1:4" x14ac:dyDescent="0.4">
      <c r="A3613" s="1" t="s">
        <v>6964</v>
      </c>
      <c r="B3613" t="s">
        <v>6965</v>
      </c>
      <c r="C3613" t="s">
        <v>5</v>
      </c>
    </row>
    <row r="3614" spans="1:4" x14ac:dyDescent="0.4">
      <c r="A3614" s="1" t="s">
        <v>6966</v>
      </c>
      <c r="B3614" t="s">
        <v>6967</v>
      </c>
      <c r="C3614" t="s">
        <v>5</v>
      </c>
    </row>
    <row r="3615" spans="1:4" x14ac:dyDescent="0.4">
      <c r="A3615" s="1" t="s">
        <v>6968</v>
      </c>
      <c r="B3615" t="s">
        <v>6969</v>
      </c>
      <c r="C3615" t="s">
        <v>5</v>
      </c>
    </row>
    <row r="3616" spans="1:4" x14ac:dyDescent="0.4">
      <c r="A3616" s="1" t="s">
        <v>6970</v>
      </c>
      <c r="B3616" t="s">
        <v>6971</v>
      </c>
      <c r="C3616" t="s">
        <v>5</v>
      </c>
    </row>
    <row r="3617" spans="1:4" x14ac:dyDescent="0.4">
      <c r="A3617" s="1" t="s">
        <v>6972</v>
      </c>
      <c r="B3617" t="s">
        <v>6973</v>
      </c>
      <c r="C3617" t="s">
        <v>5</v>
      </c>
      <c r="D3617">
        <v>9400</v>
      </c>
    </row>
    <row r="3618" spans="1:4" x14ac:dyDescent="0.4">
      <c r="A3618" s="1" t="s">
        <v>6974</v>
      </c>
      <c r="B3618" t="s">
        <v>6975</v>
      </c>
      <c r="C3618" t="s">
        <v>5</v>
      </c>
      <c r="D3618">
        <v>8300</v>
      </c>
    </row>
    <row r="3619" spans="1:4" x14ac:dyDescent="0.4">
      <c r="A3619" s="1" t="s">
        <v>6976</v>
      </c>
      <c r="B3619" t="s">
        <v>6977</v>
      </c>
      <c r="C3619" t="s">
        <v>5</v>
      </c>
      <c r="D3619">
        <v>18800</v>
      </c>
    </row>
    <row r="3620" spans="1:4" x14ac:dyDescent="0.4">
      <c r="A3620" s="1" t="s">
        <v>6978</v>
      </c>
      <c r="B3620" t="s">
        <v>6979</v>
      </c>
      <c r="C3620" t="s">
        <v>5</v>
      </c>
      <c r="D3620">
        <v>56300</v>
      </c>
    </row>
    <row r="3621" spans="1:4" x14ac:dyDescent="0.4">
      <c r="A3621" s="1" t="s">
        <v>6980</v>
      </c>
      <c r="B3621" t="s">
        <v>6981</v>
      </c>
      <c r="C3621" t="s">
        <v>5</v>
      </c>
      <c r="D3621">
        <v>18800</v>
      </c>
    </row>
    <row r="3622" spans="1:4" x14ac:dyDescent="0.4">
      <c r="A3622" s="1" t="s">
        <v>6982</v>
      </c>
      <c r="B3622" t="s">
        <v>6983</v>
      </c>
      <c r="C3622" t="s">
        <v>5</v>
      </c>
      <c r="D3622">
        <v>16800</v>
      </c>
    </row>
    <row r="3623" spans="1:4" x14ac:dyDescent="0.4">
      <c r="A3623" s="1" t="s">
        <v>6984</v>
      </c>
      <c r="B3623" t="s">
        <v>6985</v>
      </c>
      <c r="C3623" t="s">
        <v>5</v>
      </c>
      <c r="D3623">
        <v>16800</v>
      </c>
    </row>
    <row r="3624" spans="1:4" x14ac:dyDescent="0.4">
      <c r="A3624" s="1" t="s">
        <v>6986</v>
      </c>
      <c r="B3624" t="s">
        <v>6987</v>
      </c>
      <c r="C3624" t="s">
        <v>5</v>
      </c>
      <c r="D3624">
        <v>16800</v>
      </c>
    </row>
    <row r="3625" spans="1:4" x14ac:dyDescent="0.4">
      <c r="A3625" s="1" t="s">
        <v>6988</v>
      </c>
      <c r="B3625" t="s">
        <v>6989</v>
      </c>
      <c r="C3625" t="s">
        <v>5</v>
      </c>
      <c r="D3625">
        <v>8300</v>
      </c>
    </row>
    <row r="3626" spans="1:4" x14ac:dyDescent="0.4">
      <c r="A3626" s="1" t="s">
        <v>6990</v>
      </c>
      <c r="B3626" t="s">
        <v>6991</v>
      </c>
      <c r="C3626" t="s">
        <v>5</v>
      </c>
      <c r="D3626">
        <v>8300</v>
      </c>
    </row>
    <row r="3627" spans="1:4" x14ac:dyDescent="0.4">
      <c r="A3627" s="1" t="s">
        <v>6992</v>
      </c>
      <c r="B3627" t="s">
        <v>6993</v>
      </c>
      <c r="C3627" t="s">
        <v>5</v>
      </c>
    </row>
    <row r="3628" spans="1:4" x14ac:dyDescent="0.4">
      <c r="A3628" s="1" t="s">
        <v>6994</v>
      </c>
      <c r="B3628" t="s">
        <v>6995</v>
      </c>
      <c r="C3628" t="s">
        <v>5</v>
      </c>
    </row>
    <row r="3629" spans="1:4" x14ac:dyDescent="0.4">
      <c r="A3629" s="1" t="s">
        <v>6996</v>
      </c>
      <c r="B3629" t="s">
        <v>6997</v>
      </c>
      <c r="C3629" t="s">
        <v>5</v>
      </c>
    </row>
    <row r="3630" spans="1:4" x14ac:dyDescent="0.4">
      <c r="A3630" s="1" t="s">
        <v>6998</v>
      </c>
      <c r="B3630" t="s">
        <v>6999</v>
      </c>
      <c r="C3630" t="s">
        <v>5</v>
      </c>
    </row>
    <row r="3631" spans="1:4" x14ac:dyDescent="0.4">
      <c r="A3631" s="1" t="s">
        <v>7000</v>
      </c>
      <c r="B3631" t="s">
        <v>7001</v>
      </c>
      <c r="D3631">
        <v>208000</v>
      </c>
    </row>
    <row r="3632" spans="1:4" x14ac:dyDescent="0.4">
      <c r="A3632" s="1" t="s">
        <v>7002</v>
      </c>
      <c r="B3632" t="s">
        <v>7003</v>
      </c>
      <c r="C3632" t="s">
        <v>5</v>
      </c>
      <c r="D3632">
        <v>51000</v>
      </c>
    </row>
    <row r="3633" spans="1:4" x14ac:dyDescent="0.4">
      <c r="A3633" s="1" t="s">
        <v>7004</v>
      </c>
      <c r="B3633" t="s">
        <v>7005</v>
      </c>
      <c r="C3633" t="s">
        <v>5</v>
      </c>
      <c r="D3633">
        <v>51000</v>
      </c>
    </row>
    <row r="3634" spans="1:4" x14ac:dyDescent="0.4">
      <c r="A3634" s="1" t="s">
        <v>7006</v>
      </c>
      <c r="B3634" t="s">
        <v>7007</v>
      </c>
      <c r="C3634" t="s">
        <v>5</v>
      </c>
      <c r="D3634">
        <v>51000</v>
      </c>
    </row>
    <row r="3635" spans="1:4" x14ac:dyDescent="0.4">
      <c r="A3635" s="1" t="s">
        <v>7008</v>
      </c>
      <c r="B3635" t="s">
        <v>7009</v>
      </c>
      <c r="C3635" t="s">
        <v>5</v>
      </c>
      <c r="D3635">
        <v>38800</v>
      </c>
    </row>
    <row r="3636" spans="1:4" x14ac:dyDescent="0.4">
      <c r="A3636" s="1" t="s">
        <v>7010</v>
      </c>
      <c r="B3636" t="s">
        <v>7011</v>
      </c>
      <c r="C3636" t="s">
        <v>5</v>
      </c>
      <c r="D3636">
        <v>51000</v>
      </c>
    </row>
    <row r="3637" spans="1:4" x14ac:dyDescent="0.4">
      <c r="A3637" s="1" t="s">
        <v>7012</v>
      </c>
      <c r="B3637" t="s">
        <v>7013</v>
      </c>
      <c r="C3637" t="s">
        <v>5</v>
      </c>
      <c r="D3637">
        <v>61200</v>
      </c>
    </row>
    <row r="3638" spans="1:4" x14ac:dyDescent="0.4">
      <c r="A3638" s="1" t="s">
        <v>7014</v>
      </c>
      <c r="B3638" t="s">
        <v>7015</v>
      </c>
      <c r="C3638" t="s">
        <v>5</v>
      </c>
      <c r="D3638">
        <v>51300</v>
      </c>
    </row>
    <row r="3639" spans="1:4" x14ac:dyDescent="0.4">
      <c r="A3639" s="1" t="s">
        <v>7016</v>
      </c>
      <c r="B3639" t="s">
        <v>7017</v>
      </c>
      <c r="C3639" t="s">
        <v>5</v>
      </c>
      <c r="D3639">
        <v>8700</v>
      </c>
    </row>
    <row r="3640" spans="1:4" x14ac:dyDescent="0.4">
      <c r="A3640" s="1" t="s">
        <v>7018</v>
      </c>
      <c r="B3640" t="s">
        <v>7019</v>
      </c>
      <c r="C3640" t="s">
        <v>5</v>
      </c>
      <c r="D3640">
        <v>8700</v>
      </c>
    </row>
    <row r="3641" spans="1:4" x14ac:dyDescent="0.4">
      <c r="A3641" s="1" t="s">
        <v>7020</v>
      </c>
      <c r="B3641" t="s">
        <v>7021</v>
      </c>
      <c r="C3641" t="s">
        <v>5</v>
      </c>
      <c r="D3641">
        <v>8700</v>
      </c>
    </row>
    <row r="3642" spans="1:4" x14ac:dyDescent="0.4">
      <c r="A3642" s="1" t="s">
        <v>7022</v>
      </c>
      <c r="B3642" t="s">
        <v>7023</v>
      </c>
      <c r="C3642" t="s">
        <v>5</v>
      </c>
      <c r="D3642">
        <v>8700</v>
      </c>
    </row>
    <row r="3643" spans="1:4" x14ac:dyDescent="0.4">
      <c r="A3643" s="1" t="s">
        <v>7024</v>
      </c>
      <c r="B3643" t="s">
        <v>7025</v>
      </c>
      <c r="C3643" t="s">
        <v>5</v>
      </c>
      <c r="D3643">
        <v>8700</v>
      </c>
    </row>
    <row r="3644" spans="1:4" x14ac:dyDescent="0.4">
      <c r="A3644" s="1" t="s">
        <v>7026</v>
      </c>
      <c r="B3644" t="s">
        <v>7027</v>
      </c>
      <c r="C3644" t="s">
        <v>5</v>
      </c>
      <c r="D3644">
        <v>8700</v>
      </c>
    </row>
    <row r="3645" spans="1:4" x14ac:dyDescent="0.4">
      <c r="A3645" s="1" t="s">
        <v>7028</v>
      </c>
      <c r="B3645" t="s">
        <v>7029</v>
      </c>
      <c r="C3645" t="s">
        <v>5</v>
      </c>
    </row>
    <row r="3646" spans="1:4" x14ac:dyDescent="0.4">
      <c r="A3646" s="1" t="s">
        <v>7030</v>
      </c>
      <c r="B3646" t="s">
        <v>7031</v>
      </c>
      <c r="C3646" t="s">
        <v>5</v>
      </c>
    </row>
    <row r="3647" spans="1:4" x14ac:dyDescent="0.4">
      <c r="A3647" s="1" t="s">
        <v>7032</v>
      </c>
      <c r="B3647" t="s">
        <v>7033</v>
      </c>
      <c r="C3647" t="s">
        <v>5</v>
      </c>
    </row>
    <row r="3648" spans="1:4" x14ac:dyDescent="0.4">
      <c r="A3648" s="1" t="s">
        <v>7034</v>
      </c>
      <c r="B3648" t="s">
        <v>7035</v>
      </c>
      <c r="C3648" t="s">
        <v>5</v>
      </c>
    </row>
    <row r="3649" spans="1:4" x14ac:dyDescent="0.4">
      <c r="A3649" s="1" t="s">
        <v>7036</v>
      </c>
      <c r="B3649" t="s">
        <v>7037</v>
      </c>
      <c r="C3649" t="s">
        <v>5</v>
      </c>
    </row>
    <row r="3650" spans="1:4" x14ac:dyDescent="0.4">
      <c r="A3650" s="1" t="s">
        <v>7038</v>
      </c>
      <c r="B3650" t="s">
        <v>7039</v>
      </c>
      <c r="C3650" t="s">
        <v>5</v>
      </c>
    </row>
    <row r="3651" spans="1:4" x14ac:dyDescent="0.4">
      <c r="A3651" s="1" t="s">
        <v>7040</v>
      </c>
      <c r="B3651" t="s">
        <v>7041</v>
      </c>
      <c r="C3651" t="s">
        <v>5</v>
      </c>
    </row>
    <row r="3652" spans="1:4" x14ac:dyDescent="0.4">
      <c r="A3652" s="1" t="s">
        <v>7042</v>
      </c>
      <c r="B3652" t="s">
        <v>7043</v>
      </c>
      <c r="C3652" t="s">
        <v>5</v>
      </c>
    </row>
    <row r="3653" spans="1:4" x14ac:dyDescent="0.4">
      <c r="A3653" s="1" t="s">
        <v>7044</v>
      </c>
      <c r="B3653" t="s">
        <v>7045</v>
      </c>
      <c r="C3653" t="s">
        <v>5</v>
      </c>
    </row>
    <row r="3654" spans="1:4" x14ac:dyDescent="0.4">
      <c r="A3654" s="1" t="s">
        <v>7046</v>
      </c>
      <c r="B3654" t="s">
        <v>7047</v>
      </c>
      <c r="C3654" t="s">
        <v>5</v>
      </c>
    </row>
    <row r="3655" spans="1:4" x14ac:dyDescent="0.4">
      <c r="A3655" s="1" t="s">
        <v>7048</v>
      </c>
      <c r="B3655" t="s">
        <v>7049</v>
      </c>
      <c r="C3655" t="s">
        <v>5</v>
      </c>
    </row>
    <row r="3656" spans="1:4" x14ac:dyDescent="0.4">
      <c r="A3656" s="1" t="s">
        <v>7050</v>
      </c>
      <c r="B3656" t="s">
        <v>7051</v>
      </c>
      <c r="C3656" t="s">
        <v>5</v>
      </c>
    </row>
    <row r="3657" spans="1:4" x14ac:dyDescent="0.4">
      <c r="A3657" s="1" t="s">
        <v>7052</v>
      </c>
      <c r="B3657" t="s">
        <v>7053</v>
      </c>
      <c r="C3657" t="s">
        <v>5</v>
      </c>
    </row>
    <row r="3658" spans="1:4" x14ac:dyDescent="0.4">
      <c r="A3658" s="1" t="s">
        <v>7054</v>
      </c>
      <c r="B3658" t="s">
        <v>7055</v>
      </c>
      <c r="C3658" t="s">
        <v>5</v>
      </c>
      <c r="D3658">
        <v>8700</v>
      </c>
    </row>
    <row r="3659" spans="1:4" x14ac:dyDescent="0.4">
      <c r="A3659" s="1" t="s">
        <v>7056</v>
      </c>
      <c r="B3659" t="s">
        <v>7057</v>
      </c>
      <c r="C3659" t="s">
        <v>5</v>
      </c>
      <c r="D3659">
        <v>8700</v>
      </c>
    </row>
    <row r="3660" spans="1:4" x14ac:dyDescent="0.4">
      <c r="A3660" s="1" t="s">
        <v>7058</v>
      </c>
      <c r="B3660" t="s">
        <v>7059</v>
      </c>
      <c r="C3660" t="s">
        <v>5</v>
      </c>
      <c r="D3660">
        <v>8700</v>
      </c>
    </row>
    <row r="3661" spans="1:4" x14ac:dyDescent="0.4">
      <c r="A3661" s="1" t="s">
        <v>7060</v>
      </c>
      <c r="B3661" t="s">
        <v>7061</v>
      </c>
      <c r="C3661" t="s">
        <v>5</v>
      </c>
      <c r="D3661">
        <v>8700</v>
      </c>
    </row>
    <row r="3662" spans="1:4" x14ac:dyDescent="0.4">
      <c r="A3662" s="1" t="s">
        <v>7062</v>
      </c>
      <c r="B3662" t="s">
        <v>7063</v>
      </c>
      <c r="C3662" t="s">
        <v>5</v>
      </c>
      <c r="D3662">
        <v>8700</v>
      </c>
    </row>
    <row r="3663" spans="1:4" x14ac:dyDescent="0.4">
      <c r="A3663" s="1" t="s">
        <v>7064</v>
      </c>
      <c r="B3663" t="s">
        <v>7065</v>
      </c>
      <c r="C3663" t="s">
        <v>5</v>
      </c>
      <c r="D3663">
        <v>8700</v>
      </c>
    </row>
    <row r="3664" spans="1:4" x14ac:dyDescent="0.4">
      <c r="A3664" s="1" t="s">
        <v>7066</v>
      </c>
      <c r="B3664" t="s">
        <v>7067</v>
      </c>
      <c r="C3664" t="s">
        <v>5</v>
      </c>
      <c r="D3664">
        <v>8700</v>
      </c>
    </row>
    <row r="3665" spans="1:4" x14ac:dyDescent="0.4">
      <c r="A3665" s="1" t="s">
        <v>7068</v>
      </c>
      <c r="B3665" t="s">
        <v>7069</v>
      </c>
      <c r="C3665" t="s">
        <v>5</v>
      </c>
      <c r="D3665">
        <v>8700</v>
      </c>
    </row>
    <row r="3666" spans="1:4" x14ac:dyDescent="0.4">
      <c r="A3666" s="1" t="s">
        <v>7070</v>
      </c>
      <c r="B3666" t="s">
        <v>7071</v>
      </c>
      <c r="C3666" t="s">
        <v>5</v>
      </c>
      <c r="D3666">
        <v>8700</v>
      </c>
    </row>
    <row r="3667" spans="1:4" x14ac:dyDescent="0.4">
      <c r="A3667" s="1" t="s">
        <v>7072</v>
      </c>
      <c r="B3667" t="s">
        <v>7073</v>
      </c>
      <c r="C3667" t="s">
        <v>5</v>
      </c>
      <c r="D3667">
        <v>8700</v>
      </c>
    </row>
    <row r="3668" spans="1:4" x14ac:dyDescent="0.4">
      <c r="A3668" s="1" t="s">
        <v>7074</v>
      </c>
      <c r="B3668" t="s">
        <v>7075</v>
      </c>
      <c r="C3668" t="s">
        <v>5</v>
      </c>
      <c r="D3668">
        <v>8700</v>
      </c>
    </row>
    <row r="3669" spans="1:4" x14ac:dyDescent="0.4">
      <c r="A3669" s="1" t="s">
        <v>7076</v>
      </c>
      <c r="B3669" t="s">
        <v>7077</v>
      </c>
      <c r="C3669" t="s">
        <v>5</v>
      </c>
      <c r="D3669">
        <v>7700</v>
      </c>
    </row>
    <row r="3670" spans="1:4" x14ac:dyDescent="0.4">
      <c r="A3670" s="1" t="s">
        <v>7078</v>
      </c>
      <c r="B3670" t="s">
        <v>7079</v>
      </c>
      <c r="C3670" t="s">
        <v>5</v>
      </c>
      <c r="D3670">
        <v>7700</v>
      </c>
    </row>
    <row r="3671" spans="1:4" x14ac:dyDescent="0.4">
      <c r="A3671" s="1" t="s">
        <v>7080</v>
      </c>
      <c r="B3671" t="s">
        <v>7081</v>
      </c>
      <c r="C3671" t="s">
        <v>5</v>
      </c>
      <c r="D3671">
        <v>7700</v>
      </c>
    </row>
    <row r="3672" spans="1:4" x14ac:dyDescent="0.4">
      <c r="A3672" s="1" t="s">
        <v>7082</v>
      </c>
      <c r="B3672" t="s">
        <v>7083</v>
      </c>
      <c r="C3672" t="s">
        <v>5</v>
      </c>
      <c r="D3672">
        <v>8700</v>
      </c>
    </row>
    <row r="3673" spans="1:4" x14ac:dyDescent="0.4">
      <c r="A3673" s="1" t="s">
        <v>7084</v>
      </c>
      <c r="B3673" t="s">
        <v>7085</v>
      </c>
      <c r="C3673" t="s">
        <v>5</v>
      </c>
      <c r="D3673">
        <v>7700</v>
      </c>
    </row>
    <row r="3674" spans="1:4" x14ac:dyDescent="0.4">
      <c r="A3674" s="1" t="s">
        <v>7086</v>
      </c>
      <c r="B3674" t="s">
        <v>7087</v>
      </c>
      <c r="C3674" t="s">
        <v>5</v>
      </c>
      <c r="D3674">
        <v>8700</v>
      </c>
    </row>
    <row r="3675" spans="1:4" x14ac:dyDescent="0.4">
      <c r="A3675" s="1" t="s">
        <v>7088</v>
      </c>
      <c r="B3675" t="s">
        <v>7089</v>
      </c>
      <c r="C3675" t="s">
        <v>5</v>
      </c>
      <c r="D3675">
        <v>8700</v>
      </c>
    </row>
    <row r="3676" spans="1:4" x14ac:dyDescent="0.4">
      <c r="A3676" s="1" t="s">
        <v>7090</v>
      </c>
      <c r="B3676" t="s">
        <v>7091</v>
      </c>
      <c r="C3676" t="s">
        <v>5</v>
      </c>
      <c r="D3676">
        <v>8700</v>
      </c>
    </row>
    <row r="3677" spans="1:4" x14ac:dyDescent="0.4">
      <c r="A3677" s="1" t="s">
        <v>7092</v>
      </c>
      <c r="B3677" t="s">
        <v>7093</v>
      </c>
      <c r="C3677" t="s">
        <v>5</v>
      </c>
      <c r="D3677">
        <v>8700</v>
      </c>
    </row>
    <row r="3678" spans="1:4" x14ac:dyDescent="0.4">
      <c r="A3678" s="1" t="s">
        <v>7094</v>
      </c>
      <c r="B3678" t="s">
        <v>7095</v>
      </c>
      <c r="C3678" t="s">
        <v>5</v>
      </c>
      <c r="D3678">
        <v>7700</v>
      </c>
    </row>
    <row r="3679" spans="1:4" x14ac:dyDescent="0.4">
      <c r="A3679" s="1" t="s">
        <v>7096</v>
      </c>
      <c r="B3679" t="s">
        <v>7097</v>
      </c>
      <c r="C3679" t="s">
        <v>5</v>
      </c>
      <c r="D3679">
        <v>8700</v>
      </c>
    </row>
    <row r="3680" spans="1:4" x14ac:dyDescent="0.4">
      <c r="A3680" s="1" t="s">
        <v>7098</v>
      </c>
      <c r="B3680" t="s">
        <v>7099</v>
      </c>
      <c r="C3680" t="s">
        <v>5</v>
      </c>
      <c r="D3680">
        <v>8700</v>
      </c>
    </row>
    <row r="3681" spans="1:4" x14ac:dyDescent="0.4">
      <c r="A3681" s="1" t="s">
        <v>7100</v>
      </c>
      <c r="B3681" t="s">
        <v>7101</v>
      </c>
      <c r="C3681" t="s">
        <v>5</v>
      </c>
      <c r="D3681">
        <v>8700</v>
      </c>
    </row>
    <row r="3682" spans="1:4" x14ac:dyDescent="0.4">
      <c r="A3682" s="1" t="s">
        <v>7102</v>
      </c>
      <c r="B3682" t="s">
        <v>7103</v>
      </c>
      <c r="C3682" t="s">
        <v>5</v>
      </c>
      <c r="D3682">
        <v>8700</v>
      </c>
    </row>
    <row r="3683" spans="1:4" x14ac:dyDescent="0.4">
      <c r="A3683" s="1" t="s">
        <v>7104</v>
      </c>
      <c r="B3683" t="s">
        <v>7105</v>
      </c>
      <c r="C3683" t="s">
        <v>5</v>
      </c>
      <c r="D3683">
        <v>8700</v>
      </c>
    </row>
    <row r="3684" spans="1:4" x14ac:dyDescent="0.4">
      <c r="A3684" s="1" t="s">
        <v>7106</v>
      </c>
      <c r="B3684" t="s">
        <v>7107</v>
      </c>
      <c r="C3684" t="s">
        <v>5</v>
      </c>
      <c r="D3684">
        <v>8700</v>
      </c>
    </row>
    <row r="3685" spans="1:4" x14ac:dyDescent="0.4">
      <c r="A3685" s="1" t="s">
        <v>7108</v>
      </c>
      <c r="B3685" t="s">
        <v>7109</v>
      </c>
      <c r="C3685" t="s">
        <v>5</v>
      </c>
      <c r="D3685">
        <v>7700</v>
      </c>
    </row>
    <row r="3686" spans="1:4" x14ac:dyDescent="0.4">
      <c r="A3686" s="1" t="s">
        <v>7110</v>
      </c>
      <c r="B3686" t="s">
        <v>7111</v>
      </c>
      <c r="C3686" t="s">
        <v>5</v>
      </c>
      <c r="D3686">
        <v>7700</v>
      </c>
    </row>
    <row r="3687" spans="1:4" x14ac:dyDescent="0.4">
      <c r="A3687" s="1" t="s">
        <v>7112</v>
      </c>
      <c r="B3687" t="s">
        <v>7113</v>
      </c>
      <c r="C3687" t="s">
        <v>5</v>
      </c>
      <c r="D3687">
        <v>7700</v>
      </c>
    </row>
    <row r="3688" spans="1:4" x14ac:dyDescent="0.4">
      <c r="A3688" s="1" t="s">
        <v>7114</v>
      </c>
      <c r="B3688" t="s">
        <v>7115</v>
      </c>
      <c r="C3688" t="s">
        <v>5</v>
      </c>
      <c r="D3688">
        <v>8700</v>
      </c>
    </row>
    <row r="3689" spans="1:4" x14ac:dyDescent="0.4">
      <c r="A3689" s="1" t="s">
        <v>7116</v>
      </c>
      <c r="B3689" t="s">
        <v>7117</v>
      </c>
      <c r="C3689" t="s">
        <v>5</v>
      </c>
      <c r="D3689">
        <v>7700</v>
      </c>
    </row>
    <row r="3690" spans="1:4" x14ac:dyDescent="0.4">
      <c r="A3690" s="1" t="s">
        <v>7118</v>
      </c>
      <c r="B3690" t="s">
        <v>7119</v>
      </c>
      <c r="C3690" t="s">
        <v>5</v>
      </c>
      <c r="D3690">
        <v>10700</v>
      </c>
    </row>
    <row r="3691" spans="1:4" x14ac:dyDescent="0.4">
      <c r="A3691" s="1" t="s">
        <v>7120</v>
      </c>
      <c r="B3691" t="s">
        <v>7121</v>
      </c>
      <c r="C3691" t="s">
        <v>5</v>
      </c>
      <c r="D3691">
        <v>10700</v>
      </c>
    </row>
    <row r="3692" spans="1:4" x14ac:dyDescent="0.4">
      <c r="A3692" s="1" t="s">
        <v>7122</v>
      </c>
      <c r="B3692" t="s">
        <v>7123</v>
      </c>
      <c r="C3692" t="s">
        <v>5</v>
      </c>
      <c r="D3692">
        <v>10700</v>
      </c>
    </row>
    <row r="3693" spans="1:4" x14ac:dyDescent="0.4">
      <c r="A3693" s="1" t="s">
        <v>7124</v>
      </c>
      <c r="B3693" t="s">
        <v>7125</v>
      </c>
      <c r="C3693" t="s">
        <v>5</v>
      </c>
      <c r="D3693">
        <v>10700</v>
      </c>
    </row>
    <row r="3694" spans="1:4" x14ac:dyDescent="0.4">
      <c r="A3694" s="1" t="s">
        <v>7126</v>
      </c>
      <c r="B3694" t="s">
        <v>7127</v>
      </c>
      <c r="C3694" t="s">
        <v>5</v>
      </c>
      <c r="D3694">
        <v>10700</v>
      </c>
    </row>
    <row r="3695" spans="1:4" x14ac:dyDescent="0.4">
      <c r="A3695" s="1" t="s">
        <v>7128</v>
      </c>
      <c r="B3695" t="s">
        <v>7129</v>
      </c>
      <c r="C3695" t="s">
        <v>5</v>
      </c>
      <c r="D3695">
        <v>10700</v>
      </c>
    </row>
    <row r="3696" spans="1:4" x14ac:dyDescent="0.4">
      <c r="A3696" s="1" t="s">
        <v>7130</v>
      </c>
      <c r="B3696" t="s">
        <v>7131</v>
      </c>
      <c r="C3696" t="s">
        <v>5</v>
      </c>
      <c r="D3696">
        <v>10700</v>
      </c>
    </row>
    <row r="3697" spans="1:4" x14ac:dyDescent="0.4">
      <c r="A3697" s="1" t="s">
        <v>7132</v>
      </c>
      <c r="B3697" t="s">
        <v>7133</v>
      </c>
      <c r="C3697" t="s">
        <v>5</v>
      </c>
      <c r="D3697">
        <v>10700</v>
      </c>
    </row>
    <row r="3698" spans="1:4" x14ac:dyDescent="0.4">
      <c r="A3698" s="1" t="s">
        <v>7134</v>
      </c>
      <c r="B3698" t="s">
        <v>7135</v>
      </c>
      <c r="C3698" t="s">
        <v>5</v>
      </c>
      <c r="D3698">
        <v>10700</v>
      </c>
    </row>
    <row r="3699" spans="1:4" x14ac:dyDescent="0.4">
      <c r="A3699" s="1" t="s">
        <v>7136</v>
      </c>
      <c r="B3699" t="s">
        <v>7137</v>
      </c>
      <c r="C3699" t="s">
        <v>5</v>
      </c>
      <c r="D3699">
        <v>10700</v>
      </c>
    </row>
    <row r="3700" spans="1:4" x14ac:dyDescent="0.4">
      <c r="A3700" s="1" t="s">
        <v>7138</v>
      </c>
      <c r="B3700" t="s">
        <v>7139</v>
      </c>
      <c r="C3700" t="s">
        <v>5</v>
      </c>
      <c r="D3700">
        <v>10700</v>
      </c>
    </row>
    <row r="3701" spans="1:4" x14ac:dyDescent="0.4">
      <c r="A3701" s="1" t="s">
        <v>7140</v>
      </c>
      <c r="B3701" t="s">
        <v>7141</v>
      </c>
      <c r="C3701" t="s">
        <v>5</v>
      </c>
      <c r="D3701">
        <v>10700</v>
      </c>
    </row>
    <row r="3702" spans="1:4" x14ac:dyDescent="0.4">
      <c r="A3702" s="1" t="s">
        <v>7142</v>
      </c>
      <c r="B3702" t="s">
        <v>7143</v>
      </c>
      <c r="C3702" t="s">
        <v>5</v>
      </c>
      <c r="D3702">
        <v>9900</v>
      </c>
    </row>
    <row r="3703" spans="1:4" x14ac:dyDescent="0.4">
      <c r="A3703" s="1" t="s">
        <v>7144</v>
      </c>
      <c r="B3703" t="s">
        <v>7145</v>
      </c>
      <c r="C3703" t="s">
        <v>5</v>
      </c>
      <c r="D3703">
        <v>9900</v>
      </c>
    </row>
    <row r="3704" spans="1:4" x14ac:dyDescent="0.4">
      <c r="A3704" s="1" t="s">
        <v>7146</v>
      </c>
      <c r="B3704" t="s">
        <v>7147</v>
      </c>
      <c r="C3704" t="s">
        <v>5</v>
      </c>
      <c r="D3704">
        <v>9900</v>
      </c>
    </row>
    <row r="3705" spans="1:4" x14ac:dyDescent="0.4">
      <c r="A3705" s="1" t="s">
        <v>7148</v>
      </c>
      <c r="B3705" t="s">
        <v>7149</v>
      </c>
      <c r="C3705" t="s">
        <v>5</v>
      </c>
      <c r="D3705">
        <v>9900</v>
      </c>
    </row>
    <row r="3706" spans="1:4" x14ac:dyDescent="0.4">
      <c r="A3706" s="1" t="s">
        <v>7150</v>
      </c>
      <c r="B3706" t="s">
        <v>7151</v>
      </c>
      <c r="C3706" t="s">
        <v>5</v>
      </c>
      <c r="D3706">
        <v>9900</v>
      </c>
    </row>
    <row r="3707" spans="1:4" x14ac:dyDescent="0.4">
      <c r="A3707" s="1" t="s">
        <v>7152</v>
      </c>
      <c r="B3707" t="s">
        <v>7153</v>
      </c>
      <c r="C3707" t="s">
        <v>5</v>
      </c>
      <c r="D3707">
        <v>9900</v>
      </c>
    </row>
    <row r="3708" spans="1:4" x14ac:dyDescent="0.4">
      <c r="A3708" s="1" t="s">
        <v>7154</v>
      </c>
      <c r="B3708" t="s">
        <v>7155</v>
      </c>
      <c r="C3708" t="s">
        <v>5</v>
      </c>
      <c r="D3708">
        <v>9900</v>
      </c>
    </row>
    <row r="3709" spans="1:4" x14ac:dyDescent="0.4">
      <c r="A3709" s="1" t="s">
        <v>7156</v>
      </c>
      <c r="B3709" t="s">
        <v>7157</v>
      </c>
      <c r="C3709" t="s">
        <v>5</v>
      </c>
      <c r="D3709">
        <v>18300</v>
      </c>
    </row>
    <row r="3710" spans="1:4" x14ac:dyDescent="0.4">
      <c r="A3710" s="1" t="s">
        <v>7158</v>
      </c>
      <c r="B3710" t="s">
        <v>7159</v>
      </c>
      <c r="C3710" t="s">
        <v>5</v>
      </c>
      <c r="D3710">
        <v>18300</v>
      </c>
    </row>
    <row r="3711" spans="1:4" x14ac:dyDescent="0.4">
      <c r="A3711" s="1" t="s">
        <v>7160</v>
      </c>
      <c r="B3711" t="s">
        <v>7161</v>
      </c>
      <c r="C3711" t="s">
        <v>5</v>
      </c>
      <c r="D3711">
        <v>18300</v>
      </c>
    </row>
    <row r="3712" spans="1:4" x14ac:dyDescent="0.4">
      <c r="A3712" s="1" t="s">
        <v>7162</v>
      </c>
      <c r="B3712" t="s">
        <v>7163</v>
      </c>
      <c r="C3712" t="s">
        <v>5</v>
      </c>
      <c r="D3712">
        <v>18300</v>
      </c>
    </row>
    <row r="3713" spans="1:4" x14ac:dyDescent="0.4">
      <c r="A3713" s="1" t="s">
        <v>7164</v>
      </c>
      <c r="B3713" t="s">
        <v>7165</v>
      </c>
      <c r="C3713" t="s">
        <v>5</v>
      </c>
      <c r="D3713">
        <v>18300</v>
      </c>
    </row>
    <row r="3714" spans="1:4" x14ac:dyDescent="0.4">
      <c r="A3714" s="1" t="s">
        <v>7166</v>
      </c>
      <c r="B3714" t="s">
        <v>7167</v>
      </c>
      <c r="C3714" t="s">
        <v>5</v>
      </c>
      <c r="D3714">
        <v>18300</v>
      </c>
    </row>
    <row r="3715" spans="1:4" x14ac:dyDescent="0.4">
      <c r="A3715" s="1" t="s">
        <v>7168</v>
      </c>
      <c r="B3715" t="s">
        <v>7169</v>
      </c>
      <c r="C3715" t="s">
        <v>5</v>
      </c>
      <c r="D3715">
        <v>18300</v>
      </c>
    </row>
    <row r="3716" spans="1:4" x14ac:dyDescent="0.4">
      <c r="A3716" s="1" t="s">
        <v>7170</v>
      </c>
      <c r="B3716" t="s">
        <v>7171</v>
      </c>
      <c r="C3716" t="s">
        <v>5</v>
      </c>
      <c r="D3716">
        <v>18300</v>
      </c>
    </row>
    <row r="3717" spans="1:4" x14ac:dyDescent="0.4">
      <c r="A3717" s="1" t="s">
        <v>7172</v>
      </c>
      <c r="B3717" t="s">
        <v>7173</v>
      </c>
      <c r="C3717" t="s">
        <v>5</v>
      </c>
      <c r="D3717">
        <v>18300</v>
      </c>
    </row>
    <row r="3718" spans="1:4" x14ac:dyDescent="0.4">
      <c r="A3718" s="1" t="s">
        <v>7174</v>
      </c>
      <c r="B3718" t="s">
        <v>7175</v>
      </c>
      <c r="C3718" t="s">
        <v>5</v>
      </c>
      <c r="D3718">
        <v>18300</v>
      </c>
    </row>
    <row r="3719" spans="1:4" x14ac:dyDescent="0.4">
      <c r="A3719" s="1" t="s">
        <v>7176</v>
      </c>
      <c r="B3719" t="s">
        <v>7177</v>
      </c>
      <c r="C3719" t="s">
        <v>5</v>
      </c>
      <c r="D3719">
        <v>18300</v>
      </c>
    </row>
    <row r="3720" spans="1:4" x14ac:dyDescent="0.4">
      <c r="A3720" s="1" t="s">
        <v>7178</v>
      </c>
      <c r="B3720" t="s">
        <v>7179</v>
      </c>
      <c r="C3720" t="s">
        <v>5</v>
      </c>
      <c r="D3720">
        <v>18300</v>
      </c>
    </row>
    <row r="3721" spans="1:4" x14ac:dyDescent="0.4">
      <c r="A3721" s="1" t="s">
        <v>7180</v>
      </c>
      <c r="B3721" t="s">
        <v>7181</v>
      </c>
      <c r="C3721" t="s">
        <v>5</v>
      </c>
      <c r="D3721">
        <v>36500</v>
      </c>
    </row>
    <row r="3722" spans="1:4" x14ac:dyDescent="0.4">
      <c r="A3722" s="1" t="s">
        <v>7182</v>
      </c>
      <c r="B3722" t="s">
        <v>7183</v>
      </c>
      <c r="C3722" t="s">
        <v>5</v>
      </c>
      <c r="D3722">
        <v>36500</v>
      </c>
    </row>
    <row r="3723" spans="1:4" x14ac:dyDescent="0.4">
      <c r="A3723" s="1" t="s">
        <v>7184</v>
      </c>
      <c r="B3723" t="s">
        <v>7185</v>
      </c>
      <c r="C3723" t="s">
        <v>5</v>
      </c>
      <c r="D3723">
        <v>36500</v>
      </c>
    </row>
    <row r="3724" spans="1:4" x14ac:dyDescent="0.4">
      <c r="A3724" s="1" t="s">
        <v>7186</v>
      </c>
      <c r="B3724" t="s">
        <v>7187</v>
      </c>
      <c r="C3724" t="s">
        <v>5</v>
      </c>
      <c r="D3724">
        <v>36500</v>
      </c>
    </row>
    <row r="3725" spans="1:4" x14ac:dyDescent="0.4">
      <c r="A3725" s="1" t="s">
        <v>7188</v>
      </c>
      <c r="B3725" t="s">
        <v>7189</v>
      </c>
      <c r="C3725" t="s">
        <v>5</v>
      </c>
      <c r="D3725">
        <v>36500</v>
      </c>
    </row>
    <row r="3726" spans="1:4" x14ac:dyDescent="0.4">
      <c r="A3726" s="1" t="s">
        <v>7190</v>
      </c>
      <c r="B3726" t="s">
        <v>7191</v>
      </c>
      <c r="C3726" t="s">
        <v>5</v>
      </c>
      <c r="D3726">
        <v>36500</v>
      </c>
    </row>
    <row r="3727" spans="1:4" x14ac:dyDescent="0.4">
      <c r="A3727" s="1" t="s">
        <v>7192</v>
      </c>
      <c r="B3727" t="s">
        <v>7193</v>
      </c>
      <c r="C3727" t="s">
        <v>5</v>
      </c>
      <c r="D3727">
        <v>36500</v>
      </c>
    </row>
    <row r="3728" spans="1:4" x14ac:dyDescent="0.4">
      <c r="A3728" s="1" t="s">
        <v>7194</v>
      </c>
      <c r="B3728" t="s">
        <v>7195</v>
      </c>
      <c r="C3728" t="s">
        <v>5</v>
      </c>
      <c r="D3728">
        <v>36500</v>
      </c>
    </row>
    <row r="3729" spans="1:4" x14ac:dyDescent="0.4">
      <c r="A3729" s="1" t="s">
        <v>7196</v>
      </c>
      <c r="B3729" t="s">
        <v>7197</v>
      </c>
      <c r="C3729" t="s">
        <v>5</v>
      </c>
      <c r="D3729">
        <v>36500</v>
      </c>
    </row>
    <row r="3730" spans="1:4" x14ac:dyDescent="0.4">
      <c r="A3730" s="1" t="s">
        <v>7198</v>
      </c>
      <c r="B3730" t="s">
        <v>7199</v>
      </c>
      <c r="C3730" t="s">
        <v>5</v>
      </c>
      <c r="D3730">
        <v>36500</v>
      </c>
    </row>
    <row r="3731" spans="1:4" x14ac:dyDescent="0.4">
      <c r="A3731" s="1" t="s">
        <v>7200</v>
      </c>
      <c r="B3731" t="s">
        <v>7201</v>
      </c>
      <c r="C3731" t="s">
        <v>5</v>
      </c>
      <c r="D3731">
        <v>36500</v>
      </c>
    </row>
    <row r="3732" spans="1:4" x14ac:dyDescent="0.4">
      <c r="A3732" s="1" t="s">
        <v>7202</v>
      </c>
      <c r="B3732" t="s">
        <v>7203</v>
      </c>
      <c r="C3732" t="s">
        <v>5</v>
      </c>
      <c r="D3732">
        <v>36500</v>
      </c>
    </row>
    <row r="3733" spans="1:4" x14ac:dyDescent="0.4">
      <c r="A3733" s="1" t="s">
        <v>7204</v>
      </c>
      <c r="B3733" t="s">
        <v>7205</v>
      </c>
      <c r="C3733" t="s">
        <v>5</v>
      </c>
      <c r="D3733">
        <v>17300</v>
      </c>
    </row>
    <row r="3734" spans="1:4" x14ac:dyDescent="0.4">
      <c r="A3734" s="1" t="s">
        <v>7206</v>
      </c>
      <c r="B3734" t="s">
        <v>7207</v>
      </c>
      <c r="C3734" t="s">
        <v>5</v>
      </c>
      <c r="D3734">
        <v>17300</v>
      </c>
    </row>
    <row r="3735" spans="1:4" x14ac:dyDescent="0.4">
      <c r="A3735" s="1" t="s">
        <v>7208</v>
      </c>
      <c r="B3735" t="s">
        <v>7209</v>
      </c>
      <c r="C3735" t="s">
        <v>5</v>
      </c>
      <c r="D3735">
        <v>17300</v>
      </c>
    </row>
    <row r="3736" spans="1:4" x14ac:dyDescent="0.4">
      <c r="A3736" s="1" t="s">
        <v>7210</v>
      </c>
      <c r="B3736" t="s">
        <v>7211</v>
      </c>
      <c r="C3736" t="s">
        <v>5</v>
      </c>
      <c r="D3736">
        <v>17300</v>
      </c>
    </row>
    <row r="3737" spans="1:4" x14ac:dyDescent="0.4">
      <c r="A3737" s="1" t="s">
        <v>7212</v>
      </c>
      <c r="B3737" t="s">
        <v>7213</v>
      </c>
      <c r="C3737" t="s">
        <v>5</v>
      </c>
      <c r="D3737">
        <v>17300</v>
      </c>
    </row>
    <row r="3738" spans="1:4" x14ac:dyDescent="0.4">
      <c r="A3738" s="1" t="s">
        <v>7214</v>
      </c>
      <c r="B3738" t="s">
        <v>7215</v>
      </c>
      <c r="C3738" t="s">
        <v>5</v>
      </c>
      <c r="D3738">
        <v>17300</v>
      </c>
    </row>
    <row r="3739" spans="1:4" x14ac:dyDescent="0.4">
      <c r="A3739" s="1" t="s">
        <v>7216</v>
      </c>
      <c r="B3739" t="s">
        <v>7217</v>
      </c>
      <c r="C3739" t="s">
        <v>5</v>
      </c>
      <c r="D3739">
        <v>17300</v>
      </c>
    </row>
    <row r="3740" spans="1:4" x14ac:dyDescent="0.4">
      <c r="A3740" s="1" t="s">
        <v>7218</v>
      </c>
      <c r="B3740" t="s">
        <v>7219</v>
      </c>
      <c r="C3740" t="s">
        <v>5</v>
      </c>
      <c r="D3740">
        <v>17300</v>
      </c>
    </row>
    <row r="3741" spans="1:4" x14ac:dyDescent="0.4">
      <c r="A3741" s="1" t="s">
        <v>7220</v>
      </c>
      <c r="B3741" t="s">
        <v>7221</v>
      </c>
      <c r="C3741" t="s">
        <v>5</v>
      </c>
      <c r="D3741">
        <v>17300</v>
      </c>
    </row>
    <row r="3742" spans="1:4" x14ac:dyDescent="0.4">
      <c r="A3742" s="1" t="s">
        <v>7222</v>
      </c>
      <c r="B3742" t="s">
        <v>7223</v>
      </c>
      <c r="C3742" t="s">
        <v>5</v>
      </c>
      <c r="D3742">
        <v>17300</v>
      </c>
    </row>
    <row r="3743" spans="1:4" x14ac:dyDescent="0.4">
      <c r="A3743" s="1" t="s">
        <v>7224</v>
      </c>
      <c r="B3743" t="s">
        <v>7225</v>
      </c>
      <c r="C3743" t="s">
        <v>5</v>
      </c>
      <c r="D3743">
        <v>17300</v>
      </c>
    </row>
    <row r="3744" spans="1:4" x14ac:dyDescent="0.4">
      <c r="A3744" s="1" t="s">
        <v>7226</v>
      </c>
      <c r="B3744" t="s">
        <v>7227</v>
      </c>
      <c r="C3744" t="s">
        <v>5</v>
      </c>
      <c r="D3744">
        <v>17300</v>
      </c>
    </row>
    <row r="3745" spans="1:4" x14ac:dyDescent="0.4">
      <c r="A3745" s="1" t="s">
        <v>7228</v>
      </c>
      <c r="B3745" t="s">
        <v>7229</v>
      </c>
      <c r="C3745" t="s">
        <v>5</v>
      </c>
      <c r="D3745">
        <v>17300</v>
      </c>
    </row>
    <row r="3746" spans="1:4" x14ac:dyDescent="0.4">
      <c r="A3746" s="1" t="s">
        <v>7230</v>
      </c>
      <c r="B3746" t="s">
        <v>7231</v>
      </c>
      <c r="C3746" t="s">
        <v>5</v>
      </c>
      <c r="D3746">
        <v>17300</v>
      </c>
    </row>
    <row r="3747" spans="1:4" x14ac:dyDescent="0.4">
      <c r="A3747" s="1" t="s">
        <v>7232</v>
      </c>
      <c r="B3747" t="s">
        <v>7233</v>
      </c>
      <c r="C3747" t="s">
        <v>5</v>
      </c>
      <c r="D3747">
        <v>17300</v>
      </c>
    </row>
    <row r="3748" spans="1:4" x14ac:dyDescent="0.4">
      <c r="A3748" s="1" t="s">
        <v>7234</v>
      </c>
      <c r="B3748" t="s">
        <v>7235</v>
      </c>
      <c r="C3748" t="s">
        <v>5</v>
      </c>
      <c r="D3748">
        <v>19100</v>
      </c>
    </row>
    <row r="3749" spans="1:4" x14ac:dyDescent="0.4">
      <c r="A3749" s="1" t="s">
        <v>7236</v>
      </c>
      <c r="B3749" t="s">
        <v>7237</v>
      </c>
      <c r="C3749" t="s">
        <v>5</v>
      </c>
      <c r="D3749">
        <v>17300</v>
      </c>
    </row>
    <row r="3750" spans="1:4" x14ac:dyDescent="0.4">
      <c r="A3750" s="1" t="s">
        <v>7238</v>
      </c>
      <c r="B3750" t="s">
        <v>7239</v>
      </c>
      <c r="C3750" t="s">
        <v>5</v>
      </c>
      <c r="D3750">
        <v>18150</v>
      </c>
    </row>
    <row r="3751" spans="1:4" x14ac:dyDescent="0.4">
      <c r="A3751" s="1" t="s">
        <v>7240</v>
      </c>
      <c r="B3751" t="s">
        <v>7241</v>
      </c>
      <c r="C3751" t="s">
        <v>5</v>
      </c>
      <c r="D3751">
        <v>18150</v>
      </c>
    </row>
    <row r="3752" spans="1:4" x14ac:dyDescent="0.4">
      <c r="A3752" s="1" t="s">
        <v>7242</v>
      </c>
      <c r="B3752" t="s">
        <v>7243</v>
      </c>
      <c r="C3752" t="s">
        <v>5</v>
      </c>
      <c r="D3752">
        <v>18150</v>
      </c>
    </row>
    <row r="3753" spans="1:4" x14ac:dyDescent="0.4">
      <c r="A3753" s="1" t="s">
        <v>7244</v>
      </c>
      <c r="B3753" t="s">
        <v>7245</v>
      </c>
      <c r="C3753" t="s">
        <v>5</v>
      </c>
      <c r="D3753">
        <v>18150</v>
      </c>
    </row>
    <row r="3754" spans="1:4" x14ac:dyDescent="0.4">
      <c r="A3754" s="1" t="s">
        <v>7246</v>
      </c>
      <c r="B3754" t="s">
        <v>7247</v>
      </c>
      <c r="C3754" t="s">
        <v>5</v>
      </c>
      <c r="D3754">
        <v>18150</v>
      </c>
    </row>
    <row r="3755" spans="1:4" x14ac:dyDescent="0.4">
      <c r="A3755" s="1" t="s">
        <v>7248</v>
      </c>
      <c r="B3755" t="s">
        <v>7249</v>
      </c>
      <c r="C3755" t="s">
        <v>5</v>
      </c>
      <c r="D3755">
        <v>18150</v>
      </c>
    </row>
    <row r="3756" spans="1:4" x14ac:dyDescent="0.4">
      <c r="A3756" s="1" t="s">
        <v>7250</v>
      </c>
      <c r="B3756" t="s">
        <v>7251</v>
      </c>
      <c r="C3756" t="s">
        <v>5</v>
      </c>
      <c r="D3756">
        <v>18150</v>
      </c>
    </row>
    <row r="3757" spans="1:4" x14ac:dyDescent="0.4">
      <c r="A3757" s="1" t="s">
        <v>7252</v>
      </c>
      <c r="B3757" t="s">
        <v>7253</v>
      </c>
      <c r="C3757" t="s">
        <v>5</v>
      </c>
      <c r="D3757">
        <v>18150</v>
      </c>
    </row>
    <row r="3758" spans="1:4" x14ac:dyDescent="0.4">
      <c r="A3758" s="1" t="s">
        <v>7254</v>
      </c>
      <c r="B3758" t="s">
        <v>7255</v>
      </c>
      <c r="C3758" t="s">
        <v>5</v>
      </c>
      <c r="D3758">
        <v>18150</v>
      </c>
    </row>
    <row r="3759" spans="1:4" x14ac:dyDescent="0.4">
      <c r="A3759" s="1" t="s">
        <v>7256</v>
      </c>
      <c r="B3759" t="s">
        <v>7257</v>
      </c>
      <c r="C3759" t="s">
        <v>5</v>
      </c>
      <c r="D3759">
        <v>18150</v>
      </c>
    </row>
    <row r="3760" spans="1:4" x14ac:dyDescent="0.4">
      <c r="A3760" s="1" t="s">
        <v>7258</v>
      </c>
      <c r="B3760" t="s">
        <v>7259</v>
      </c>
      <c r="C3760" t="s">
        <v>5</v>
      </c>
      <c r="D3760">
        <v>18150</v>
      </c>
    </row>
    <row r="3761" spans="1:4" x14ac:dyDescent="0.4">
      <c r="A3761" s="1" t="s">
        <v>7260</v>
      </c>
      <c r="B3761" t="s">
        <v>7261</v>
      </c>
      <c r="C3761" t="s">
        <v>5</v>
      </c>
      <c r="D3761">
        <v>17700</v>
      </c>
    </row>
    <row r="3762" spans="1:4" x14ac:dyDescent="0.4">
      <c r="A3762" s="1" t="s">
        <v>7262</v>
      </c>
      <c r="B3762" t="s">
        <v>7263</v>
      </c>
      <c r="C3762" t="s">
        <v>5</v>
      </c>
      <c r="D3762">
        <v>17700</v>
      </c>
    </row>
    <row r="3763" spans="1:4" x14ac:dyDescent="0.4">
      <c r="A3763" s="1" t="s">
        <v>7264</v>
      </c>
      <c r="B3763" t="s">
        <v>7265</v>
      </c>
      <c r="C3763" t="s">
        <v>5</v>
      </c>
      <c r="D3763">
        <v>17700</v>
      </c>
    </row>
    <row r="3764" spans="1:4" x14ac:dyDescent="0.4">
      <c r="A3764" s="1" t="s">
        <v>7266</v>
      </c>
      <c r="B3764" t="s">
        <v>7267</v>
      </c>
      <c r="C3764" t="s">
        <v>5</v>
      </c>
      <c r="D3764">
        <v>18300</v>
      </c>
    </row>
    <row r="3765" spans="1:4" x14ac:dyDescent="0.4">
      <c r="A3765" s="1" t="s">
        <v>7268</v>
      </c>
      <c r="B3765" t="s">
        <v>7269</v>
      </c>
      <c r="C3765" t="s">
        <v>5</v>
      </c>
      <c r="D3765">
        <v>17700</v>
      </c>
    </row>
    <row r="3766" spans="1:4" x14ac:dyDescent="0.4">
      <c r="A3766" s="1" t="s">
        <v>7270</v>
      </c>
      <c r="B3766" t="s">
        <v>7271</v>
      </c>
      <c r="C3766" t="s">
        <v>5</v>
      </c>
      <c r="D3766">
        <v>18300</v>
      </c>
    </row>
    <row r="3767" spans="1:4" x14ac:dyDescent="0.4">
      <c r="A3767" s="1" t="s">
        <v>7272</v>
      </c>
      <c r="B3767" t="s">
        <v>7273</v>
      </c>
      <c r="C3767" t="s">
        <v>5</v>
      </c>
      <c r="D3767">
        <v>18300</v>
      </c>
    </row>
    <row r="3768" spans="1:4" x14ac:dyDescent="0.4">
      <c r="A3768" s="1" t="s">
        <v>7274</v>
      </c>
      <c r="B3768" t="s">
        <v>7275</v>
      </c>
      <c r="C3768" t="s">
        <v>5</v>
      </c>
      <c r="D3768">
        <v>18300</v>
      </c>
    </row>
    <row r="3769" spans="1:4" x14ac:dyDescent="0.4">
      <c r="A3769" s="1" t="s">
        <v>7276</v>
      </c>
      <c r="B3769" t="s">
        <v>7277</v>
      </c>
      <c r="C3769" t="s">
        <v>5</v>
      </c>
      <c r="D3769">
        <v>18300</v>
      </c>
    </row>
    <row r="3770" spans="1:4" x14ac:dyDescent="0.4">
      <c r="A3770" s="1" t="s">
        <v>7278</v>
      </c>
      <c r="B3770" t="s">
        <v>7279</v>
      </c>
      <c r="C3770" t="s">
        <v>5</v>
      </c>
      <c r="D3770">
        <v>18300</v>
      </c>
    </row>
    <row r="3771" spans="1:4" x14ac:dyDescent="0.4">
      <c r="A3771" s="1" t="s">
        <v>7280</v>
      </c>
      <c r="B3771" t="s">
        <v>7281</v>
      </c>
      <c r="C3771" t="s">
        <v>5</v>
      </c>
      <c r="D3771">
        <v>18300</v>
      </c>
    </row>
    <row r="3772" spans="1:4" x14ac:dyDescent="0.4">
      <c r="A3772" s="1" t="s">
        <v>7282</v>
      </c>
      <c r="B3772" t="s">
        <v>7283</v>
      </c>
      <c r="C3772" t="s">
        <v>5</v>
      </c>
      <c r="D3772">
        <v>18300</v>
      </c>
    </row>
    <row r="3773" spans="1:4" x14ac:dyDescent="0.4">
      <c r="A3773" s="1" t="s">
        <v>7284</v>
      </c>
      <c r="B3773" t="s">
        <v>7285</v>
      </c>
      <c r="C3773" t="s">
        <v>5</v>
      </c>
      <c r="D3773">
        <v>18300</v>
      </c>
    </row>
    <row r="3774" spans="1:4" x14ac:dyDescent="0.4">
      <c r="A3774" s="1" t="s">
        <v>7286</v>
      </c>
      <c r="B3774" t="s">
        <v>7287</v>
      </c>
      <c r="C3774" t="s">
        <v>5</v>
      </c>
      <c r="D3774">
        <v>18300</v>
      </c>
    </row>
    <row r="3775" spans="1:4" x14ac:dyDescent="0.4">
      <c r="A3775" s="1" t="s">
        <v>7288</v>
      </c>
      <c r="B3775" t="s">
        <v>7289</v>
      </c>
      <c r="C3775" t="s">
        <v>5</v>
      </c>
      <c r="D3775">
        <v>18300</v>
      </c>
    </row>
    <row r="3776" spans="1:4" x14ac:dyDescent="0.4">
      <c r="A3776" s="1" t="s">
        <v>7290</v>
      </c>
      <c r="B3776" t="s">
        <v>7291</v>
      </c>
      <c r="C3776" t="s">
        <v>5</v>
      </c>
      <c r="D3776">
        <v>18300</v>
      </c>
    </row>
    <row r="3777" spans="1:4" x14ac:dyDescent="0.4">
      <c r="A3777" s="1" t="s">
        <v>7292</v>
      </c>
      <c r="B3777" t="s">
        <v>7293</v>
      </c>
      <c r="C3777" t="s">
        <v>5</v>
      </c>
      <c r="D3777">
        <v>18300</v>
      </c>
    </row>
    <row r="3778" spans="1:4" x14ac:dyDescent="0.4">
      <c r="A3778" s="1" t="s">
        <v>7294</v>
      </c>
      <c r="B3778" t="s">
        <v>7295</v>
      </c>
      <c r="C3778" t="s">
        <v>5</v>
      </c>
      <c r="D3778">
        <v>19300</v>
      </c>
    </row>
    <row r="3779" spans="1:4" x14ac:dyDescent="0.4">
      <c r="A3779" s="1" t="s">
        <v>7296</v>
      </c>
      <c r="B3779" t="s">
        <v>7297</v>
      </c>
      <c r="C3779" t="s">
        <v>5</v>
      </c>
      <c r="D3779">
        <v>19100</v>
      </c>
    </row>
    <row r="3780" spans="1:4" x14ac:dyDescent="0.4">
      <c r="A3780" s="1" t="s">
        <v>7298</v>
      </c>
      <c r="B3780" t="s">
        <v>7299</v>
      </c>
      <c r="C3780" t="s">
        <v>5</v>
      </c>
      <c r="D3780">
        <v>19100</v>
      </c>
    </row>
    <row r="3781" spans="1:4" x14ac:dyDescent="0.4">
      <c r="A3781" s="1" t="s">
        <v>7300</v>
      </c>
      <c r="B3781" t="s">
        <v>7301</v>
      </c>
      <c r="C3781" t="s">
        <v>5</v>
      </c>
      <c r="D3781">
        <v>19100</v>
      </c>
    </row>
    <row r="3782" spans="1:4" x14ac:dyDescent="0.4">
      <c r="A3782" s="1" t="s">
        <v>7302</v>
      </c>
      <c r="B3782" t="s">
        <v>7303</v>
      </c>
      <c r="C3782" t="s">
        <v>5</v>
      </c>
      <c r="D3782">
        <v>19100</v>
      </c>
    </row>
    <row r="3783" spans="1:4" x14ac:dyDescent="0.4">
      <c r="A3783" s="1" t="s">
        <v>7304</v>
      </c>
      <c r="B3783" t="s">
        <v>7305</v>
      </c>
      <c r="C3783" t="s">
        <v>5</v>
      </c>
      <c r="D3783">
        <v>19100</v>
      </c>
    </row>
    <row r="3784" spans="1:4" x14ac:dyDescent="0.4">
      <c r="A3784" s="1" t="s">
        <v>7306</v>
      </c>
      <c r="B3784" t="s">
        <v>7307</v>
      </c>
      <c r="C3784" t="s">
        <v>5</v>
      </c>
      <c r="D3784">
        <v>19100</v>
      </c>
    </row>
    <row r="3785" spans="1:4" x14ac:dyDescent="0.4">
      <c r="A3785" s="1" t="s">
        <v>7308</v>
      </c>
      <c r="B3785" t="s">
        <v>7309</v>
      </c>
      <c r="C3785" t="s">
        <v>5</v>
      </c>
      <c r="D3785">
        <v>19100</v>
      </c>
    </row>
    <row r="3786" spans="1:4" x14ac:dyDescent="0.4">
      <c r="A3786" s="1" t="s">
        <v>7310</v>
      </c>
      <c r="B3786" t="s">
        <v>7311</v>
      </c>
      <c r="C3786" t="s">
        <v>5</v>
      </c>
      <c r="D3786">
        <v>35300</v>
      </c>
    </row>
    <row r="3787" spans="1:4" x14ac:dyDescent="0.4">
      <c r="A3787" s="1" t="s">
        <v>7312</v>
      </c>
      <c r="B3787" t="s">
        <v>7313</v>
      </c>
      <c r="C3787" t="s">
        <v>5</v>
      </c>
      <c r="D3787">
        <v>35300</v>
      </c>
    </row>
    <row r="3788" spans="1:4" x14ac:dyDescent="0.4">
      <c r="A3788" s="1" t="s">
        <v>7314</v>
      </c>
      <c r="B3788" t="s">
        <v>7315</v>
      </c>
      <c r="C3788" t="s">
        <v>5</v>
      </c>
      <c r="D3788">
        <v>35300</v>
      </c>
    </row>
    <row r="3789" spans="1:4" x14ac:dyDescent="0.4">
      <c r="A3789" s="1" t="s">
        <v>7316</v>
      </c>
      <c r="B3789" t="s">
        <v>7317</v>
      </c>
      <c r="C3789" t="s">
        <v>5</v>
      </c>
      <c r="D3789">
        <v>36500</v>
      </c>
    </row>
    <row r="3790" spans="1:4" x14ac:dyDescent="0.4">
      <c r="A3790" s="1" t="s">
        <v>7318</v>
      </c>
      <c r="B3790" t="s">
        <v>7319</v>
      </c>
      <c r="C3790" t="s">
        <v>5</v>
      </c>
      <c r="D3790">
        <v>35300</v>
      </c>
    </row>
    <row r="3791" spans="1:4" x14ac:dyDescent="0.4">
      <c r="A3791" s="1" t="s">
        <v>7320</v>
      </c>
      <c r="B3791" t="s">
        <v>7321</v>
      </c>
      <c r="C3791" t="s">
        <v>5</v>
      </c>
      <c r="D3791">
        <v>36500</v>
      </c>
    </row>
    <row r="3792" spans="1:4" x14ac:dyDescent="0.4">
      <c r="A3792" s="1" t="s">
        <v>7322</v>
      </c>
      <c r="B3792" t="s">
        <v>7323</v>
      </c>
      <c r="C3792" t="s">
        <v>5</v>
      </c>
      <c r="D3792">
        <v>36500</v>
      </c>
    </row>
    <row r="3793" spans="1:4" x14ac:dyDescent="0.4">
      <c r="A3793" s="1" t="s">
        <v>7324</v>
      </c>
      <c r="B3793" t="s">
        <v>7325</v>
      </c>
      <c r="C3793" t="s">
        <v>5</v>
      </c>
      <c r="D3793">
        <v>36500</v>
      </c>
    </row>
    <row r="3794" spans="1:4" x14ac:dyDescent="0.4">
      <c r="A3794" s="1" t="s">
        <v>7326</v>
      </c>
      <c r="B3794" t="s">
        <v>7327</v>
      </c>
      <c r="C3794" t="s">
        <v>5</v>
      </c>
      <c r="D3794">
        <v>36500</v>
      </c>
    </row>
    <row r="3795" spans="1:4" x14ac:dyDescent="0.4">
      <c r="A3795" s="1" t="s">
        <v>7328</v>
      </c>
      <c r="B3795" t="s">
        <v>7329</v>
      </c>
      <c r="C3795" t="s">
        <v>5</v>
      </c>
      <c r="D3795">
        <v>36500</v>
      </c>
    </row>
    <row r="3796" spans="1:4" x14ac:dyDescent="0.4">
      <c r="A3796" s="1" t="s">
        <v>7330</v>
      </c>
      <c r="B3796" t="s">
        <v>7331</v>
      </c>
      <c r="C3796" t="s">
        <v>5</v>
      </c>
      <c r="D3796">
        <v>36500</v>
      </c>
    </row>
    <row r="3797" spans="1:4" x14ac:dyDescent="0.4">
      <c r="A3797" s="1" t="s">
        <v>7332</v>
      </c>
      <c r="B3797" t="s">
        <v>7333</v>
      </c>
      <c r="C3797" t="s">
        <v>5</v>
      </c>
      <c r="D3797">
        <v>36500</v>
      </c>
    </row>
    <row r="3798" spans="1:4" x14ac:dyDescent="0.4">
      <c r="A3798" s="1" t="s">
        <v>7334</v>
      </c>
      <c r="B3798" t="s">
        <v>7335</v>
      </c>
      <c r="C3798" t="s">
        <v>5</v>
      </c>
      <c r="D3798">
        <v>36500</v>
      </c>
    </row>
    <row r="3799" spans="1:4" x14ac:dyDescent="0.4">
      <c r="A3799" s="1" t="s">
        <v>7336</v>
      </c>
      <c r="B3799" t="s">
        <v>7337</v>
      </c>
      <c r="C3799" t="s">
        <v>5</v>
      </c>
      <c r="D3799">
        <v>36500</v>
      </c>
    </row>
    <row r="3800" spans="1:4" x14ac:dyDescent="0.4">
      <c r="A3800" s="1" t="s">
        <v>7338</v>
      </c>
      <c r="B3800" t="s">
        <v>7339</v>
      </c>
      <c r="C3800" t="s">
        <v>5</v>
      </c>
      <c r="D3800">
        <v>36500</v>
      </c>
    </row>
    <row r="3801" spans="1:4" x14ac:dyDescent="0.4">
      <c r="A3801" s="1" t="s">
        <v>7340</v>
      </c>
      <c r="B3801" t="s">
        <v>7341</v>
      </c>
      <c r="C3801" t="s">
        <v>5</v>
      </c>
      <c r="D3801">
        <v>36500</v>
      </c>
    </row>
    <row r="3802" spans="1:4" x14ac:dyDescent="0.4">
      <c r="A3802" s="1" t="s">
        <v>7342</v>
      </c>
      <c r="B3802" t="s">
        <v>7343</v>
      </c>
      <c r="C3802" t="s">
        <v>5</v>
      </c>
      <c r="D3802">
        <v>36500</v>
      </c>
    </row>
    <row r="3803" spans="1:4" x14ac:dyDescent="0.4">
      <c r="A3803" s="1" t="s">
        <v>7344</v>
      </c>
      <c r="B3803" t="s">
        <v>7345</v>
      </c>
      <c r="C3803" t="s">
        <v>5</v>
      </c>
      <c r="D3803">
        <v>38000</v>
      </c>
    </row>
    <row r="3804" spans="1:4" x14ac:dyDescent="0.4">
      <c r="A3804" s="1" t="s">
        <v>7346</v>
      </c>
      <c r="B3804" t="s">
        <v>7347</v>
      </c>
      <c r="C3804" t="s">
        <v>5</v>
      </c>
    </row>
    <row r="3805" spans="1:4" x14ac:dyDescent="0.4">
      <c r="A3805" s="1" t="s">
        <v>7348</v>
      </c>
      <c r="B3805" t="s">
        <v>7349</v>
      </c>
      <c r="C3805" t="s">
        <v>5</v>
      </c>
    </row>
    <row r="3806" spans="1:4" x14ac:dyDescent="0.4">
      <c r="A3806" s="1" t="s">
        <v>7350</v>
      </c>
      <c r="B3806" t="s">
        <v>7351</v>
      </c>
      <c r="C3806" t="s">
        <v>5</v>
      </c>
    </row>
    <row r="3807" spans="1:4" x14ac:dyDescent="0.4">
      <c r="A3807" s="1" t="s">
        <v>7352</v>
      </c>
      <c r="B3807" t="s">
        <v>7353</v>
      </c>
      <c r="C3807" t="s">
        <v>5</v>
      </c>
    </row>
    <row r="3808" spans="1:4" x14ac:dyDescent="0.4">
      <c r="A3808" s="1" t="s">
        <v>7354</v>
      </c>
      <c r="B3808" t="s">
        <v>7355</v>
      </c>
      <c r="C3808" t="s">
        <v>5</v>
      </c>
    </row>
    <row r="3809" spans="1:3" x14ac:dyDescent="0.4">
      <c r="A3809" s="1" t="s">
        <v>7356</v>
      </c>
      <c r="B3809" t="s">
        <v>7357</v>
      </c>
      <c r="C3809" t="s">
        <v>5</v>
      </c>
    </row>
    <row r="3810" spans="1:3" x14ac:dyDescent="0.4">
      <c r="A3810" s="1" t="s">
        <v>7358</v>
      </c>
      <c r="B3810" t="s">
        <v>7359</v>
      </c>
      <c r="C3810" t="s">
        <v>5</v>
      </c>
    </row>
    <row r="3811" spans="1:3" x14ac:dyDescent="0.4">
      <c r="A3811" s="1" t="s">
        <v>7360</v>
      </c>
      <c r="B3811" t="s">
        <v>7361</v>
      </c>
      <c r="C3811" t="s">
        <v>5</v>
      </c>
    </row>
    <row r="3812" spans="1:3" x14ac:dyDescent="0.4">
      <c r="A3812" s="1" t="s">
        <v>7362</v>
      </c>
      <c r="B3812" t="s">
        <v>7363</v>
      </c>
      <c r="C3812" t="s">
        <v>5</v>
      </c>
    </row>
    <row r="3813" spans="1:3" x14ac:dyDescent="0.4">
      <c r="A3813" s="1" t="s">
        <v>7364</v>
      </c>
      <c r="B3813" t="s">
        <v>7365</v>
      </c>
      <c r="C3813" t="s">
        <v>5</v>
      </c>
    </row>
    <row r="3814" spans="1:3" x14ac:dyDescent="0.4">
      <c r="A3814" s="1" t="s">
        <v>7366</v>
      </c>
      <c r="B3814" t="s">
        <v>7367</v>
      </c>
      <c r="C3814" t="s">
        <v>5</v>
      </c>
    </row>
    <row r="3815" spans="1:3" x14ac:dyDescent="0.4">
      <c r="A3815" s="1" t="s">
        <v>7368</v>
      </c>
      <c r="B3815" t="s">
        <v>7369</v>
      </c>
      <c r="C3815" t="s">
        <v>5</v>
      </c>
    </row>
    <row r="3816" spans="1:3" x14ac:dyDescent="0.4">
      <c r="A3816" s="1" t="s">
        <v>7370</v>
      </c>
      <c r="B3816" t="s">
        <v>7371</v>
      </c>
      <c r="C3816" t="s">
        <v>5</v>
      </c>
    </row>
    <row r="3817" spans="1:3" x14ac:dyDescent="0.4">
      <c r="A3817" s="1" t="s">
        <v>7372</v>
      </c>
      <c r="B3817" t="s">
        <v>7373</v>
      </c>
      <c r="C3817" t="s">
        <v>5</v>
      </c>
    </row>
    <row r="3818" spans="1:3" x14ac:dyDescent="0.4">
      <c r="A3818" s="1" t="s">
        <v>7374</v>
      </c>
      <c r="B3818" t="s">
        <v>7375</v>
      </c>
      <c r="C3818" t="s">
        <v>5</v>
      </c>
    </row>
    <row r="3819" spans="1:3" x14ac:dyDescent="0.4">
      <c r="A3819" s="1" t="s">
        <v>7376</v>
      </c>
      <c r="B3819" t="s">
        <v>7377</v>
      </c>
      <c r="C3819" t="s">
        <v>5</v>
      </c>
    </row>
    <row r="3820" spans="1:3" x14ac:dyDescent="0.4">
      <c r="A3820" s="1" t="s">
        <v>7378</v>
      </c>
      <c r="B3820" t="s">
        <v>7379</v>
      </c>
      <c r="C3820" t="s">
        <v>7380</v>
      </c>
    </row>
    <row r="3821" spans="1:3" x14ac:dyDescent="0.4">
      <c r="A3821" s="1" t="s">
        <v>7381</v>
      </c>
      <c r="B3821" t="s">
        <v>7382</v>
      </c>
      <c r="C3821" t="s">
        <v>7380</v>
      </c>
    </row>
    <row r="3822" spans="1:3" x14ac:dyDescent="0.4">
      <c r="A3822" s="1" t="s">
        <v>7383</v>
      </c>
      <c r="B3822" t="s">
        <v>7384</v>
      </c>
      <c r="C3822" t="s">
        <v>7385</v>
      </c>
    </row>
    <row r="3823" spans="1:3" x14ac:dyDescent="0.4">
      <c r="A3823" s="1" t="s">
        <v>7386</v>
      </c>
      <c r="B3823" t="s">
        <v>7387</v>
      </c>
      <c r="C3823" t="s">
        <v>7380</v>
      </c>
    </row>
    <row r="3824" spans="1:3" x14ac:dyDescent="0.4">
      <c r="A3824" s="1" t="s">
        <v>7388</v>
      </c>
      <c r="B3824" t="s">
        <v>7389</v>
      </c>
      <c r="C3824" t="s">
        <v>7380</v>
      </c>
    </row>
    <row r="3825" spans="1:4" x14ac:dyDescent="0.4">
      <c r="A3825" s="1" t="s">
        <v>7390</v>
      </c>
      <c r="B3825" t="s">
        <v>7391</v>
      </c>
      <c r="C3825" t="s">
        <v>5</v>
      </c>
    </row>
    <row r="3826" spans="1:4" x14ac:dyDescent="0.4">
      <c r="A3826" s="1" t="s">
        <v>7392</v>
      </c>
      <c r="B3826" t="s">
        <v>7393</v>
      </c>
      <c r="C3826" t="s">
        <v>5</v>
      </c>
    </row>
    <row r="3827" spans="1:4" x14ac:dyDescent="0.4">
      <c r="A3827" s="1" t="s">
        <v>7394</v>
      </c>
      <c r="B3827" t="s">
        <v>7395</v>
      </c>
      <c r="C3827" t="s">
        <v>5</v>
      </c>
    </row>
    <row r="3828" spans="1:4" x14ac:dyDescent="0.4">
      <c r="A3828" s="1" t="s">
        <v>7396</v>
      </c>
      <c r="B3828" t="s">
        <v>7397</v>
      </c>
      <c r="C3828" t="s">
        <v>5</v>
      </c>
    </row>
    <row r="3829" spans="1:4" x14ac:dyDescent="0.4">
      <c r="A3829" s="1" t="s">
        <v>7398</v>
      </c>
      <c r="B3829" t="s">
        <v>7399</v>
      </c>
      <c r="C3829" t="s">
        <v>5</v>
      </c>
    </row>
    <row r="3830" spans="1:4" x14ac:dyDescent="0.4">
      <c r="A3830" s="1" t="s">
        <v>7400</v>
      </c>
      <c r="B3830" t="s">
        <v>7401</v>
      </c>
      <c r="C3830" t="s">
        <v>5</v>
      </c>
    </row>
    <row r="3831" spans="1:4" x14ac:dyDescent="0.4">
      <c r="A3831" s="1" t="s">
        <v>7402</v>
      </c>
      <c r="B3831" t="s">
        <v>7403</v>
      </c>
      <c r="C3831" t="s">
        <v>5</v>
      </c>
      <c r="D3831">
        <v>4400</v>
      </c>
    </row>
    <row r="3832" spans="1:4" x14ac:dyDescent="0.4">
      <c r="A3832" s="1" t="s">
        <v>7404</v>
      </c>
      <c r="B3832" t="s">
        <v>7405</v>
      </c>
      <c r="C3832" t="s">
        <v>5</v>
      </c>
      <c r="D3832">
        <v>36600</v>
      </c>
    </row>
    <row r="3833" spans="1:4" x14ac:dyDescent="0.4">
      <c r="A3833" s="1" t="s">
        <v>7406</v>
      </c>
      <c r="B3833" t="s">
        <v>7407</v>
      </c>
      <c r="C3833" t="s">
        <v>5</v>
      </c>
      <c r="D3833">
        <v>36600</v>
      </c>
    </row>
    <row r="3834" spans="1:4" x14ac:dyDescent="0.4">
      <c r="A3834" s="1" t="s">
        <v>7408</v>
      </c>
      <c r="B3834" t="s">
        <v>7409</v>
      </c>
      <c r="C3834" t="s">
        <v>5</v>
      </c>
      <c r="D3834">
        <v>36600</v>
      </c>
    </row>
    <row r="3835" spans="1:4" x14ac:dyDescent="0.4">
      <c r="A3835" s="1" t="s">
        <v>7410</v>
      </c>
      <c r="B3835" t="s">
        <v>7411</v>
      </c>
      <c r="C3835" t="s">
        <v>5</v>
      </c>
      <c r="D3835">
        <v>44000</v>
      </c>
    </row>
    <row r="3836" spans="1:4" x14ac:dyDescent="0.4">
      <c r="A3836" s="1" t="s">
        <v>7412</v>
      </c>
      <c r="B3836" t="s">
        <v>7413</v>
      </c>
      <c r="C3836" t="s">
        <v>5</v>
      </c>
      <c r="D3836">
        <v>47200</v>
      </c>
    </row>
    <row r="3837" spans="1:4" x14ac:dyDescent="0.4">
      <c r="A3837" s="1" t="s">
        <v>7414</v>
      </c>
      <c r="B3837" t="s">
        <v>7415</v>
      </c>
      <c r="C3837" t="s">
        <v>5</v>
      </c>
      <c r="D3837">
        <v>47200</v>
      </c>
    </row>
    <row r="3838" spans="1:4" x14ac:dyDescent="0.4">
      <c r="A3838" s="1" t="s">
        <v>7416</v>
      </c>
      <c r="B3838" t="s">
        <v>7417</v>
      </c>
      <c r="C3838" t="s">
        <v>5</v>
      </c>
      <c r="D3838">
        <v>47200</v>
      </c>
    </row>
    <row r="3839" spans="1:4" x14ac:dyDescent="0.4">
      <c r="A3839" s="1" t="s">
        <v>7418</v>
      </c>
      <c r="B3839" t="s">
        <v>7419</v>
      </c>
      <c r="C3839" t="s">
        <v>5</v>
      </c>
      <c r="D3839">
        <v>46800</v>
      </c>
    </row>
    <row r="3840" spans="1:4" x14ac:dyDescent="0.4">
      <c r="A3840" s="1" t="s">
        <v>7420</v>
      </c>
      <c r="B3840" t="s">
        <v>7421</v>
      </c>
      <c r="C3840" t="s">
        <v>5</v>
      </c>
      <c r="D3840">
        <v>52600</v>
      </c>
    </row>
    <row r="3841" spans="1:4" x14ac:dyDescent="0.4">
      <c r="A3841" s="1" t="s">
        <v>7422</v>
      </c>
      <c r="B3841" t="s">
        <v>7423</v>
      </c>
      <c r="C3841" t="s">
        <v>5</v>
      </c>
      <c r="D3841">
        <v>6600</v>
      </c>
    </row>
    <row r="3842" spans="1:4" x14ac:dyDescent="0.4">
      <c r="A3842" s="1" t="s">
        <v>7424</v>
      </c>
      <c r="B3842" t="s">
        <v>7425</v>
      </c>
      <c r="C3842" t="s">
        <v>5</v>
      </c>
      <c r="D3842">
        <v>6000</v>
      </c>
    </row>
    <row r="3843" spans="1:4" x14ac:dyDescent="0.4">
      <c r="A3843" s="1" t="s">
        <v>7426</v>
      </c>
      <c r="B3843" t="s">
        <v>7427</v>
      </c>
      <c r="C3843" t="s">
        <v>5</v>
      </c>
      <c r="D3843">
        <v>9400</v>
      </c>
    </row>
    <row r="3844" spans="1:4" x14ac:dyDescent="0.4">
      <c r="A3844" s="1" t="s">
        <v>7428</v>
      </c>
      <c r="B3844" t="s">
        <v>7429</v>
      </c>
      <c r="C3844" t="s">
        <v>5</v>
      </c>
      <c r="D3844">
        <v>9400</v>
      </c>
    </row>
    <row r="3845" spans="1:4" x14ac:dyDescent="0.4">
      <c r="A3845" s="1" t="s">
        <v>7430</v>
      </c>
      <c r="B3845" t="s">
        <v>7431</v>
      </c>
      <c r="C3845" t="s">
        <v>5</v>
      </c>
      <c r="D3845">
        <v>9400</v>
      </c>
    </row>
    <row r="3846" spans="1:4" x14ac:dyDescent="0.4">
      <c r="A3846" s="1" t="s">
        <v>7432</v>
      </c>
      <c r="B3846" t="s">
        <v>7433</v>
      </c>
      <c r="C3846" t="s">
        <v>5</v>
      </c>
      <c r="D3846">
        <v>10200</v>
      </c>
    </row>
    <row r="3847" spans="1:4" x14ac:dyDescent="0.4">
      <c r="A3847" s="1" t="s">
        <v>7434</v>
      </c>
      <c r="B3847" t="s">
        <v>7435</v>
      </c>
      <c r="C3847" t="s">
        <v>5</v>
      </c>
      <c r="D3847">
        <v>16200</v>
      </c>
    </row>
    <row r="3848" spans="1:4" x14ac:dyDescent="0.4">
      <c r="A3848" s="1" t="s">
        <v>7436</v>
      </c>
      <c r="B3848" t="s">
        <v>7437</v>
      </c>
      <c r="C3848" t="s">
        <v>5</v>
      </c>
      <c r="D3848">
        <v>16200</v>
      </c>
    </row>
    <row r="3849" spans="1:4" x14ac:dyDescent="0.4">
      <c r="A3849" s="1" t="s">
        <v>7438</v>
      </c>
      <c r="B3849" t="s">
        <v>7439</v>
      </c>
      <c r="C3849" t="s">
        <v>5</v>
      </c>
      <c r="D3849">
        <v>16200</v>
      </c>
    </row>
    <row r="3850" spans="1:4" x14ac:dyDescent="0.4">
      <c r="A3850" s="1" t="s">
        <v>7440</v>
      </c>
      <c r="B3850" t="s">
        <v>7441</v>
      </c>
      <c r="C3850" t="s">
        <v>5</v>
      </c>
      <c r="D3850">
        <v>16800</v>
      </c>
    </row>
    <row r="3851" spans="1:4" x14ac:dyDescent="0.4">
      <c r="A3851" s="1" t="s">
        <v>7442</v>
      </c>
      <c r="B3851" t="s">
        <v>7443</v>
      </c>
      <c r="C3851" t="s">
        <v>5</v>
      </c>
      <c r="D3851">
        <v>16800</v>
      </c>
    </row>
    <row r="3852" spans="1:4" x14ac:dyDescent="0.4">
      <c r="A3852" s="1" t="s">
        <v>7444</v>
      </c>
      <c r="B3852" t="s">
        <v>7445</v>
      </c>
      <c r="C3852" t="s">
        <v>5</v>
      </c>
      <c r="D3852">
        <v>2600</v>
      </c>
    </row>
    <row r="3853" spans="1:4" x14ac:dyDescent="0.4">
      <c r="A3853" s="1" t="s">
        <v>7446</v>
      </c>
      <c r="B3853" t="s">
        <v>7447</v>
      </c>
      <c r="C3853" t="s">
        <v>5</v>
      </c>
      <c r="D3853">
        <v>52500</v>
      </c>
    </row>
    <row r="3854" spans="1:4" x14ac:dyDescent="0.4">
      <c r="A3854" s="1" t="s">
        <v>7448</v>
      </c>
      <c r="B3854" t="s">
        <v>7449</v>
      </c>
      <c r="C3854" t="s">
        <v>5</v>
      </c>
      <c r="D3854">
        <v>27000</v>
      </c>
    </row>
    <row r="3855" spans="1:4" x14ac:dyDescent="0.4">
      <c r="A3855" s="1" t="s">
        <v>7450</v>
      </c>
      <c r="B3855" t="s">
        <v>7451</v>
      </c>
      <c r="C3855" t="s">
        <v>5</v>
      </c>
      <c r="D3855">
        <v>27000</v>
      </c>
    </row>
    <row r="3856" spans="1:4" x14ac:dyDescent="0.4">
      <c r="A3856" s="1" t="s">
        <v>7452</v>
      </c>
      <c r="B3856" t="s">
        <v>7453</v>
      </c>
      <c r="C3856" t="s">
        <v>5</v>
      </c>
      <c r="D3856">
        <v>27000</v>
      </c>
    </row>
    <row r="3857" spans="1:4" x14ac:dyDescent="0.4">
      <c r="A3857" s="1" t="s">
        <v>7454</v>
      </c>
      <c r="B3857" t="s">
        <v>7455</v>
      </c>
      <c r="C3857" t="s">
        <v>5</v>
      </c>
      <c r="D3857">
        <v>27600</v>
      </c>
    </row>
    <row r="3858" spans="1:4" x14ac:dyDescent="0.4">
      <c r="A3858" s="1" t="s">
        <v>7456</v>
      </c>
      <c r="B3858" t="s">
        <v>7457</v>
      </c>
      <c r="C3858" t="s">
        <v>5</v>
      </c>
      <c r="D3858">
        <v>43600</v>
      </c>
    </row>
    <row r="3859" spans="1:4" x14ac:dyDescent="0.4">
      <c r="A3859" s="1" t="s">
        <v>7458</v>
      </c>
      <c r="B3859" t="s">
        <v>7459</v>
      </c>
      <c r="C3859" t="s">
        <v>5</v>
      </c>
      <c r="D3859">
        <v>2600</v>
      </c>
    </row>
    <row r="3860" spans="1:4" x14ac:dyDescent="0.4">
      <c r="A3860" s="1" t="s">
        <v>7460</v>
      </c>
      <c r="B3860" t="s">
        <v>7461</v>
      </c>
      <c r="C3860" t="s">
        <v>5</v>
      </c>
      <c r="D3860">
        <v>26400</v>
      </c>
    </row>
    <row r="3861" spans="1:4" x14ac:dyDescent="0.4">
      <c r="A3861" s="1" t="s">
        <v>7462</v>
      </c>
      <c r="B3861" t="s">
        <v>7463</v>
      </c>
      <c r="C3861" t="s">
        <v>5</v>
      </c>
      <c r="D3861">
        <v>51200</v>
      </c>
    </row>
    <row r="3862" spans="1:4" x14ac:dyDescent="0.4">
      <c r="A3862" s="1" t="s">
        <v>7464</v>
      </c>
      <c r="B3862" t="s">
        <v>7465</v>
      </c>
      <c r="C3862" t="s">
        <v>5</v>
      </c>
      <c r="D3862">
        <v>14200</v>
      </c>
    </row>
    <row r="3863" spans="1:4" x14ac:dyDescent="0.4">
      <c r="A3863" s="1" t="s">
        <v>7466</v>
      </c>
      <c r="B3863" t="s">
        <v>7467</v>
      </c>
      <c r="C3863" t="s">
        <v>5</v>
      </c>
      <c r="D3863">
        <v>25200</v>
      </c>
    </row>
    <row r="3864" spans="1:4" x14ac:dyDescent="0.4">
      <c r="A3864" s="1" t="s">
        <v>7468</v>
      </c>
      <c r="B3864" t="s">
        <v>7469</v>
      </c>
      <c r="C3864" t="s">
        <v>5</v>
      </c>
      <c r="D3864">
        <v>25200</v>
      </c>
    </row>
    <row r="3865" spans="1:4" x14ac:dyDescent="0.4">
      <c r="A3865" s="1" t="s">
        <v>7470</v>
      </c>
      <c r="B3865" t="s">
        <v>7471</v>
      </c>
      <c r="C3865" t="s">
        <v>5</v>
      </c>
      <c r="D3865">
        <v>25200</v>
      </c>
    </row>
    <row r="3866" spans="1:4" x14ac:dyDescent="0.4">
      <c r="A3866" s="1" t="s">
        <v>7472</v>
      </c>
      <c r="B3866" t="s">
        <v>7473</v>
      </c>
      <c r="C3866" t="s">
        <v>5</v>
      </c>
      <c r="D3866">
        <v>19400</v>
      </c>
    </row>
    <row r="3867" spans="1:4" x14ac:dyDescent="0.4">
      <c r="A3867" s="1" t="s">
        <v>7474</v>
      </c>
      <c r="B3867" t="s">
        <v>7475</v>
      </c>
      <c r="C3867" t="s">
        <v>5</v>
      </c>
      <c r="D3867">
        <v>37800</v>
      </c>
    </row>
    <row r="3868" spans="1:4" x14ac:dyDescent="0.4">
      <c r="A3868" s="1" t="s">
        <v>7476</v>
      </c>
      <c r="B3868" t="s">
        <v>7477</v>
      </c>
      <c r="C3868" t="s">
        <v>5</v>
      </c>
      <c r="D3868">
        <v>37800</v>
      </c>
    </row>
    <row r="3869" spans="1:4" x14ac:dyDescent="0.4">
      <c r="A3869" s="1" t="s">
        <v>7478</v>
      </c>
      <c r="B3869" t="s">
        <v>7479</v>
      </c>
      <c r="C3869" t="s">
        <v>5</v>
      </c>
      <c r="D3869">
        <v>37800</v>
      </c>
    </row>
    <row r="3870" spans="1:4" x14ac:dyDescent="0.4">
      <c r="A3870" s="1" t="s">
        <v>7480</v>
      </c>
      <c r="B3870" t="s">
        <v>7481</v>
      </c>
      <c r="C3870" t="s">
        <v>5</v>
      </c>
      <c r="D3870">
        <v>35600</v>
      </c>
    </row>
    <row r="3871" spans="1:4" x14ac:dyDescent="0.4">
      <c r="A3871" s="1" t="s">
        <v>7482</v>
      </c>
      <c r="B3871" t="s">
        <v>7483</v>
      </c>
      <c r="C3871" t="s">
        <v>5</v>
      </c>
      <c r="D3871">
        <v>12400</v>
      </c>
    </row>
    <row r="3872" spans="1:4" x14ac:dyDescent="0.4">
      <c r="A3872" s="1" t="s">
        <v>7484</v>
      </c>
      <c r="B3872" t="s">
        <v>7485</v>
      </c>
      <c r="C3872" t="s">
        <v>5</v>
      </c>
      <c r="D3872">
        <v>12400</v>
      </c>
    </row>
    <row r="3873" spans="1:4" x14ac:dyDescent="0.4">
      <c r="A3873" s="1" t="s">
        <v>7486</v>
      </c>
      <c r="B3873" t="s">
        <v>7487</v>
      </c>
      <c r="C3873" t="s">
        <v>5</v>
      </c>
      <c r="D3873">
        <v>12400</v>
      </c>
    </row>
    <row r="3874" spans="1:4" x14ac:dyDescent="0.4">
      <c r="A3874" s="1" t="s">
        <v>7488</v>
      </c>
      <c r="B3874" t="s">
        <v>7489</v>
      </c>
      <c r="C3874" t="s">
        <v>5</v>
      </c>
      <c r="D3874">
        <v>12400</v>
      </c>
    </row>
    <row r="3875" spans="1:4" x14ac:dyDescent="0.4">
      <c r="A3875" s="1" t="s">
        <v>7490</v>
      </c>
      <c r="B3875" t="s">
        <v>7491</v>
      </c>
      <c r="C3875" t="s">
        <v>5</v>
      </c>
      <c r="D3875">
        <v>18000</v>
      </c>
    </row>
    <row r="3876" spans="1:4" x14ac:dyDescent="0.4">
      <c r="A3876" s="1" t="s">
        <v>7492</v>
      </c>
      <c r="B3876" t="s">
        <v>7493</v>
      </c>
      <c r="C3876" t="s">
        <v>5</v>
      </c>
      <c r="D3876">
        <v>18000</v>
      </c>
    </row>
    <row r="3877" spans="1:4" x14ac:dyDescent="0.4">
      <c r="A3877" s="1" t="s">
        <v>7494</v>
      </c>
      <c r="B3877" t="s">
        <v>7495</v>
      </c>
      <c r="C3877" t="s">
        <v>5</v>
      </c>
      <c r="D3877">
        <v>18000</v>
      </c>
    </row>
    <row r="3878" spans="1:4" x14ac:dyDescent="0.4">
      <c r="A3878" s="1" t="s">
        <v>7496</v>
      </c>
      <c r="B3878" t="s">
        <v>7497</v>
      </c>
      <c r="C3878" t="s">
        <v>5</v>
      </c>
      <c r="D3878">
        <v>18600</v>
      </c>
    </row>
    <row r="3879" spans="1:4" x14ac:dyDescent="0.4">
      <c r="A3879" s="1" t="s">
        <v>7498</v>
      </c>
      <c r="B3879" t="s">
        <v>7499</v>
      </c>
      <c r="C3879" t="s">
        <v>5</v>
      </c>
      <c r="D3879">
        <v>26800</v>
      </c>
    </row>
    <row r="3880" spans="1:4" x14ac:dyDescent="0.4">
      <c r="A3880" s="1" t="s">
        <v>7500</v>
      </c>
      <c r="B3880" t="s">
        <v>7501</v>
      </c>
      <c r="C3880" t="s">
        <v>5</v>
      </c>
      <c r="D3880">
        <v>26800</v>
      </c>
    </row>
    <row r="3881" spans="1:4" x14ac:dyDescent="0.4">
      <c r="A3881" s="1" t="s">
        <v>7502</v>
      </c>
      <c r="B3881" t="s">
        <v>7503</v>
      </c>
      <c r="C3881" t="s">
        <v>5</v>
      </c>
      <c r="D3881">
        <v>26800</v>
      </c>
    </row>
    <row r="3882" spans="1:4" x14ac:dyDescent="0.4">
      <c r="A3882" s="1" t="s">
        <v>7504</v>
      </c>
      <c r="B3882" t="s">
        <v>7505</v>
      </c>
      <c r="C3882" t="s">
        <v>5</v>
      </c>
      <c r="D3882">
        <v>25800</v>
      </c>
    </row>
    <row r="3883" spans="1:4" x14ac:dyDescent="0.4">
      <c r="A3883" s="1" t="s">
        <v>7506</v>
      </c>
      <c r="B3883" t="s">
        <v>7507</v>
      </c>
      <c r="C3883" t="s">
        <v>5</v>
      </c>
      <c r="D3883">
        <v>21000</v>
      </c>
    </row>
    <row r="3884" spans="1:4" x14ac:dyDescent="0.4">
      <c r="A3884" s="1" t="s">
        <v>7508</v>
      </c>
      <c r="B3884" t="s">
        <v>7509</v>
      </c>
      <c r="C3884" t="s">
        <v>5</v>
      </c>
      <c r="D3884">
        <v>21000</v>
      </c>
    </row>
    <row r="3885" spans="1:4" x14ac:dyDescent="0.4">
      <c r="A3885" s="1" t="s">
        <v>7510</v>
      </c>
      <c r="B3885" t="s">
        <v>7511</v>
      </c>
      <c r="C3885" t="s">
        <v>5</v>
      </c>
      <c r="D3885">
        <v>21000</v>
      </c>
    </row>
    <row r="3886" spans="1:4" x14ac:dyDescent="0.4">
      <c r="A3886" s="1" t="s">
        <v>7512</v>
      </c>
      <c r="B3886" t="s">
        <v>7513</v>
      </c>
      <c r="C3886" t="s">
        <v>5</v>
      </c>
      <c r="D3886">
        <v>21000</v>
      </c>
    </row>
    <row r="3887" spans="1:4" x14ac:dyDescent="0.4">
      <c r="A3887" s="1" t="s">
        <v>7514</v>
      </c>
      <c r="B3887" t="s">
        <v>7515</v>
      </c>
      <c r="C3887" t="s">
        <v>5</v>
      </c>
      <c r="D3887">
        <v>26000</v>
      </c>
    </row>
    <row r="3888" spans="1:4" x14ac:dyDescent="0.4">
      <c r="A3888" s="1" t="s">
        <v>7516</v>
      </c>
      <c r="B3888" t="s">
        <v>7517</v>
      </c>
      <c r="C3888" t="s">
        <v>5</v>
      </c>
      <c r="D3888">
        <v>26000</v>
      </c>
    </row>
    <row r="3889" spans="1:4" x14ac:dyDescent="0.4">
      <c r="A3889" s="1" t="s">
        <v>7518</v>
      </c>
      <c r="B3889" t="s">
        <v>7519</v>
      </c>
      <c r="C3889" t="s">
        <v>5</v>
      </c>
      <c r="D3889">
        <v>26000</v>
      </c>
    </row>
    <row r="3890" spans="1:4" x14ac:dyDescent="0.4">
      <c r="A3890" s="1" t="s">
        <v>7520</v>
      </c>
      <c r="B3890" t="s">
        <v>7521</v>
      </c>
      <c r="C3890" t="s">
        <v>5</v>
      </c>
      <c r="D3890">
        <v>36600</v>
      </c>
    </row>
    <row r="3891" spans="1:4" x14ac:dyDescent="0.4">
      <c r="A3891" s="1" t="s">
        <v>7522</v>
      </c>
      <c r="B3891" t="s">
        <v>7523</v>
      </c>
      <c r="C3891" t="e">
        <f ca="1">+ﾘﾎﾞﾝ5巻ｾｯﾄ(2295404)</f>
        <v>#NAME?</v>
      </c>
    </row>
    <row r="3892" spans="1:4" x14ac:dyDescent="0.4">
      <c r="A3892" s="1" t="s">
        <v>7524</v>
      </c>
      <c r="B3892" t="s">
        <v>7525</v>
      </c>
      <c r="C3892" t="s">
        <v>5</v>
      </c>
    </row>
    <row r="3893" spans="1:4" x14ac:dyDescent="0.4">
      <c r="A3893" s="1" t="s">
        <v>7526</v>
      </c>
      <c r="B3893" t="s">
        <v>7527</v>
      </c>
      <c r="C3893" t="s">
        <v>5</v>
      </c>
    </row>
    <row r="3894" spans="1:4" x14ac:dyDescent="0.4">
      <c r="A3894" s="1" t="s">
        <v>7528</v>
      </c>
      <c r="B3894" t="s">
        <v>7529</v>
      </c>
      <c r="C3894" t="s">
        <v>5</v>
      </c>
    </row>
    <row r="3895" spans="1:4" x14ac:dyDescent="0.4">
      <c r="A3895" s="1" t="s">
        <v>7530</v>
      </c>
      <c r="B3895" t="s">
        <v>7531</v>
      </c>
      <c r="C3895" t="s">
        <v>5</v>
      </c>
    </row>
    <row r="3896" spans="1:4" x14ac:dyDescent="0.4">
      <c r="A3896" s="1" t="s">
        <v>7532</v>
      </c>
      <c r="B3896" t="s">
        <v>7533</v>
      </c>
      <c r="C3896" t="s">
        <v>5</v>
      </c>
    </row>
    <row r="3897" spans="1:4" x14ac:dyDescent="0.4">
      <c r="A3897" s="1" t="s">
        <v>7534</v>
      </c>
      <c r="B3897" t="s">
        <v>7535</v>
      </c>
      <c r="C3897" t="s">
        <v>5</v>
      </c>
    </row>
    <row r="3898" spans="1:4" x14ac:dyDescent="0.4">
      <c r="A3898" s="1" t="s">
        <v>7536</v>
      </c>
      <c r="B3898" t="s">
        <v>7537</v>
      </c>
      <c r="C3898" t="s">
        <v>5</v>
      </c>
    </row>
    <row r="3899" spans="1:4" x14ac:dyDescent="0.4">
      <c r="A3899" s="1" t="s">
        <v>7538</v>
      </c>
      <c r="B3899" t="s">
        <v>7539</v>
      </c>
      <c r="C3899" t="s">
        <v>5</v>
      </c>
    </row>
    <row r="3900" spans="1:4" x14ac:dyDescent="0.4">
      <c r="A3900" s="1" t="s">
        <v>7540</v>
      </c>
      <c r="B3900" t="s">
        <v>7541</v>
      </c>
      <c r="C3900" t="s">
        <v>5</v>
      </c>
    </row>
    <row r="3901" spans="1:4" x14ac:dyDescent="0.4">
      <c r="A3901" s="1" t="s">
        <v>7542</v>
      </c>
      <c r="B3901" t="s">
        <v>7543</v>
      </c>
      <c r="C3901" t="s">
        <v>5</v>
      </c>
      <c r="D3901">
        <v>20300</v>
      </c>
    </row>
    <row r="3902" spans="1:4" x14ac:dyDescent="0.4">
      <c r="A3902" s="1" t="s">
        <v>7544</v>
      </c>
      <c r="B3902" t="s">
        <v>7545</v>
      </c>
      <c r="C3902" t="s">
        <v>5</v>
      </c>
      <c r="D3902">
        <v>20300</v>
      </c>
    </row>
    <row r="3903" spans="1:4" x14ac:dyDescent="0.4">
      <c r="A3903" s="1" t="s">
        <v>7546</v>
      </c>
      <c r="B3903" t="s">
        <v>7547</v>
      </c>
      <c r="C3903" t="s">
        <v>5</v>
      </c>
      <c r="D3903">
        <v>7600</v>
      </c>
    </row>
    <row r="3904" spans="1:4" x14ac:dyDescent="0.4">
      <c r="A3904" s="1" t="s">
        <v>7548</v>
      </c>
      <c r="B3904" t="s">
        <v>7549</v>
      </c>
      <c r="C3904" t="s">
        <v>5</v>
      </c>
      <c r="D3904">
        <v>7600</v>
      </c>
    </row>
    <row r="3905" spans="1:4" x14ac:dyDescent="0.4">
      <c r="A3905" s="1" t="s">
        <v>7550</v>
      </c>
      <c r="B3905" t="s">
        <v>7551</v>
      </c>
      <c r="C3905" t="s">
        <v>5</v>
      </c>
      <c r="D3905">
        <v>17800</v>
      </c>
    </row>
    <row r="3906" spans="1:4" x14ac:dyDescent="0.4">
      <c r="A3906" s="1" t="s">
        <v>7552</v>
      </c>
      <c r="B3906" t="s">
        <v>7553</v>
      </c>
      <c r="C3906" t="s">
        <v>5</v>
      </c>
      <c r="D3906">
        <v>7100</v>
      </c>
    </row>
    <row r="3907" spans="1:4" x14ac:dyDescent="0.4">
      <c r="A3907" s="1" t="s">
        <v>7554</v>
      </c>
      <c r="B3907" t="s">
        <v>7555</v>
      </c>
      <c r="C3907" t="s">
        <v>5</v>
      </c>
      <c r="D3907">
        <v>3800</v>
      </c>
    </row>
    <row r="3908" spans="1:4" x14ac:dyDescent="0.4">
      <c r="A3908" s="1" t="s">
        <v>7556</v>
      </c>
      <c r="B3908" t="s">
        <v>7557</v>
      </c>
      <c r="C3908" t="s">
        <v>5</v>
      </c>
      <c r="D3908">
        <v>54227</v>
      </c>
    </row>
    <row r="3909" spans="1:4" x14ac:dyDescent="0.4">
      <c r="A3909" s="1" t="s">
        <v>7558</v>
      </c>
      <c r="B3909" t="e">
        <f>-終息- HP ﾒﾝﾃﾅﾝｽｷｯﾄ Q5421A</f>
        <v>#NAME?</v>
      </c>
      <c r="C3909" t="s">
        <v>5</v>
      </c>
    </row>
    <row r="3910" spans="1:4" x14ac:dyDescent="0.4">
      <c r="A3910" s="1" t="s">
        <v>7559</v>
      </c>
      <c r="B3910" t="s">
        <v>7560</v>
      </c>
      <c r="C3910" t="s">
        <v>5</v>
      </c>
      <c r="D3910">
        <v>47764</v>
      </c>
    </row>
    <row r="3911" spans="1:4" x14ac:dyDescent="0.4">
      <c r="A3911" s="1" t="s">
        <v>7561</v>
      </c>
      <c r="B3911" t="s">
        <v>7562</v>
      </c>
      <c r="C3911" t="s">
        <v>5</v>
      </c>
      <c r="D3911">
        <v>3100</v>
      </c>
    </row>
    <row r="3912" spans="1:4" x14ac:dyDescent="0.4">
      <c r="A3912" s="1" t="s">
        <v>7563</v>
      </c>
      <c r="B3912" t="s">
        <v>7564</v>
      </c>
      <c r="C3912" t="s">
        <v>5</v>
      </c>
      <c r="D3912">
        <v>6800</v>
      </c>
    </row>
    <row r="3913" spans="1:4" x14ac:dyDescent="0.4">
      <c r="A3913" s="1" t="s">
        <v>7565</v>
      </c>
      <c r="B3913" t="s">
        <v>7566</v>
      </c>
      <c r="C3913" t="s">
        <v>5</v>
      </c>
      <c r="D3913">
        <v>2300</v>
      </c>
    </row>
    <row r="3914" spans="1:4" x14ac:dyDescent="0.4">
      <c r="A3914" s="1" t="s">
        <v>7567</v>
      </c>
      <c r="B3914" t="s">
        <v>7568</v>
      </c>
      <c r="C3914" t="s">
        <v>5</v>
      </c>
      <c r="D3914">
        <v>4000</v>
      </c>
    </row>
    <row r="3915" spans="1:4" x14ac:dyDescent="0.4">
      <c r="A3915" s="1" t="s">
        <v>7569</v>
      </c>
      <c r="B3915" t="s">
        <v>7570</v>
      </c>
      <c r="C3915" t="s">
        <v>5</v>
      </c>
      <c r="D3915">
        <v>19900</v>
      </c>
    </row>
    <row r="3916" spans="1:4" x14ac:dyDescent="0.4">
      <c r="A3916" s="1" t="s">
        <v>7571</v>
      </c>
      <c r="B3916" t="s">
        <v>7572</v>
      </c>
      <c r="C3916" t="s">
        <v>5</v>
      </c>
      <c r="D3916">
        <v>5800</v>
      </c>
    </row>
    <row r="3917" spans="1:4" x14ac:dyDescent="0.4">
      <c r="A3917" s="1" t="s">
        <v>7573</v>
      </c>
      <c r="B3917" t="s">
        <v>7574</v>
      </c>
      <c r="C3917" t="s">
        <v>5</v>
      </c>
      <c r="D3917">
        <v>8000</v>
      </c>
    </row>
    <row r="3918" spans="1:4" x14ac:dyDescent="0.4">
      <c r="A3918" s="1" t="s">
        <v>7575</v>
      </c>
      <c r="B3918" t="s">
        <v>7576</v>
      </c>
      <c r="C3918" t="s">
        <v>5</v>
      </c>
      <c r="D3918">
        <v>3500</v>
      </c>
    </row>
    <row r="3919" spans="1:4" x14ac:dyDescent="0.4">
      <c r="A3919" s="1" t="s">
        <v>7577</v>
      </c>
      <c r="B3919" t="s">
        <v>7578</v>
      </c>
      <c r="C3919" t="s">
        <v>5</v>
      </c>
      <c r="D3919">
        <v>3000</v>
      </c>
    </row>
    <row r="3920" spans="1:4" x14ac:dyDescent="0.4">
      <c r="A3920" s="1" t="s">
        <v>7579</v>
      </c>
      <c r="B3920" t="s">
        <v>7580</v>
      </c>
      <c r="C3920" t="s">
        <v>5</v>
      </c>
      <c r="D3920">
        <v>3500</v>
      </c>
    </row>
    <row r="3921" spans="1:4" x14ac:dyDescent="0.4">
      <c r="A3921" s="1" t="s">
        <v>7581</v>
      </c>
      <c r="B3921" t="s">
        <v>7582</v>
      </c>
      <c r="C3921" t="s">
        <v>5</v>
      </c>
      <c r="D3921">
        <v>7300</v>
      </c>
    </row>
    <row r="3922" spans="1:4" x14ac:dyDescent="0.4">
      <c r="A3922" s="1" t="s">
        <v>7583</v>
      </c>
      <c r="B3922" t="s">
        <v>7584</v>
      </c>
      <c r="C3922" t="s">
        <v>5</v>
      </c>
      <c r="D3922">
        <v>4500</v>
      </c>
    </row>
    <row r="3923" spans="1:4" x14ac:dyDescent="0.4">
      <c r="A3923" s="1" t="s">
        <v>7585</v>
      </c>
      <c r="B3923" t="s">
        <v>7586</v>
      </c>
      <c r="D3923">
        <v>12000</v>
      </c>
    </row>
    <row r="3924" spans="1:4" x14ac:dyDescent="0.4">
      <c r="A3924" s="1" t="s">
        <v>7587</v>
      </c>
      <c r="B3924" t="s">
        <v>7588</v>
      </c>
      <c r="C3924" t="s">
        <v>5</v>
      </c>
      <c r="D3924">
        <v>15900</v>
      </c>
    </row>
    <row r="3925" spans="1:4" x14ac:dyDescent="0.4">
      <c r="A3925" s="1" t="s">
        <v>7589</v>
      </c>
      <c r="B3925" t="s">
        <v>7590</v>
      </c>
      <c r="C3925" t="s">
        <v>5</v>
      </c>
      <c r="D3925">
        <v>30900</v>
      </c>
    </row>
    <row r="3926" spans="1:4" x14ac:dyDescent="0.4">
      <c r="A3926" s="1" t="s">
        <v>7591</v>
      </c>
      <c r="B3926" t="s">
        <v>7592</v>
      </c>
      <c r="C3926" t="s">
        <v>5</v>
      </c>
      <c r="D3926">
        <v>18500</v>
      </c>
    </row>
    <row r="3927" spans="1:4" x14ac:dyDescent="0.4">
      <c r="A3927" s="1" t="s">
        <v>7593</v>
      </c>
      <c r="B3927" t="s">
        <v>7594</v>
      </c>
      <c r="C3927" t="s">
        <v>5</v>
      </c>
      <c r="D3927">
        <v>16200</v>
      </c>
    </row>
    <row r="3928" spans="1:4" x14ac:dyDescent="0.4">
      <c r="A3928" s="1" t="s">
        <v>7595</v>
      </c>
      <c r="B3928" t="s">
        <v>7596</v>
      </c>
      <c r="C3928" t="s">
        <v>5</v>
      </c>
      <c r="D3928">
        <v>25200</v>
      </c>
    </row>
    <row r="3929" spans="1:4" x14ac:dyDescent="0.4">
      <c r="A3929" s="1" t="s">
        <v>7597</v>
      </c>
      <c r="B3929" t="s">
        <v>7598</v>
      </c>
      <c r="C3929" t="s">
        <v>5</v>
      </c>
      <c r="D3929">
        <v>15000</v>
      </c>
    </row>
    <row r="3930" spans="1:4" x14ac:dyDescent="0.4">
      <c r="A3930" s="1" t="s">
        <v>7599</v>
      </c>
      <c r="B3930" t="s">
        <v>7600</v>
      </c>
      <c r="C3930" t="s">
        <v>5</v>
      </c>
      <c r="D3930">
        <v>11100</v>
      </c>
    </row>
    <row r="3931" spans="1:4" x14ac:dyDescent="0.4">
      <c r="A3931" s="1" t="s">
        <v>7601</v>
      </c>
      <c r="B3931" t="s">
        <v>7602</v>
      </c>
      <c r="C3931">
        <v>156493</v>
      </c>
      <c r="D3931">
        <v>3700</v>
      </c>
    </row>
    <row r="3932" spans="1:4" x14ac:dyDescent="0.4">
      <c r="A3932" s="1" t="s">
        <v>7603</v>
      </c>
      <c r="B3932" t="s">
        <v>7604</v>
      </c>
      <c r="C3932" t="s">
        <v>5</v>
      </c>
      <c r="D3932">
        <v>1500</v>
      </c>
    </row>
    <row r="3933" spans="1:4" x14ac:dyDescent="0.4">
      <c r="A3933" s="1" t="s">
        <v>7605</v>
      </c>
      <c r="B3933" t="s">
        <v>7606</v>
      </c>
      <c r="C3933" t="s">
        <v>5</v>
      </c>
      <c r="D3933">
        <v>1500</v>
      </c>
    </row>
    <row r="3934" spans="1:4" x14ac:dyDescent="0.4">
      <c r="A3934" s="1" t="s">
        <v>7607</v>
      </c>
      <c r="B3934" t="s">
        <v>7608</v>
      </c>
      <c r="C3934" t="s">
        <v>5</v>
      </c>
      <c r="D3934">
        <v>1500</v>
      </c>
    </row>
    <row r="3935" spans="1:4" x14ac:dyDescent="0.4">
      <c r="A3935" s="1" t="s">
        <v>7609</v>
      </c>
      <c r="B3935" t="s">
        <v>7610</v>
      </c>
      <c r="C3935" t="s">
        <v>5</v>
      </c>
      <c r="D3935">
        <v>1500</v>
      </c>
    </row>
    <row r="3936" spans="1:4" x14ac:dyDescent="0.4">
      <c r="A3936" s="1" t="s">
        <v>7611</v>
      </c>
      <c r="B3936" t="s">
        <v>7612</v>
      </c>
      <c r="C3936" t="s">
        <v>5</v>
      </c>
      <c r="D3936">
        <v>1500</v>
      </c>
    </row>
    <row r="3937" spans="1:4" x14ac:dyDescent="0.4">
      <c r="A3937" s="1" t="s">
        <v>7613</v>
      </c>
      <c r="B3937" t="s">
        <v>7614</v>
      </c>
      <c r="C3937" t="s">
        <v>5</v>
      </c>
      <c r="D3937">
        <v>32000</v>
      </c>
    </row>
    <row r="3938" spans="1:4" x14ac:dyDescent="0.4">
      <c r="A3938" s="1" t="s">
        <v>7615</v>
      </c>
      <c r="B3938" t="s">
        <v>7616</v>
      </c>
      <c r="C3938" t="s">
        <v>5</v>
      </c>
      <c r="D3938">
        <v>14000</v>
      </c>
    </row>
    <row r="3939" spans="1:4" x14ac:dyDescent="0.4">
      <c r="A3939" s="1" t="s">
        <v>7617</v>
      </c>
      <c r="B3939" t="s">
        <v>7618</v>
      </c>
      <c r="C3939" t="s">
        <v>5</v>
      </c>
      <c r="D3939">
        <v>45000</v>
      </c>
    </row>
    <row r="3940" spans="1:4" x14ac:dyDescent="0.4">
      <c r="A3940" s="1" t="s">
        <v>7619</v>
      </c>
      <c r="B3940" t="s">
        <v>7620</v>
      </c>
      <c r="C3940" t="s">
        <v>5</v>
      </c>
      <c r="D3940">
        <v>25500</v>
      </c>
    </row>
    <row r="3941" spans="1:4" x14ac:dyDescent="0.4">
      <c r="A3941" s="1" t="s">
        <v>7621</v>
      </c>
      <c r="B3941" t="s">
        <v>7622</v>
      </c>
      <c r="C3941" t="s">
        <v>5</v>
      </c>
    </row>
    <row r="3942" spans="1:4" x14ac:dyDescent="0.4">
      <c r="A3942" s="1" t="s">
        <v>7623</v>
      </c>
      <c r="B3942" t="s">
        <v>7624</v>
      </c>
      <c r="C3942" t="s">
        <v>5</v>
      </c>
    </row>
    <row r="3943" spans="1:4" x14ac:dyDescent="0.4">
      <c r="A3943" s="1" t="s">
        <v>7625</v>
      </c>
      <c r="B3943" t="s">
        <v>7626</v>
      </c>
      <c r="C3943" t="s">
        <v>5</v>
      </c>
    </row>
    <row r="3944" spans="1:4" x14ac:dyDescent="0.4">
      <c r="A3944" s="1" t="s">
        <v>7627</v>
      </c>
      <c r="B3944" t="s">
        <v>7628</v>
      </c>
      <c r="C3944" t="s">
        <v>5</v>
      </c>
    </row>
    <row r="3945" spans="1:4" x14ac:dyDescent="0.4">
      <c r="A3945" s="1" t="s">
        <v>7629</v>
      </c>
      <c r="B3945" t="s">
        <v>7630</v>
      </c>
      <c r="C3945" t="s">
        <v>5</v>
      </c>
    </row>
    <row r="3946" spans="1:4" x14ac:dyDescent="0.4">
      <c r="A3946" s="1" t="s">
        <v>7631</v>
      </c>
      <c r="B3946" t="s">
        <v>7632</v>
      </c>
      <c r="C3946" t="s">
        <v>5</v>
      </c>
    </row>
    <row r="3947" spans="1:4" x14ac:dyDescent="0.4">
      <c r="A3947" s="1" t="s">
        <v>7633</v>
      </c>
      <c r="B3947" t="s">
        <v>7634</v>
      </c>
      <c r="C3947" t="s">
        <v>5</v>
      </c>
    </row>
    <row r="3948" spans="1:4" x14ac:dyDescent="0.4">
      <c r="A3948" s="1" t="s">
        <v>7635</v>
      </c>
      <c r="B3948" t="s">
        <v>7636</v>
      </c>
      <c r="C3948" t="s">
        <v>5</v>
      </c>
      <c r="D3948">
        <v>23900</v>
      </c>
    </row>
    <row r="3949" spans="1:4" x14ac:dyDescent="0.4">
      <c r="A3949" s="1" t="s">
        <v>7637</v>
      </c>
      <c r="B3949" t="s">
        <v>7638</v>
      </c>
      <c r="C3949" t="s">
        <v>5</v>
      </c>
      <c r="D3949">
        <v>64100</v>
      </c>
    </row>
    <row r="3950" spans="1:4" x14ac:dyDescent="0.4">
      <c r="A3950" s="1" t="s">
        <v>7639</v>
      </c>
      <c r="B3950" t="s">
        <v>7640</v>
      </c>
      <c r="C3950" t="s">
        <v>5</v>
      </c>
      <c r="D3950">
        <v>23900</v>
      </c>
    </row>
    <row r="3951" spans="1:4" x14ac:dyDescent="0.4">
      <c r="A3951" s="1" t="s">
        <v>7641</v>
      </c>
      <c r="B3951" t="s">
        <v>7642</v>
      </c>
      <c r="C3951" t="s">
        <v>5</v>
      </c>
      <c r="D3951">
        <v>64100</v>
      </c>
    </row>
    <row r="3952" spans="1:4" x14ac:dyDescent="0.4">
      <c r="A3952" s="1" t="s">
        <v>7643</v>
      </c>
      <c r="B3952" t="s">
        <v>7644</v>
      </c>
      <c r="C3952" t="s">
        <v>5</v>
      </c>
      <c r="D3952">
        <v>23900</v>
      </c>
    </row>
    <row r="3953" spans="1:4" x14ac:dyDescent="0.4">
      <c r="A3953" s="1" t="s">
        <v>7645</v>
      </c>
      <c r="B3953" t="s">
        <v>7646</v>
      </c>
      <c r="C3953" t="s">
        <v>5</v>
      </c>
      <c r="D3953">
        <v>64100</v>
      </c>
    </row>
    <row r="3954" spans="1:4" x14ac:dyDescent="0.4">
      <c r="A3954" s="1" t="s">
        <v>7647</v>
      </c>
      <c r="B3954" t="s">
        <v>7648</v>
      </c>
      <c r="C3954" t="s">
        <v>5</v>
      </c>
      <c r="D3954">
        <v>23900</v>
      </c>
    </row>
    <row r="3955" spans="1:4" x14ac:dyDescent="0.4">
      <c r="A3955" s="1" t="s">
        <v>7649</v>
      </c>
      <c r="B3955" t="s">
        <v>7650</v>
      </c>
      <c r="C3955" t="s">
        <v>5</v>
      </c>
      <c r="D3955">
        <v>64100</v>
      </c>
    </row>
    <row r="3956" spans="1:4" x14ac:dyDescent="0.4">
      <c r="A3956" s="1" t="s">
        <v>7651</v>
      </c>
      <c r="B3956" t="s">
        <v>7652</v>
      </c>
      <c r="C3956" t="s">
        <v>5</v>
      </c>
      <c r="D3956">
        <v>23900</v>
      </c>
    </row>
    <row r="3957" spans="1:4" x14ac:dyDescent="0.4">
      <c r="A3957" s="1" t="s">
        <v>7653</v>
      </c>
      <c r="B3957" t="s">
        <v>7654</v>
      </c>
      <c r="C3957" t="s">
        <v>5</v>
      </c>
      <c r="D3957">
        <v>64100</v>
      </c>
    </row>
    <row r="3958" spans="1:4" x14ac:dyDescent="0.4">
      <c r="A3958" s="1" t="s">
        <v>7655</v>
      </c>
      <c r="B3958" t="s">
        <v>7656</v>
      </c>
      <c r="C3958" t="s">
        <v>5</v>
      </c>
      <c r="D3958">
        <v>23900</v>
      </c>
    </row>
    <row r="3959" spans="1:4" x14ac:dyDescent="0.4">
      <c r="A3959" s="1" t="s">
        <v>7657</v>
      </c>
      <c r="B3959" t="s">
        <v>7658</v>
      </c>
      <c r="C3959" t="s">
        <v>5</v>
      </c>
      <c r="D3959">
        <v>64100</v>
      </c>
    </row>
    <row r="3960" spans="1:4" x14ac:dyDescent="0.4">
      <c r="A3960" s="1" t="s">
        <v>7659</v>
      </c>
      <c r="B3960" t="s">
        <v>7660</v>
      </c>
      <c r="C3960" t="s">
        <v>5</v>
      </c>
      <c r="D3960">
        <v>38700</v>
      </c>
    </row>
    <row r="3961" spans="1:4" x14ac:dyDescent="0.4">
      <c r="A3961" s="1" t="s">
        <v>7661</v>
      </c>
      <c r="B3961" t="s">
        <v>7662</v>
      </c>
      <c r="C3961" t="s">
        <v>5</v>
      </c>
      <c r="D3961">
        <v>23900</v>
      </c>
    </row>
    <row r="3962" spans="1:4" x14ac:dyDescent="0.4">
      <c r="A3962" s="1" t="s">
        <v>7663</v>
      </c>
      <c r="B3962" t="s">
        <v>7664</v>
      </c>
      <c r="C3962" t="s">
        <v>5</v>
      </c>
      <c r="D3962">
        <v>64100</v>
      </c>
    </row>
    <row r="3963" spans="1:4" x14ac:dyDescent="0.4">
      <c r="A3963" s="1" t="s">
        <v>7665</v>
      </c>
      <c r="B3963" t="s">
        <v>7666</v>
      </c>
      <c r="C3963" t="s">
        <v>5</v>
      </c>
      <c r="D3963">
        <v>23900</v>
      </c>
    </row>
    <row r="3964" spans="1:4" x14ac:dyDescent="0.4">
      <c r="A3964" s="1" t="s">
        <v>7667</v>
      </c>
      <c r="B3964" t="s">
        <v>7668</v>
      </c>
      <c r="C3964" t="s">
        <v>5</v>
      </c>
      <c r="D3964">
        <v>64100</v>
      </c>
    </row>
    <row r="3965" spans="1:4" x14ac:dyDescent="0.4">
      <c r="A3965" s="1" t="s">
        <v>7669</v>
      </c>
      <c r="B3965" t="s">
        <v>7670</v>
      </c>
      <c r="C3965" t="s">
        <v>5</v>
      </c>
      <c r="D3965">
        <v>34700</v>
      </c>
    </row>
    <row r="3966" spans="1:4" x14ac:dyDescent="0.4">
      <c r="A3966" s="1" t="s">
        <v>7671</v>
      </c>
      <c r="B3966" t="s">
        <v>7672</v>
      </c>
      <c r="C3966" t="s">
        <v>5</v>
      </c>
      <c r="D3966">
        <v>23900</v>
      </c>
    </row>
    <row r="3967" spans="1:4" x14ac:dyDescent="0.4">
      <c r="A3967" s="1" t="s">
        <v>7673</v>
      </c>
      <c r="B3967" t="s">
        <v>7674</v>
      </c>
      <c r="C3967" t="s">
        <v>5</v>
      </c>
      <c r="D3967">
        <v>64100</v>
      </c>
    </row>
    <row r="3968" spans="1:4" x14ac:dyDescent="0.4">
      <c r="A3968" s="1" t="s">
        <v>7675</v>
      </c>
      <c r="B3968" t="s">
        <v>7676</v>
      </c>
      <c r="C3968" t="s">
        <v>5</v>
      </c>
      <c r="D3968">
        <v>9100</v>
      </c>
    </row>
    <row r="3969" spans="1:4" x14ac:dyDescent="0.4">
      <c r="A3969" s="1" t="s">
        <v>7677</v>
      </c>
      <c r="B3969" t="s">
        <v>7678</v>
      </c>
      <c r="C3969" t="s">
        <v>5</v>
      </c>
      <c r="D3969">
        <v>9100</v>
      </c>
    </row>
    <row r="3970" spans="1:4" x14ac:dyDescent="0.4">
      <c r="A3970" s="1" t="s">
        <v>7679</v>
      </c>
      <c r="B3970" t="s">
        <v>7680</v>
      </c>
      <c r="C3970" t="s">
        <v>5</v>
      </c>
      <c r="D3970">
        <v>9100</v>
      </c>
    </row>
    <row r="3971" spans="1:4" x14ac:dyDescent="0.4">
      <c r="A3971" s="1" t="s">
        <v>7681</v>
      </c>
      <c r="B3971" t="s">
        <v>7682</v>
      </c>
      <c r="C3971" t="s">
        <v>5</v>
      </c>
      <c r="D3971">
        <v>9100</v>
      </c>
    </row>
    <row r="3972" spans="1:4" x14ac:dyDescent="0.4">
      <c r="A3972" s="1" t="s">
        <v>7683</v>
      </c>
      <c r="B3972" t="s">
        <v>7684</v>
      </c>
      <c r="C3972" t="s">
        <v>5</v>
      </c>
      <c r="D3972">
        <v>9100</v>
      </c>
    </row>
    <row r="3973" spans="1:4" x14ac:dyDescent="0.4">
      <c r="A3973" s="1" t="s">
        <v>7685</v>
      </c>
      <c r="B3973" t="s">
        <v>7686</v>
      </c>
      <c r="C3973" t="s">
        <v>5</v>
      </c>
      <c r="D3973">
        <v>9100</v>
      </c>
    </row>
    <row r="3974" spans="1:4" x14ac:dyDescent="0.4">
      <c r="A3974" s="1" t="s">
        <v>7687</v>
      </c>
      <c r="B3974" t="s">
        <v>7688</v>
      </c>
      <c r="C3974" t="s">
        <v>5</v>
      </c>
      <c r="D3974">
        <v>9100</v>
      </c>
    </row>
    <row r="3975" spans="1:4" x14ac:dyDescent="0.4">
      <c r="A3975" s="1" t="s">
        <v>7689</v>
      </c>
      <c r="B3975" t="s">
        <v>7690</v>
      </c>
      <c r="C3975" t="s">
        <v>5</v>
      </c>
      <c r="D3975">
        <v>9100</v>
      </c>
    </row>
    <row r="3976" spans="1:4" x14ac:dyDescent="0.4">
      <c r="A3976" s="1" t="s">
        <v>7691</v>
      </c>
      <c r="B3976" t="s">
        <v>7692</v>
      </c>
      <c r="C3976" t="s">
        <v>5</v>
      </c>
      <c r="D3976">
        <v>9100</v>
      </c>
    </row>
    <row r="3977" spans="1:4" x14ac:dyDescent="0.4">
      <c r="A3977" s="1" t="s">
        <v>7693</v>
      </c>
      <c r="B3977" t="s">
        <v>7694</v>
      </c>
      <c r="C3977" t="s">
        <v>5</v>
      </c>
      <c r="D3977">
        <v>9100</v>
      </c>
    </row>
    <row r="3978" spans="1:4" x14ac:dyDescent="0.4">
      <c r="A3978" s="1" t="s">
        <v>7695</v>
      </c>
      <c r="B3978" t="s">
        <v>7696</v>
      </c>
      <c r="C3978" t="s">
        <v>5</v>
      </c>
      <c r="D3978">
        <v>9100</v>
      </c>
    </row>
    <row r="3979" spans="1:4" x14ac:dyDescent="0.4">
      <c r="A3979" s="1" t="s">
        <v>7697</v>
      </c>
      <c r="B3979" t="s">
        <v>7698</v>
      </c>
      <c r="C3979" t="s">
        <v>5</v>
      </c>
    </row>
    <row r="3980" spans="1:4" x14ac:dyDescent="0.4">
      <c r="A3980" s="1" t="s">
        <v>7699</v>
      </c>
      <c r="B3980" t="s">
        <v>7700</v>
      </c>
      <c r="C3980" t="s">
        <v>5</v>
      </c>
    </row>
    <row r="3981" spans="1:4" x14ac:dyDescent="0.4">
      <c r="A3981" s="1" t="s">
        <v>7701</v>
      </c>
      <c r="B3981" t="s">
        <v>7702</v>
      </c>
      <c r="C3981" t="s">
        <v>5</v>
      </c>
      <c r="D3981">
        <v>9100</v>
      </c>
    </row>
    <row r="3982" spans="1:4" x14ac:dyDescent="0.4">
      <c r="A3982" s="1" t="s">
        <v>7703</v>
      </c>
      <c r="B3982" t="s">
        <v>7704</v>
      </c>
      <c r="C3982" t="s">
        <v>5</v>
      </c>
      <c r="D3982">
        <v>5300</v>
      </c>
    </row>
    <row r="3983" spans="1:4" x14ac:dyDescent="0.4">
      <c r="A3983" s="1" t="s">
        <v>7705</v>
      </c>
      <c r="B3983" t="s">
        <v>7706</v>
      </c>
      <c r="C3983" t="s">
        <v>5</v>
      </c>
      <c r="D3983">
        <v>3100</v>
      </c>
    </row>
    <row r="3984" spans="1:4" x14ac:dyDescent="0.4">
      <c r="A3984" s="1" t="s">
        <v>7707</v>
      </c>
      <c r="B3984" t="s">
        <v>7708</v>
      </c>
      <c r="C3984" t="s">
        <v>5</v>
      </c>
      <c r="D3984">
        <v>7000</v>
      </c>
    </row>
    <row r="3985" spans="1:4" x14ac:dyDescent="0.4">
      <c r="A3985" s="1" t="s">
        <v>7709</v>
      </c>
      <c r="B3985" t="s">
        <v>7710</v>
      </c>
      <c r="C3985" t="s">
        <v>5</v>
      </c>
      <c r="D3985">
        <v>6400</v>
      </c>
    </row>
    <row r="3986" spans="1:4" x14ac:dyDescent="0.4">
      <c r="A3986" s="1" t="s">
        <v>7711</v>
      </c>
      <c r="B3986" t="s">
        <v>7712</v>
      </c>
      <c r="C3986" t="s">
        <v>5</v>
      </c>
      <c r="D3986">
        <v>5300</v>
      </c>
    </row>
    <row r="3987" spans="1:4" x14ac:dyDescent="0.4">
      <c r="A3987" s="1" t="s">
        <v>7713</v>
      </c>
      <c r="B3987" t="s">
        <v>7714</v>
      </c>
      <c r="C3987" t="s">
        <v>5</v>
      </c>
      <c r="D3987">
        <v>5300</v>
      </c>
    </row>
    <row r="3988" spans="1:4" x14ac:dyDescent="0.4">
      <c r="A3988" s="1" t="s">
        <v>7715</v>
      </c>
      <c r="B3988" t="s">
        <v>7716</v>
      </c>
      <c r="C3988" t="s">
        <v>5</v>
      </c>
      <c r="D3988">
        <v>3100</v>
      </c>
    </row>
    <row r="3989" spans="1:4" x14ac:dyDescent="0.4">
      <c r="A3989" s="1" t="s">
        <v>7717</v>
      </c>
      <c r="B3989" t="s">
        <v>7718</v>
      </c>
      <c r="C3989" t="s">
        <v>5</v>
      </c>
      <c r="D3989">
        <v>5300</v>
      </c>
    </row>
    <row r="3990" spans="1:4" x14ac:dyDescent="0.4">
      <c r="A3990" s="1" t="s">
        <v>7719</v>
      </c>
      <c r="B3990" t="s">
        <v>7720</v>
      </c>
      <c r="C3990" t="s">
        <v>5</v>
      </c>
      <c r="D3990">
        <v>3100</v>
      </c>
    </row>
    <row r="3991" spans="1:4" x14ac:dyDescent="0.4">
      <c r="A3991" s="1" t="s">
        <v>7721</v>
      </c>
      <c r="B3991" t="s">
        <v>7722</v>
      </c>
      <c r="C3991" t="s">
        <v>5</v>
      </c>
      <c r="D3991">
        <v>8500</v>
      </c>
    </row>
    <row r="3992" spans="1:4" x14ac:dyDescent="0.4">
      <c r="A3992" s="1" t="s">
        <v>7723</v>
      </c>
      <c r="B3992" t="s">
        <v>7724</v>
      </c>
      <c r="C3992" t="s">
        <v>5</v>
      </c>
      <c r="D3992">
        <v>22600</v>
      </c>
    </row>
    <row r="3993" spans="1:4" x14ac:dyDescent="0.4">
      <c r="A3993" s="1" t="s">
        <v>7725</v>
      </c>
      <c r="B3993" t="s">
        <v>7726</v>
      </c>
      <c r="C3993" t="s">
        <v>5</v>
      </c>
      <c r="D3993">
        <v>31800</v>
      </c>
    </row>
    <row r="3994" spans="1:4" x14ac:dyDescent="0.4">
      <c r="A3994" s="1" t="s">
        <v>7727</v>
      </c>
      <c r="B3994" t="s">
        <v>7728</v>
      </c>
      <c r="C3994" t="s">
        <v>5</v>
      </c>
      <c r="D3994">
        <v>8500</v>
      </c>
    </row>
    <row r="3995" spans="1:4" x14ac:dyDescent="0.4">
      <c r="A3995" s="1" t="s">
        <v>7729</v>
      </c>
      <c r="B3995" t="s">
        <v>7730</v>
      </c>
      <c r="C3995" t="s">
        <v>5</v>
      </c>
      <c r="D3995">
        <v>22600</v>
      </c>
    </row>
    <row r="3996" spans="1:4" x14ac:dyDescent="0.4">
      <c r="A3996" s="1" t="s">
        <v>7731</v>
      </c>
      <c r="B3996" t="s">
        <v>7732</v>
      </c>
      <c r="C3996" t="s">
        <v>5</v>
      </c>
      <c r="D3996">
        <v>31800</v>
      </c>
    </row>
    <row r="3997" spans="1:4" x14ac:dyDescent="0.4">
      <c r="A3997" s="1" t="s">
        <v>7733</v>
      </c>
      <c r="B3997" t="s">
        <v>7734</v>
      </c>
      <c r="C3997" t="s">
        <v>5</v>
      </c>
      <c r="D3997">
        <v>8500</v>
      </c>
    </row>
    <row r="3998" spans="1:4" x14ac:dyDescent="0.4">
      <c r="A3998" s="1" t="s">
        <v>7735</v>
      </c>
      <c r="B3998" t="s">
        <v>7736</v>
      </c>
      <c r="C3998" t="s">
        <v>5</v>
      </c>
      <c r="D3998">
        <v>22600</v>
      </c>
    </row>
    <row r="3999" spans="1:4" x14ac:dyDescent="0.4">
      <c r="A3999" s="1" t="s">
        <v>7737</v>
      </c>
      <c r="B3999" t="s">
        <v>7738</v>
      </c>
      <c r="C3999" t="s">
        <v>5</v>
      </c>
      <c r="D3999">
        <v>31800</v>
      </c>
    </row>
    <row r="4000" spans="1:4" x14ac:dyDescent="0.4">
      <c r="A4000" s="1" t="s">
        <v>7739</v>
      </c>
      <c r="B4000" t="s">
        <v>7740</v>
      </c>
      <c r="C4000" t="s">
        <v>5</v>
      </c>
      <c r="D4000">
        <v>8500</v>
      </c>
    </row>
    <row r="4001" spans="1:4" x14ac:dyDescent="0.4">
      <c r="A4001" s="1" t="s">
        <v>7741</v>
      </c>
      <c r="B4001" t="s">
        <v>7742</v>
      </c>
      <c r="C4001" t="s">
        <v>5</v>
      </c>
      <c r="D4001">
        <v>22600</v>
      </c>
    </row>
    <row r="4002" spans="1:4" x14ac:dyDescent="0.4">
      <c r="A4002" s="1" t="s">
        <v>7743</v>
      </c>
      <c r="B4002" t="s">
        <v>7744</v>
      </c>
      <c r="C4002" t="s">
        <v>5</v>
      </c>
      <c r="D4002">
        <v>31800</v>
      </c>
    </row>
    <row r="4003" spans="1:4" x14ac:dyDescent="0.4">
      <c r="A4003" s="1" t="s">
        <v>7745</v>
      </c>
      <c r="B4003" t="s">
        <v>7746</v>
      </c>
      <c r="C4003" t="s">
        <v>5</v>
      </c>
      <c r="D4003">
        <v>7900</v>
      </c>
    </row>
    <row r="4004" spans="1:4" x14ac:dyDescent="0.4">
      <c r="A4004" s="1" t="s">
        <v>7747</v>
      </c>
      <c r="B4004" t="s">
        <v>7748</v>
      </c>
      <c r="C4004" t="s">
        <v>5</v>
      </c>
      <c r="D4004">
        <v>15100</v>
      </c>
    </row>
    <row r="4005" spans="1:4" x14ac:dyDescent="0.4">
      <c r="A4005" s="1" t="s">
        <v>7749</v>
      </c>
      <c r="B4005" t="s">
        <v>7750</v>
      </c>
      <c r="C4005" t="s">
        <v>5</v>
      </c>
      <c r="D4005">
        <v>25500</v>
      </c>
    </row>
    <row r="4006" spans="1:4" x14ac:dyDescent="0.4">
      <c r="A4006" s="1" t="s">
        <v>7751</v>
      </c>
      <c r="B4006" t="s">
        <v>7752</v>
      </c>
      <c r="C4006" t="s">
        <v>5</v>
      </c>
      <c r="D4006">
        <v>7900</v>
      </c>
    </row>
    <row r="4007" spans="1:4" x14ac:dyDescent="0.4">
      <c r="A4007" s="1" t="s">
        <v>7753</v>
      </c>
      <c r="B4007" t="s">
        <v>7754</v>
      </c>
      <c r="C4007" t="s">
        <v>5</v>
      </c>
      <c r="D4007">
        <v>15100</v>
      </c>
    </row>
    <row r="4008" spans="1:4" x14ac:dyDescent="0.4">
      <c r="A4008" s="1" t="s">
        <v>7755</v>
      </c>
      <c r="B4008" t="s">
        <v>7756</v>
      </c>
      <c r="C4008" t="s">
        <v>5</v>
      </c>
      <c r="D4008">
        <v>25500</v>
      </c>
    </row>
    <row r="4009" spans="1:4" x14ac:dyDescent="0.4">
      <c r="A4009" s="1" t="s">
        <v>7757</v>
      </c>
      <c r="B4009" t="s">
        <v>7758</v>
      </c>
      <c r="C4009" t="s">
        <v>5</v>
      </c>
      <c r="D4009">
        <v>7900</v>
      </c>
    </row>
    <row r="4010" spans="1:4" x14ac:dyDescent="0.4">
      <c r="A4010" s="1" t="s">
        <v>7759</v>
      </c>
      <c r="B4010" t="s">
        <v>7760</v>
      </c>
      <c r="C4010" t="s">
        <v>5</v>
      </c>
      <c r="D4010">
        <v>15100</v>
      </c>
    </row>
    <row r="4011" spans="1:4" x14ac:dyDescent="0.4">
      <c r="A4011" s="1" t="s">
        <v>7761</v>
      </c>
      <c r="B4011" t="s">
        <v>7762</v>
      </c>
      <c r="C4011" t="s">
        <v>5</v>
      </c>
      <c r="D4011">
        <v>25500</v>
      </c>
    </row>
    <row r="4012" spans="1:4" x14ac:dyDescent="0.4">
      <c r="A4012" s="1" t="s">
        <v>7763</v>
      </c>
      <c r="B4012" t="s">
        <v>7764</v>
      </c>
      <c r="C4012" t="s">
        <v>5</v>
      </c>
      <c r="D4012">
        <v>7900</v>
      </c>
    </row>
    <row r="4013" spans="1:4" x14ac:dyDescent="0.4">
      <c r="A4013" s="1" t="s">
        <v>7765</v>
      </c>
      <c r="B4013" t="s">
        <v>7766</v>
      </c>
      <c r="C4013" t="s">
        <v>5</v>
      </c>
      <c r="D4013">
        <v>15100</v>
      </c>
    </row>
    <row r="4014" spans="1:4" x14ac:dyDescent="0.4">
      <c r="A4014" s="1" t="s">
        <v>7767</v>
      </c>
      <c r="B4014" t="s">
        <v>7768</v>
      </c>
      <c r="C4014" t="s">
        <v>5</v>
      </c>
      <c r="D4014">
        <v>25500</v>
      </c>
    </row>
    <row r="4015" spans="1:4" x14ac:dyDescent="0.4">
      <c r="A4015" s="1" t="s">
        <v>7769</v>
      </c>
      <c r="B4015" t="s">
        <v>7770</v>
      </c>
      <c r="C4015" t="s">
        <v>5</v>
      </c>
      <c r="D4015">
        <v>7900</v>
      </c>
    </row>
    <row r="4016" spans="1:4" x14ac:dyDescent="0.4">
      <c r="A4016" s="1" t="s">
        <v>7771</v>
      </c>
      <c r="B4016" t="s">
        <v>7772</v>
      </c>
      <c r="C4016" t="s">
        <v>5</v>
      </c>
      <c r="D4016">
        <v>15100</v>
      </c>
    </row>
    <row r="4017" spans="1:4" x14ac:dyDescent="0.4">
      <c r="A4017" s="1" t="s">
        <v>7773</v>
      </c>
      <c r="B4017" t="s">
        <v>7774</v>
      </c>
      <c r="C4017" t="s">
        <v>5</v>
      </c>
      <c r="D4017">
        <v>25500</v>
      </c>
    </row>
    <row r="4018" spans="1:4" x14ac:dyDescent="0.4">
      <c r="A4018" s="1" t="s">
        <v>7775</v>
      </c>
      <c r="B4018" t="s">
        <v>7776</v>
      </c>
      <c r="C4018" t="s">
        <v>5</v>
      </c>
      <c r="D4018">
        <v>7900</v>
      </c>
    </row>
    <row r="4019" spans="1:4" x14ac:dyDescent="0.4">
      <c r="A4019" s="1" t="s">
        <v>7777</v>
      </c>
      <c r="B4019" t="s">
        <v>7778</v>
      </c>
      <c r="C4019" t="s">
        <v>5</v>
      </c>
      <c r="D4019">
        <v>15100</v>
      </c>
    </row>
    <row r="4020" spans="1:4" x14ac:dyDescent="0.4">
      <c r="A4020" s="1" t="s">
        <v>7779</v>
      </c>
      <c r="B4020" t="s">
        <v>7780</v>
      </c>
      <c r="C4020" t="s">
        <v>5</v>
      </c>
      <c r="D4020">
        <v>25500</v>
      </c>
    </row>
    <row r="4021" spans="1:4" x14ac:dyDescent="0.4">
      <c r="A4021" s="1" t="s">
        <v>7781</v>
      </c>
      <c r="B4021" t="s">
        <v>7782</v>
      </c>
      <c r="C4021" t="s">
        <v>5</v>
      </c>
      <c r="D4021">
        <v>7900</v>
      </c>
    </row>
    <row r="4022" spans="1:4" x14ac:dyDescent="0.4">
      <c r="A4022" s="1" t="s">
        <v>7783</v>
      </c>
      <c r="B4022" t="s">
        <v>7784</v>
      </c>
      <c r="C4022" t="s">
        <v>5</v>
      </c>
      <c r="D4022">
        <v>15100</v>
      </c>
    </row>
    <row r="4023" spans="1:4" x14ac:dyDescent="0.4">
      <c r="A4023" s="1" t="s">
        <v>7785</v>
      </c>
      <c r="B4023" t="s">
        <v>7786</v>
      </c>
      <c r="C4023" t="s">
        <v>5</v>
      </c>
      <c r="D4023">
        <v>25500</v>
      </c>
    </row>
    <row r="4024" spans="1:4" x14ac:dyDescent="0.4">
      <c r="A4024" s="1" t="s">
        <v>7787</v>
      </c>
      <c r="B4024" t="s">
        <v>7788</v>
      </c>
      <c r="C4024" t="s">
        <v>5</v>
      </c>
      <c r="D4024">
        <v>7900</v>
      </c>
    </row>
    <row r="4025" spans="1:4" x14ac:dyDescent="0.4">
      <c r="A4025" s="1" t="s">
        <v>7789</v>
      </c>
      <c r="B4025" t="s">
        <v>7790</v>
      </c>
      <c r="C4025" t="s">
        <v>5</v>
      </c>
      <c r="D4025">
        <v>15100</v>
      </c>
    </row>
    <row r="4026" spans="1:4" x14ac:dyDescent="0.4">
      <c r="A4026" s="1" t="s">
        <v>7791</v>
      </c>
      <c r="B4026" t="s">
        <v>7792</v>
      </c>
      <c r="C4026" t="s">
        <v>5</v>
      </c>
      <c r="D4026">
        <v>25500</v>
      </c>
    </row>
    <row r="4027" spans="1:4" x14ac:dyDescent="0.4">
      <c r="A4027" s="1" t="s">
        <v>7793</v>
      </c>
      <c r="B4027" t="s">
        <v>7794</v>
      </c>
      <c r="C4027" t="s">
        <v>5</v>
      </c>
      <c r="D4027">
        <v>7900</v>
      </c>
    </row>
    <row r="4028" spans="1:4" x14ac:dyDescent="0.4">
      <c r="A4028" s="1" t="s">
        <v>7795</v>
      </c>
      <c r="B4028" t="s">
        <v>7796</v>
      </c>
      <c r="C4028" t="s">
        <v>5</v>
      </c>
      <c r="D4028">
        <v>15100</v>
      </c>
    </row>
    <row r="4029" spans="1:4" x14ac:dyDescent="0.4">
      <c r="A4029" s="1" t="s">
        <v>7797</v>
      </c>
      <c r="B4029" t="s">
        <v>7798</v>
      </c>
      <c r="C4029" t="s">
        <v>5</v>
      </c>
      <c r="D4029">
        <v>25500</v>
      </c>
    </row>
    <row r="4030" spans="1:4" x14ac:dyDescent="0.4">
      <c r="A4030" s="1" t="s">
        <v>7799</v>
      </c>
      <c r="B4030" t="s">
        <v>7800</v>
      </c>
      <c r="C4030" t="s">
        <v>5</v>
      </c>
      <c r="D4030">
        <v>7900</v>
      </c>
    </row>
    <row r="4031" spans="1:4" x14ac:dyDescent="0.4">
      <c r="A4031" s="1" t="s">
        <v>7801</v>
      </c>
      <c r="B4031" t="s">
        <v>7802</v>
      </c>
      <c r="C4031" t="s">
        <v>5</v>
      </c>
      <c r="D4031">
        <v>15100</v>
      </c>
    </row>
    <row r="4032" spans="1:4" x14ac:dyDescent="0.4">
      <c r="A4032" s="1" t="s">
        <v>7803</v>
      </c>
      <c r="B4032" t="s">
        <v>7804</v>
      </c>
      <c r="C4032" t="s">
        <v>5</v>
      </c>
      <c r="D4032">
        <v>25500</v>
      </c>
    </row>
    <row r="4033" spans="1:4" x14ac:dyDescent="0.4">
      <c r="A4033" s="1" t="s">
        <v>7805</v>
      </c>
      <c r="B4033" t="s">
        <v>7806</v>
      </c>
      <c r="C4033" t="s">
        <v>5</v>
      </c>
      <c r="D4033">
        <v>7900</v>
      </c>
    </row>
    <row r="4034" spans="1:4" x14ac:dyDescent="0.4">
      <c r="A4034" s="1" t="s">
        <v>7807</v>
      </c>
      <c r="B4034" t="s">
        <v>7808</v>
      </c>
      <c r="C4034" t="s">
        <v>5</v>
      </c>
      <c r="D4034">
        <v>15100</v>
      </c>
    </row>
    <row r="4035" spans="1:4" x14ac:dyDescent="0.4">
      <c r="A4035" s="1" t="s">
        <v>7809</v>
      </c>
      <c r="B4035" t="s">
        <v>7810</v>
      </c>
      <c r="C4035" t="s">
        <v>5</v>
      </c>
      <c r="D4035">
        <v>25500</v>
      </c>
    </row>
    <row r="4036" spans="1:4" x14ac:dyDescent="0.4">
      <c r="A4036" s="1" t="s">
        <v>7811</v>
      </c>
      <c r="B4036" t="s">
        <v>7812</v>
      </c>
      <c r="C4036" t="s">
        <v>5</v>
      </c>
    </row>
    <row r="4037" spans="1:4" x14ac:dyDescent="0.4">
      <c r="A4037" s="1" t="s">
        <v>7813</v>
      </c>
      <c r="B4037" t="s">
        <v>7814</v>
      </c>
      <c r="C4037" t="s">
        <v>5</v>
      </c>
    </row>
    <row r="4038" spans="1:4" x14ac:dyDescent="0.4">
      <c r="A4038" s="1" t="s">
        <v>7815</v>
      </c>
      <c r="B4038" t="s">
        <v>7816</v>
      </c>
      <c r="C4038" t="s">
        <v>5</v>
      </c>
      <c r="D4038">
        <v>7900</v>
      </c>
    </row>
    <row r="4039" spans="1:4" x14ac:dyDescent="0.4">
      <c r="A4039" s="1" t="s">
        <v>7817</v>
      </c>
      <c r="B4039" t="s">
        <v>7818</v>
      </c>
      <c r="C4039" t="s">
        <v>5</v>
      </c>
      <c r="D4039">
        <v>15100</v>
      </c>
    </row>
    <row r="4040" spans="1:4" x14ac:dyDescent="0.4">
      <c r="A4040" s="1" t="s">
        <v>7819</v>
      </c>
      <c r="B4040" t="s">
        <v>7820</v>
      </c>
      <c r="C4040" t="s">
        <v>5</v>
      </c>
      <c r="D4040">
        <v>25500</v>
      </c>
    </row>
    <row r="4041" spans="1:4" x14ac:dyDescent="0.4">
      <c r="A4041" s="1" t="s">
        <v>7821</v>
      </c>
      <c r="B4041" t="s">
        <v>7822</v>
      </c>
      <c r="C4041" t="s">
        <v>5</v>
      </c>
      <c r="D4041">
        <v>7600</v>
      </c>
    </row>
    <row r="4042" spans="1:4" x14ac:dyDescent="0.4">
      <c r="A4042" s="1" t="s">
        <v>7823</v>
      </c>
      <c r="B4042" t="s">
        <v>7824</v>
      </c>
      <c r="C4042" t="s">
        <v>5</v>
      </c>
      <c r="D4042">
        <v>19700</v>
      </c>
    </row>
    <row r="4043" spans="1:4" x14ac:dyDescent="0.4">
      <c r="A4043" s="1" t="s">
        <v>7825</v>
      </c>
      <c r="B4043" t="s">
        <v>7826</v>
      </c>
      <c r="C4043" t="s">
        <v>5</v>
      </c>
      <c r="D4043">
        <v>31800</v>
      </c>
    </row>
    <row r="4044" spans="1:4" x14ac:dyDescent="0.4">
      <c r="A4044" s="1" t="s">
        <v>7827</v>
      </c>
      <c r="B4044" t="s">
        <v>7828</v>
      </c>
      <c r="C4044" t="s">
        <v>5</v>
      </c>
      <c r="D4044">
        <v>7600</v>
      </c>
    </row>
    <row r="4045" spans="1:4" x14ac:dyDescent="0.4">
      <c r="A4045" s="1" t="s">
        <v>7829</v>
      </c>
      <c r="B4045" t="s">
        <v>7830</v>
      </c>
      <c r="C4045" t="s">
        <v>5</v>
      </c>
      <c r="D4045">
        <v>19700</v>
      </c>
    </row>
    <row r="4046" spans="1:4" x14ac:dyDescent="0.4">
      <c r="A4046" s="1" t="s">
        <v>7831</v>
      </c>
      <c r="B4046" t="s">
        <v>7832</v>
      </c>
      <c r="C4046" t="s">
        <v>5</v>
      </c>
      <c r="D4046">
        <v>31800</v>
      </c>
    </row>
    <row r="4047" spans="1:4" x14ac:dyDescent="0.4">
      <c r="A4047" s="1" t="s">
        <v>7833</v>
      </c>
      <c r="B4047" t="s">
        <v>7834</v>
      </c>
      <c r="C4047" t="s">
        <v>5</v>
      </c>
      <c r="D4047">
        <v>7600</v>
      </c>
    </row>
    <row r="4048" spans="1:4" x14ac:dyDescent="0.4">
      <c r="A4048" s="1" t="s">
        <v>7835</v>
      </c>
      <c r="B4048" t="s">
        <v>7836</v>
      </c>
      <c r="C4048" t="s">
        <v>5</v>
      </c>
      <c r="D4048">
        <v>19700</v>
      </c>
    </row>
    <row r="4049" spans="1:4" x14ac:dyDescent="0.4">
      <c r="A4049" s="1" t="s">
        <v>7837</v>
      </c>
      <c r="B4049" t="s">
        <v>7838</v>
      </c>
      <c r="C4049" t="s">
        <v>5</v>
      </c>
      <c r="D4049">
        <v>31800</v>
      </c>
    </row>
    <row r="4050" spans="1:4" x14ac:dyDescent="0.4">
      <c r="A4050" s="1" t="s">
        <v>7839</v>
      </c>
      <c r="B4050" t="s">
        <v>7840</v>
      </c>
      <c r="C4050" t="s">
        <v>5</v>
      </c>
      <c r="D4050">
        <v>7000</v>
      </c>
    </row>
    <row r="4051" spans="1:4" x14ac:dyDescent="0.4">
      <c r="A4051" s="1" t="s">
        <v>7841</v>
      </c>
      <c r="B4051" t="s">
        <v>7842</v>
      </c>
      <c r="C4051" t="s">
        <v>5</v>
      </c>
      <c r="D4051">
        <v>7600</v>
      </c>
    </row>
    <row r="4052" spans="1:4" x14ac:dyDescent="0.4">
      <c r="A4052" s="1" t="s">
        <v>7843</v>
      </c>
      <c r="B4052" t="s">
        <v>7844</v>
      </c>
      <c r="C4052" t="s">
        <v>5</v>
      </c>
      <c r="D4052">
        <v>19700</v>
      </c>
    </row>
    <row r="4053" spans="1:4" x14ac:dyDescent="0.4">
      <c r="A4053" s="1" t="s">
        <v>7845</v>
      </c>
      <c r="B4053" t="s">
        <v>7846</v>
      </c>
      <c r="C4053" t="s">
        <v>5</v>
      </c>
      <c r="D4053">
        <v>31800</v>
      </c>
    </row>
    <row r="4054" spans="1:4" x14ac:dyDescent="0.4">
      <c r="A4054" s="1" t="s">
        <v>7847</v>
      </c>
      <c r="B4054" t="s">
        <v>7848</v>
      </c>
      <c r="C4054" t="s">
        <v>5</v>
      </c>
      <c r="D4054">
        <v>7600</v>
      </c>
    </row>
    <row r="4055" spans="1:4" x14ac:dyDescent="0.4">
      <c r="A4055" s="1" t="s">
        <v>7849</v>
      </c>
      <c r="B4055" t="s">
        <v>7850</v>
      </c>
      <c r="C4055" t="s">
        <v>5</v>
      </c>
      <c r="D4055">
        <v>19700</v>
      </c>
    </row>
    <row r="4056" spans="1:4" x14ac:dyDescent="0.4">
      <c r="A4056" s="1" t="s">
        <v>7851</v>
      </c>
      <c r="B4056" t="s">
        <v>7852</v>
      </c>
      <c r="C4056" t="s">
        <v>5</v>
      </c>
      <c r="D4056">
        <v>31800</v>
      </c>
    </row>
    <row r="4057" spans="1:4" x14ac:dyDescent="0.4">
      <c r="A4057" s="1" t="s">
        <v>7853</v>
      </c>
      <c r="B4057" t="s">
        <v>7854</v>
      </c>
      <c r="C4057" t="s">
        <v>5</v>
      </c>
      <c r="D4057">
        <v>35300</v>
      </c>
    </row>
    <row r="4058" spans="1:4" x14ac:dyDescent="0.4">
      <c r="A4058" s="1" t="s">
        <v>7855</v>
      </c>
      <c r="B4058" t="s">
        <v>7856</v>
      </c>
      <c r="C4058" t="s">
        <v>5</v>
      </c>
      <c r="D4058">
        <v>35300</v>
      </c>
    </row>
    <row r="4059" spans="1:4" x14ac:dyDescent="0.4">
      <c r="A4059" s="1" t="s">
        <v>7857</v>
      </c>
      <c r="B4059" t="s">
        <v>7858</v>
      </c>
      <c r="C4059" t="s">
        <v>5</v>
      </c>
      <c r="D4059">
        <v>35300</v>
      </c>
    </row>
    <row r="4060" spans="1:4" x14ac:dyDescent="0.4">
      <c r="A4060" s="1" t="s">
        <v>7859</v>
      </c>
      <c r="B4060" t="s">
        <v>7860</v>
      </c>
      <c r="C4060" t="s">
        <v>5</v>
      </c>
      <c r="D4060">
        <v>35300</v>
      </c>
    </row>
    <row r="4061" spans="1:4" x14ac:dyDescent="0.4">
      <c r="A4061" s="1" t="s">
        <v>7861</v>
      </c>
      <c r="B4061" t="s">
        <v>7862</v>
      </c>
      <c r="C4061" t="s">
        <v>5</v>
      </c>
      <c r="D4061">
        <v>35300</v>
      </c>
    </row>
    <row r="4062" spans="1:4" x14ac:dyDescent="0.4">
      <c r="A4062" s="1" t="s">
        <v>7863</v>
      </c>
      <c r="B4062" t="s">
        <v>7864</v>
      </c>
      <c r="C4062" t="s">
        <v>5</v>
      </c>
      <c r="D4062">
        <v>35300</v>
      </c>
    </row>
    <row r="4063" spans="1:4" x14ac:dyDescent="0.4">
      <c r="A4063" s="1" t="s">
        <v>7865</v>
      </c>
      <c r="B4063" t="s">
        <v>7866</v>
      </c>
      <c r="C4063" t="s">
        <v>5</v>
      </c>
      <c r="D4063">
        <v>35300</v>
      </c>
    </row>
    <row r="4064" spans="1:4" x14ac:dyDescent="0.4">
      <c r="A4064" s="1" t="s">
        <v>7867</v>
      </c>
      <c r="B4064" t="s">
        <v>7868</v>
      </c>
      <c r="C4064" t="s">
        <v>5</v>
      </c>
    </row>
    <row r="4065" spans="1:4" x14ac:dyDescent="0.4">
      <c r="A4065" s="1" t="s">
        <v>7869</v>
      </c>
      <c r="B4065" t="s">
        <v>7870</v>
      </c>
      <c r="C4065" t="s">
        <v>5</v>
      </c>
    </row>
    <row r="4066" spans="1:4" x14ac:dyDescent="0.4">
      <c r="A4066" s="1" t="s">
        <v>7871</v>
      </c>
      <c r="B4066" t="s">
        <v>7872</v>
      </c>
      <c r="C4066" t="s">
        <v>5</v>
      </c>
      <c r="D4066">
        <v>4600</v>
      </c>
    </row>
    <row r="4067" spans="1:4" x14ac:dyDescent="0.4">
      <c r="A4067" s="1" t="s">
        <v>7873</v>
      </c>
      <c r="B4067" t="s">
        <v>7874</v>
      </c>
      <c r="C4067" t="s">
        <v>5</v>
      </c>
      <c r="D4067">
        <v>4600</v>
      </c>
    </row>
    <row r="4068" spans="1:4" x14ac:dyDescent="0.4">
      <c r="A4068" s="1" t="s">
        <v>7875</v>
      </c>
      <c r="B4068" t="s">
        <v>7876</v>
      </c>
      <c r="C4068" t="s">
        <v>5</v>
      </c>
      <c r="D4068">
        <v>4600</v>
      </c>
    </row>
    <row r="4069" spans="1:4" x14ac:dyDescent="0.4">
      <c r="A4069" s="1" t="s">
        <v>7877</v>
      </c>
      <c r="B4069" t="s">
        <v>7878</v>
      </c>
      <c r="C4069" t="s">
        <v>5</v>
      </c>
      <c r="D4069">
        <v>4600</v>
      </c>
    </row>
    <row r="4070" spans="1:4" x14ac:dyDescent="0.4">
      <c r="A4070" s="1" t="s">
        <v>7879</v>
      </c>
      <c r="B4070" t="s">
        <v>7880</v>
      </c>
      <c r="C4070" t="s">
        <v>5</v>
      </c>
      <c r="D4070">
        <v>7600</v>
      </c>
    </row>
    <row r="4071" spans="1:4" x14ac:dyDescent="0.4">
      <c r="A4071" s="1" t="s">
        <v>7881</v>
      </c>
      <c r="B4071" t="s">
        <v>7882</v>
      </c>
      <c r="C4071" t="s">
        <v>5</v>
      </c>
      <c r="D4071">
        <v>19700</v>
      </c>
    </row>
    <row r="4072" spans="1:4" x14ac:dyDescent="0.4">
      <c r="A4072" s="1" t="s">
        <v>7883</v>
      </c>
      <c r="B4072" t="s">
        <v>7884</v>
      </c>
      <c r="C4072" t="s">
        <v>5</v>
      </c>
      <c r="D4072">
        <v>31800</v>
      </c>
    </row>
    <row r="4073" spans="1:4" x14ac:dyDescent="0.4">
      <c r="A4073" s="1" t="s">
        <v>7885</v>
      </c>
      <c r="B4073" t="s">
        <v>7886</v>
      </c>
      <c r="C4073" t="s">
        <v>5</v>
      </c>
      <c r="D4073">
        <v>7600</v>
      </c>
    </row>
    <row r="4074" spans="1:4" x14ac:dyDescent="0.4">
      <c r="A4074" s="1" t="s">
        <v>7887</v>
      </c>
      <c r="B4074" t="s">
        <v>7888</v>
      </c>
      <c r="C4074" t="s">
        <v>5</v>
      </c>
      <c r="D4074">
        <v>19700</v>
      </c>
    </row>
    <row r="4075" spans="1:4" x14ac:dyDescent="0.4">
      <c r="A4075" s="1" t="s">
        <v>7889</v>
      </c>
      <c r="B4075" t="s">
        <v>7890</v>
      </c>
      <c r="C4075" t="s">
        <v>5</v>
      </c>
      <c r="D4075">
        <v>31800</v>
      </c>
    </row>
    <row r="4076" spans="1:4" x14ac:dyDescent="0.4">
      <c r="A4076" s="1" t="s">
        <v>7891</v>
      </c>
      <c r="B4076" t="s">
        <v>7892</v>
      </c>
      <c r="C4076" t="s">
        <v>5</v>
      </c>
      <c r="D4076">
        <v>7600</v>
      </c>
    </row>
    <row r="4077" spans="1:4" x14ac:dyDescent="0.4">
      <c r="A4077" s="1" t="s">
        <v>7893</v>
      </c>
      <c r="B4077" t="s">
        <v>7894</v>
      </c>
      <c r="C4077" t="s">
        <v>5</v>
      </c>
      <c r="D4077">
        <v>19700</v>
      </c>
    </row>
    <row r="4078" spans="1:4" x14ac:dyDescent="0.4">
      <c r="A4078" s="1" t="s">
        <v>7895</v>
      </c>
      <c r="B4078" t="s">
        <v>7896</v>
      </c>
      <c r="C4078" t="s">
        <v>5</v>
      </c>
      <c r="D4078">
        <v>31800</v>
      </c>
    </row>
    <row r="4079" spans="1:4" x14ac:dyDescent="0.4">
      <c r="A4079" s="1" t="s">
        <v>7897</v>
      </c>
      <c r="B4079" t="s">
        <v>7898</v>
      </c>
      <c r="C4079" t="s">
        <v>5</v>
      </c>
      <c r="D4079">
        <v>7600</v>
      </c>
    </row>
    <row r="4080" spans="1:4" x14ac:dyDescent="0.4">
      <c r="A4080" s="1" t="s">
        <v>7899</v>
      </c>
      <c r="B4080" t="s">
        <v>7900</v>
      </c>
      <c r="C4080" t="s">
        <v>5</v>
      </c>
      <c r="D4080">
        <v>19700</v>
      </c>
    </row>
    <row r="4081" spans="1:4" x14ac:dyDescent="0.4">
      <c r="A4081" s="1" t="s">
        <v>7901</v>
      </c>
      <c r="B4081" t="s">
        <v>7902</v>
      </c>
      <c r="C4081" t="s">
        <v>5</v>
      </c>
      <c r="D4081">
        <v>31800</v>
      </c>
    </row>
    <row r="4082" spans="1:4" x14ac:dyDescent="0.4">
      <c r="A4082" s="1" t="s">
        <v>7903</v>
      </c>
      <c r="B4082" t="s">
        <v>7904</v>
      </c>
      <c r="C4082" t="s">
        <v>5</v>
      </c>
      <c r="D4082">
        <v>7000</v>
      </c>
    </row>
    <row r="4083" spans="1:4" x14ac:dyDescent="0.4">
      <c r="A4083" s="1" t="s">
        <v>7905</v>
      </c>
      <c r="B4083" t="s">
        <v>7906</v>
      </c>
      <c r="C4083" t="s">
        <v>5</v>
      </c>
      <c r="D4083">
        <v>7600</v>
      </c>
    </row>
    <row r="4084" spans="1:4" x14ac:dyDescent="0.4">
      <c r="A4084" s="1" t="s">
        <v>7907</v>
      </c>
      <c r="B4084" t="s">
        <v>7908</v>
      </c>
      <c r="C4084" t="s">
        <v>5</v>
      </c>
      <c r="D4084">
        <v>7000</v>
      </c>
    </row>
    <row r="4085" spans="1:4" x14ac:dyDescent="0.4">
      <c r="A4085" s="1" t="s">
        <v>7909</v>
      </c>
      <c r="B4085" t="s">
        <v>7910</v>
      </c>
      <c r="C4085" t="s">
        <v>5</v>
      </c>
      <c r="D4085">
        <v>19700</v>
      </c>
    </row>
    <row r="4086" spans="1:4" x14ac:dyDescent="0.4">
      <c r="A4086" s="1" t="s">
        <v>7911</v>
      </c>
      <c r="B4086" t="s">
        <v>7912</v>
      </c>
      <c r="C4086" t="s">
        <v>5</v>
      </c>
      <c r="D4086">
        <v>31800</v>
      </c>
    </row>
    <row r="4087" spans="1:4" x14ac:dyDescent="0.4">
      <c r="A4087" s="1" t="s">
        <v>7913</v>
      </c>
      <c r="B4087" t="s">
        <v>7914</v>
      </c>
      <c r="C4087" t="s">
        <v>5</v>
      </c>
      <c r="D4087">
        <v>7600</v>
      </c>
    </row>
    <row r="4088" spans="1:4" x14ac:dyDescent="0.4">
      <c r="A4088" s="1" t="s">
        <v>7915</v>
      </c>
      <c r="B4088" t="s">
        <v>7916</v>
      </c>
      <c r="C4088" t="s">
        <v>5</v>
      </c>
      <c r="D4088">
        <v>19700</v>
      </c>
    </row>
    <row r="4089" spans="1:4" x14ac:dyDescent="0.4">
      <c r="A4089" s="1" t="s">
        <v>7917</v>
      </c>
      <c r="B4089" t="s">
        <v>7918</v>
      </c>
      <c r="C4089" t="s">
        <v>5</v>
      </c>
      <c r="D4089">
        <v>31800</v>
      </c>
    </row>
    <row r="4090" spans="1:4" x14ac:dyDescent="0.4">
      <c r="A4090" s="1" t="s">
        <v>7919</v>
      </c>
      <c r="B4090" t="s">
        <v>7920</v>
      </c>
      <c r="C4090" t="s">
        <v>5</v>
      </c>
      <c r="D4090">
        <v>7600</v>
      </c>
    </row>
    <row r="4091" spans="1:4" x14ac:dyDescent="0.4">
      <c r="A4091" s="1" t="s">
        <v>7921</v>
      </c>
      <c r="B4091" t="s">
        <v>7922</v>
      </c>
      <c r="C4091" t="s">
        <v>5</v>
      </c>
      <c r="D4091">
        <v>19700</v>
      </c>
    </row>
    <row r="4092" spans="1:4" x14ac:dyDescent="0.4">
      <c r="A4092" s="1" t="s">
        <v>7923</v>
      </c>
      <c r="B4092" t="s">
        <v>7924</v>
      </c>
      <c r="C4092" t="s">
        <v>5</v>
      </c>
      <c r="D4092">
        <v>31800</v>
      </c>
    </row>
    <row r="4093" spans="1:4" x14ac:dyDescent="0.4">
      <c r="A4093" s="1" t="s">
        <v>7925</v>
      </c>
      <c r="B4093" t="s">
        <v>7926</v>
      </c>
      <c r="C4093" t="s">
        <v>5</v>
      </c>
      <c r="D4093">
        <v>7600</v>
      </c>
    </row>
    <row r="4094" spans="1:4" x14ac:dyDescent="0.4">
      <c r="A4094" s="1" t="s">
        <v>7927</v>
      </c>
      <c r="B4094" t="s">
        <v>7928</v>
      </c>
      <c r="C4094" t="s">
        <v>5</v>
      </c>
      <c r="D4094">
        <v>19700</v>
      </c>
    </row>
    <row r="4095" spans="1:4" x14ac:dyDescent="0.4">
      <c r="A4095" s="1" t="s">
        <v>7929</v>
      </c>
      <c r="B4095" t="s">
        <v>7930</v>
      </c>
      <c r="C4095" t="s">
        <v>5</v>
      </c>
      <c r="D4095">
        <v>31800</v>
      </c>
    </row>
    <row r="4096" spans="1:4" x14ac:dyDescent="0.4">
      <c r="A4096" s="1" t="s">
        <v>7931</v>
      </c>
      <c r="B4096" t="s">
        <v>7932</v>
      </c>
      <c r="C4096" t="s">
        <v>5</v>
      </c>
      <c r="D4096">
        <v>7600</v>
      </c>
    </row>
    <row r="4097" spans="1:4" x14ac:dyDescent="0.4">
      <c r="A4097" s="1" t="s">
        <v>7933</v>
      </c>
      <c r="B4097" t="s">
        <v>7934</v>
      </c>
      <c r="C4097" t="s">
        <v>5</v>
      </c>
      <c r="D4097">
        <v>19700</v>
      </c>
    </row>
    <row r="4098" spans="1:4" x14ac:dyDescent="0.4">
      <c r="A4098" s="1" t="s">
        <v>7935</v>
      </c>
      <c r="B4098" t="s">
        <v>7936</v>
      </c>
      <c r="C4098" t="s">
        <v>5</v>
      </c>
      <c r="D4098">
        <v>31800</v>
      </c>
    </row>
    <row r="4099" spans="1:4" x14ac:dyDescent="0.4">
      <c r="A4099" s="1" t="s">
        <v>7937</v>
      </c>
      <c r="B4099" t="s">
        <v>7938</v>
      </c>
      <c r="C4099" t="s">
        <v>5</v>
      </c>
      <c r="D4099">
        <v>7600</v>
      </c>
    </row>
    <row r="4100" spans="1:4" x14ac:dyDescent="0.4">
      <c r="A4100" s="1" t="s">
        <v>7939</v>
      </c>
      <c r="B4100" t="s">
        <v>7940</v>
      </c>
      <c r="C4100" t="s">
        <v>5</v>
      </c>
      <c r="D4100">
        <v>19700</v>
      </c>
    </row>
    <row r="4101" spans="1:4" x14ac:dyDescent="0.4">
      <c r="A4101" s="1" t="s">
        <v>7941</v>
      </c>
      <c r="B4101" t="s">
        <v>7942</v>
      </c>
      <c r="C4101" t="s">
        <v>5</v>
      </c>
      <c r="D4101">
        <v>31800</v>
      </c>
    </row>
    <row r="4102" spans="1:4" x14ac:dyDescent="0.4">
      <c r="A4102" s="1" t="s">
        <v>7943</v>
      </c>
      <c r="B4102" t="s">
        <v>7944</v>
      </c>
      <c r="C4102" t="s">
        <v>5</v>
      </c>
      <c r="D4102">
        <v>7600</v>
      </c>
    </row>
    <row r="4103" spans="1:4" x14ac:dyDescent="0.4">
      <c r="A4103" s="1" t="s">
        <v>7945</v>
      </c>
      <c r="B4103" t="s">
        <v>7946</v>
      </c>
      <c r="C4103" t="s">
        <v>5</v>
      </c>
      <c r="D4103">
        <v>19700</v>
      </c>
    </row>
    <row r="4104" spans="1:4" x14ac:dyDescent="0.4">
      <c r="A4104" s="1" t="s">
        <v>7947</v>
      </c>
      <c r="B4104" t="s">
        <v>7948</v>
      </c>
      <c r="C4104" t="s">
        <v>5</v>
      </c>
      <c r="D4104">
        <v>31800</v>
      </c>
    </row>
    <row r="4105" spans="1:4" x14ac:dyDescent="0.4">
      <c r="A4105" s="1" t="s">
        <v>7949</v>
      </c>
      <c r="B4105" t="s">
        <v>7950</v>
      </c>
      <c r="C4105" t="s">
        <v>5</v>
      </c>
      <c r="D4105">
        <v>7600</v>
      </c>
    </row>
    <row r="4106" spans="1:4" x14ac:dyDescent="0.4">
      <c r="A4106" s="1" t="s">
        <v>7951</v>
      </c>
      <c r="B4106" t="s">
        <v>7952</v>
      </c>
      <c r="C4106" t="s">
        <v>5</v>
      </c>
      <c r="D4106">
        <v>19700</v>
      </c>
    </row>
    <row r="4107" spans="1:4" x14ac:dyDescent="0.4">
      <c r="A4107" s="1" t="s">
        <v>7953</v>
      </c>
      <c r="B4107" t="s">
        <v>7954</v>
      </c>
      <c r="C4107" t="s">
        <v>5</v>
      </c>
      <c r="D4107">
        <v>31800</v>
      </c>
    </row>
    <row r="4108" spans="1:4" x14ac:dyDescent="0.4">
      <c r="A4108" s="1" t="s">
        <v>7955</v>
      </c>
      <c r="B4108" t="s">
        <v>7956</v>
      </c>
      <c r="C4108" t="s">
        <v>5</v>
      </c>
      <c r="D4108">
        <v>12000</v>
      </c>
    </row>
    <row r="4109" spans="1:4" x14ac:dyDescent="0.4">
      <c r="A4109" s="1" t="s">
        <v>7957</v>
      </c>
      <c r="B4109" t="s">
        <v>7958</v>
      </c>
      <c r="C4109" t="s">
        <v>5</v>
      </c>
      <c r="D4109">
        <v>4000</v>
      </c>
    </row>
    <row r="4110" spans="1:4" x14ac:dyDescent="0.4">
      <c r="A4110" s="1" t="s">
        <v>7959</v>
      </c>
      <c r="B4110" t="s">
        <v>7960</v>
      </c>
      <c r="C4110" t="s">
        <v>5</v>
      </c>
      <c r="D4110">
        <v>4000</v>
      </c>
    </row>
    <row r="4111" spans="1:4" x14ac:dyDescent="0.4">
      <c r="A4111" s="1" t="s">
        <v>7961</v>
      </c>
      <c r="B4111" t="s">
        <v>7962</v>
      </c>
      <c r="C4111" t="s">
        <v>5</v>
      </c>
      <c r="D4111">
        <v>4000</v>
      </c>
    </row>
    <row r="4112" spans="1:4" x14ac:dyDescent="0.4">
      <c r="A4112" s="1" t="s">
        <v>7963</v>
      </c>
      <c r="B4112" t="s">
        <v>7964</v>
      </c>
      <c r="C4112" t="s">
        <v>5</v>
      </c>
    </row>
    <row r="4113" spans="1:4" x14ac:dyDescent="0.4">
      <c r="A4113" s="1" t="s">
        <v>7965</v>
      </c>
      <c r="B4113" t="s">
        <v>7966</v>
      </c>
      <c r="C4113" t="s">
        <v>5</v>
      </c>
    </row>
    <row r="4114" spans="1:4" x14ac:dyDescent="0.4">
      <c r="A4114" s="1" t="s">
        <v>7967</v>
      </c>
      <c r="B4114" t="s">
        <v>7968</v>
      </c>
      <c r="C4114" t="s">
        <v>5</v>
      </c>
    </row>
    <row r="4115" spans="1:4" x14ac:dyDescent="0.4">
      <c r="A4115" s="1" t="s">
        <v>7969</v>
      </c>
      <c r="B4115" t="s">
        <v>7970</v>
      </c>
      <c r="C4115" t="s">
        <v>5</v>
      </c>
      <c r="D4115">
        <v>25500</v>
      </c>
    </row>
    <row r="4116" spans="1:4" x14ac:dyDescent="0.4">
      <c r="A4116" s="1" t="s">
        <v>7971</v>
      </c>
      <c r="B4116" t="s">
        <v>7972</v>
      </c>
      <c r="C4116" t="s">
        <v>5</v>
      </c>
      <c r="D4116">
        <v>25500</v>
      </c>
    </row>
    <row r="4117" spans="1:4" x14ac:dyDescent="0.4">
      <c r="A4117" s="1" t="s">
        <v>7973</v>
      </c>
      <c r="B4117" t="s">
        <v>7974</v>
      </c>
      <c r="C4117" t="s">
        <v>5</v>
      </c>
      <c r="D4117">
        <v>25500</v>
      </c>
    </row>
    <row r="4118" spans="1:4" x14ac:dyDescent="0.4">
      <c r="A4118" s="1" t="s">
        <v>7975</v>
      </c>
      <c r="B4118" t="s">
        <v>7976</v>
      </c>
      <c r="C4118" t="s">
        <v>5</v>
      </c>
      <c r="D4118">
        <v>25500</v>
      </c>
    </row>
    <row r="4119" spans="1:4" x14ac:dyDescent="0.4">
      <c r="A4119" s="1" t="s">
        <v>7977</v>
      </c>
      <c r="B4119" t="s">
        <v>7978</v>
      </c>
      <c r="C4119" t="s">
        <v>5</v>
      </c>
      <c r="D4119">
        <v>25500</v>
      </c>
    </row>
    <row r="4120" spans="1:4" x14ac:dyDescent="0.4">
      <c r="A4120" s="1" t="s">
        <v>7979</v>
      </c>
      <c r="B4120" t="s">
        <v>7980</v>
      </c>
      <c r="C4120" t="s">
        <v>5</v>
      </c>
      <c r="D4120">
        <v>25500</v>
      </c>
    </row>
    <row r="4121" spans="1:4" x14ac:dyDescent="0.4">
      <c r="A4121" s="1" t="s">
        <v>7981</v>
      </c>
      <c r="B4121" t="s">
        <v>7982</v>
      </c>
      <c r="C4121" t="s">
        <v>5</v>
      </c>
      <c r="D4121">
        <v>25500</v>
      </c>
    </row>
    <row r="4122" spans="1:4" x14ac:dyDescent="0.4">
      <c r="A4122" s="1" t="s">
        <v>7983</v>
      </c>
      <c r="B4122" t="s">
        <v>7984</v>
      </c>
      <c r="C4122" t="s">
        <v>5</v>
      </c>
      <c r="D4122">
        <v>25500</v>
      </c>
    </row>
    <row r="4123" spans="1:4" x14ac:dyDescent="0.4">
      <c r="A4123" s="1" t="s">
        <v>7985</v>
      </c>
      <c r="B4123" t="s">
        <v>7986</v>
      </c>
      <c r="C4123" t="s">
        <v>5</v>
      </c>
      <c r="D4123">
        <v>25500</v>
      </c>
    </row>
    <row r="4124" spans="1:4" x14ac:dyDescent="0.4">
      <c r="A4124" s="1" t="s">
        <v>7987</v>
      </c>
      <c r="B4124" t="s">
        <v>7988</v>
      </c>
      <c r="C4124" t="s">
        <v>5</v>
      </c>
      <c r="D4124">
        <v>7900</v>
      </c>
    </row>
    <row r="4125" spans="1:4" x14ac:dyDescent="0.4">
      <c r="A4125" s="1" t="s">
        <v>7989</v>
      </c>
      <c r="B4125" t="e">
        <f>-終息-EPSON ｲﾝｸｶｰﾄﾘｯｼﾞ SC9BK35 ﾌｫﾄﾌﾞﾗｯｸ</f>
        <v>#NAME?</v>
      </c>
      <c r="C4125" t="s">
        <v>5</v>
      </c>
      <c r="D4125">
        <v>15100</v>
      </c>
    </row>
    <row r="4126" spans="1:4" x14ac:dyDescent="0.4">
      <c r="A4126" s="1" t="s">
        <v>7990</v>
      </c>
      <c r="B4126" t="s">
        <v>7991</v>
      </c>
      <c r="C4126" t="s">
        <v>5</v>
      </c>
      <c r="D4126">
        <v>12100</v>
      </c>
    </row>
    <row r="4127" spans="1:4" x14ac:dyDescent="0.4">
      <c r="A4127" s="1" t="s">
        <v>7992</v>
      </c>
      <c r="B4127" t="e">
        <f>-終息-EPSON ｲﾝｸｶｰﾄﾘｯｼﾞ SC9BK70 ﾌｫﾄﾌﾞﾗｯｸ</f>
        <v>#NAME?</v>
      </c>
      <c r="C4127" t="s">
        <v>5</v>
      </c>
      <c r="D4127">
        <v>25500</v>
      </c>
    </row>
    <row r="4128" spans="1:4" x14ac:dyDescent="0.4">
      <c r="A4128" s="1" t="s">
        <v>7993</v>
      </c>
      <c r="B4128" t="s">
        <v>7994</v>
      </c>
      <c r="C4128" t="s">
        <v>5</v>
      </c>
      <c r="D4128">
        <v>20400</v>
      </c>
    </row>
    <row r="4129" spans="1:4" x14ac:dyDescent="0.4">
      <c r="A4129" s="1" t="s">
        <v>7995</v>
      </c>
      <c r="B4129" t="s">
        <v>7996</v>
      </c>
      <c r="C4129" t="s">
        <v>5</v>
      </c>
      <c r="D4129">
        <v>7900</v>
      </c>
    </row>
    <row r="4130" spans="1:4" x14ac:dyDescent="0.4">
      <c r="A4130" s="1" t="s">
        <v>7997</v>
      </c>
      <c r="B4130" t="e">
        <f>-終息-EPSON ｲﾝｸｶｰﾄﾘｯｼﾞ SC9C35 ｼｱﾝ</f>
        <v>#NAME?</v>
      </c>
      <c r="C4130" t="s">
        <v>5</v>
      </c>
      <c r="D4130">
        <v>15100</v>
      </c>
    </row>
    <row r="4131" spans="1:4" x14ac:dyDescent="0.4">
      <c r="A4131" s="1" t="s">
        <v>7998</v>
      </c>
      <c r="B4131" t="s">
        <v>7999</v>
      </c>
      <c r="C4131" t="s">
        <v>5</v>
      </c>
      <c r="D4131">
        <v>12100</v>
      </c>
    </row>
    <row r="4132" spans="1:4" x14ac:dyDescent="0.4">
      <c r="A4132" s="1" t="s">
        <v>8000</v>
      </c>
      <c r="B4132" t="e">
        <f>-終息-EPSON ｲﾝｸｶｰﾄﾘｯｼﾞ SC9C70 ｼｱﾝ</f>
        <v>#NAME?</v>
      </c>
      <c r="C4132" t="s">
        <v>5</v>
      </c>
      <c r="D4132">
        <v>25500</v>
      </c>
    </row>
    <row r="4133" spans="1:4" x14ac:dyDescent="0.4">
      <c r="A4133" s="1" t="s">
        <v>8001</v>
      </c>
      <c r="B4133" t="s">
        <v>8002</v>
      </c>
      <c r="C4133" t="s">
        <v>5</v>
      </c>
      <c r="D4133">
        <v>20400</v>
      </c>
    </row>
    <row r="4134" spans="1:4" x14ac:dyDescent="0.4">
      <c r="A4134" s="1" t="s">
        <v>8003</v>
      </c>
      <c r="B4134" t="s">
        <v>8004</v>
      </c>
      <c r="C4134" t="s">
        <v>5</v>
      </c>
      <c r="D4134">
        <v>7900</v>
      </c>
    </row>
    <row r="4135" spans="1:4" x14ac:dyDescent="0.4">
      <c r="A4135" s="1" t="s">
        <v>8005</v>
      </c>
      <c r="B4135" t="e">
        <f>-終息-EPSON ｲﾝｸｶｰﾄﾘｯｼﾞ SC9GR35 ｸﾞﾘｰﾝ</f>
        <v>#NAME?</v>
      </c>
      <c r="C4135" t="s">
        <v>5</v>
      </c>
      <c r="D4135">
        <v>15100</v>
      </c>
    </row>
    <row r="4136" spans="1:4" x14ac:dyDescent="0.4">
      <c r="A4136" s="1" t="s">
        <v>8006</v>
      </c>
      <c r="B4136" t="s">
        <v>8007</v>
      </c>
      <c r="C4136" t="s">
        <v>5</v>
      </c>
      <c r="D4136">
        <v>12100</v>
      </c>
    </row>
    <row r="4137" spans="1:4" x14ac:dyDescent="0.4">
      <c r="A4137" s="1" t="s">
        <v>8008</v>
      </c>
      <c r="B4137" t="e">
        <f>-終息-EPSON ｲﾝｸｶｰﾄﾘｯｼﾞ SC9GR70 ｸﾞﾘｰﾝ</f>
        <v>#NAME?</v>
      </c>
      <c r="C4137" t="s">
        <v>5</v>
      </c>
      <c r="D4137">
        <v>25500</v>
      </c>
    </row>
    <row r="4138" spans="1:4" x14ac:dyDescent="0.4">
      <c r="A4138" s="1" t="s">
        <v>8009</v>
      </c>
      <c r="B4138" t="s">
        <v>8010</v>
      </c>
      <c r="C4138" t="s">
        <v>5</v>
      </c>
      <c r="D4138">
        <v>20400</v>
      </c>
    </row>
    <row r="4139" spans="1:4" x14ac:dyDescent="0.4">
      <c r="A4139" s="1" t="s">
        <v>8011</v>
      </c>
      <c r="B4139" t="s">
        <v>8012</v>
      </c>
      <c r="C4139" t="s">
        <v>5</v>
      </c>
      <c r="D4139">
        <v>7900</v>
      </c>
    </row>
    <row r="4140" spans="1:4" x14ac:dyDescent="0.4">
      <c r="A4140" s="1" t="s">
        <v>8013</v>
      </c>
      <c r="B4140" t="e">
        <f>-終息-EPSON ｲﾝｸｶｰﾄﾘｯｼﾞ SC9GY35 ｸﾞﾚｰ</f>
        <v>#NAME?</v>
      </c>
      <c r="C4140" t="s">
        <v>5</v>
      </c>
      <c r="D4140">
        <v>15100</v>
      </c>
    </row>
    <row r="4141" spans="1:4" x14ac:dyDescent="0.4">
      <c r="A4141" s="1" t="s">
        <v>8014</v>
      </c>
      <c r="B4141" t="s">
        <v>8015</v>
      </c>
      <c r="C4141" t="s">
        <v>5</v>
      </c>
      <c r="D4141">
        <v>12100</v>
      </c>
    </row>
    <row r="4142" spans="1:4" x14ac:dyDescent="0.4">
      <c r="A4142" s="1" t="s">
        <v>8016</v>
      </c>
      <c r="B4142" t="e">
        <f>-終息-EPSON ｲﾝｸｶｰﾄﾘｯｼﾞ SC9GY70 ｸﾞﾚｰ</f>
        <v>#NAME?</v>
      </c>
      <c r="C4142" t="s">
        <v>5</v>
      </c>
      <c r="D4142">
        <v>25500</v>
      </c>
    </row>
    <row r="4143" spans="1:4" x14ac:dyDescent="0.4">
      <c r="A4143" s="1" t="s">
        <v>8017</v>
      </c>
      <c r="B4143" t="s">
        <v>8018</v>
      </c>
      <c r="C4143" t="s">
        <v>5</v>
      </c>
      <c r="D4143">
        <v>20400</v>
      </c>
    </row>
    <row r="4144" spans="1:4" x14ac:dyDescent="0.4">
      <c r="A4144" s="1" t="s">
        <v>8019</v>
      </c>
      <c r="B4144" t="s">
        <v>8020</v>
      </c>
      <c r="C4144" t="s">
        <v>5</v>
      </c>
      <c r="D4144">
        <v>7900</v>
      </c>
    </row>
    <row r="4145" spans="1:4" x14ac:dyDescent="0.4">
      <c r="A4145" s="1" t="s">
        <v>8021</v>
      </c>
      <c r="B4145" t="e">
        <f>-終息-EPSON ｲﾝｸｶｰﾄﾘｯｼﾞ SC9LC35 ﾗｲﾄｼｱﾝ</f>
        <v>#NAME?</v>
      </c>
      <c r="C4145" t="s">
        <v>5</v>
      </c>
      <c r="D4145">
        <v>15100</v>
      </c>
    </row>
    <row r="4146" spans="1:4" x14ac:dyDescent="0.4">
      <c r="A4146" s="1" t="s">
        <v>8022</v>
      </c>
      <c r="B4146" t="s">
        <v>8023</v>
      </c>
      <c r="C4146" t="s">
        <v>5</v>
      </c>
      <c r="D4146">
        <v>12100</v>
      </c>
    </row>
    <row r="4147" spans="1:4" x14ac:dyDescent="0.4">
      <c r="A4147" s="1" t="s">
        <v>8024</v>
      </c>
      <c r="B4147" t="e">
        <f>-終息-EPSON ｲﾝｸｶｰﾄﾘｯｼﾞ SC9LC70 ﾗｲﾄｼｱﾝ</f>
        <v>#NAME?</v>
      </c>
      <c r="C4147" t="s">
        <v>5</v>
      </c>
      <c r="D4147">
        <v>25500</v>
      </c>
    </row>
    <row r="4148" spans="1:4" x14ac:dyDescent="0.4">
      <c r="A4148" s="1" t="s">
        <v>8025</v>
      </c>
      <c r="B4148" t="s">
        <v>8026</v>
      </c>
      <c r="C4148" t="s">
        <v>5</v>
      </c>
      <c r="D4148">
        <v>20400</v>
      </c>
    </row>
    <row r="4149" spans="1:4" x14ac:dyDescent="0.4">
      <c r="A4149" s="1" t="s">
        <v>8027</v>
      </c>
      <c r="B4149" t="e">
        <f>-終息-EPSON ｲﾝｸｶｰﾄﾘｯｼﾞ SC9LGY35 ﾗｲﾄｸﾞﾚｰ</f>
        <v>#NAME?</v>
      </c>
      <c r="C4149" t="s">
        <v>5</v>
      </c>
      <c r="D4149">
        <v>15100</v>
      </c>
    </row>
    <row r="4150" spans="1:4" x14ac:dyDescent="0.4">
      <c r="A4150" s="1" t="s">
        <v>8028</v>
      </c>
      <c r="B4150" t="s">
        <v>8029</v>
      </c>
      <c r="C4150" t="s">
        <v>5</v>
      </c>
      <c r="D4150">
        <v>12100</v>
      </c>
    </row>
    <row r="4151" spans="1:4" x14ac:dyDescent="0.4">
      <c r="A4151" s="1" t="s">
        <v>8030</v>
      </c>
      <c r="B4151" t="e">
        <f>-終息-EPSON ｲﾝｸｶｰﾄﾘｯｼﾞ SC9LGY70 ﾗｲﾄｸﾞﾚｰ</f>
        <v>#NAME?</v>
      </c>
      <c r="C4151" t="s">
        <v>5</v>
      </c>
      <c r="D4151">
        <v>25500</v>
      </c>
    </row>
    <row r="4152" spans="1:4" x14ac:dyDescent="0.4">
      <c r="A4152" s="1" t="s">
        <v>8031</v>
      </c>
      <c r="B4152" t="s">
        <v>8032</v>
      </c>
      <c r="C4152" t="s">
        <v>5</v>
      </c>
      <c r="D4152">
        <v>20400</v>
      </c>
    </row>
    <row r="4153" spans="1:4" x14ac:dyDescent="0.4">
      <c r="A4153" s="1" t="s">
        <v>8033</v>
      </c>
      <c r="B4153" t="s">
        <v>8034</v>
      </c>
      <c r="C4153" t="s">
        <v>5</v>
      </c>
      <c r="D4153">
        <v>7000</v>
      </c>
    </row>
    <row r="4154" spans="1:4" x14ac:dyDescent="0.4">
      <c r="A4154" s="1" t="s">
        <v>8035</v>
      </c>
      <c r="B4154" t="s">
        <v>8036</v>
      </c>
      <c r="C4154" t="s">
        <v>5</v>
      </c>
      <c r="D4154">
        <v>7900</v>
      </c>
    </row>
    <row r="4155" spans="1:4" x14ac:dyDescent="0.4">
      <c r="A4155" s="1" t="s">
        <v>8037</v>
      </c>
      <c r="B4155" t="e">
        <f>-終息-EPSON ｲﾝｸｶｰﾄﾘｯｼﾞ SC9MB35 ﾏｯﾄﾌﾞﾗｯｸ</f>
        <v>#NAME?</v>
      </c>
      <c r="C4155" t="s">
        <v>5</v>
      </c>
      <c r="D4155">
        <v>15100</v>
      </c>
    </row>
    <row r="4156" spans="1:4" x14ac:dyDescent="0.4">
      <c r="A4156" s="1" t="s">
        <v>8038</v>
      </c>
      <c r="B4156" t="s">
        <v>8039</v>
      </c>
      <c r="C4156" t="s">
        <v>5</v>
      </c>
      <c r="D4156">
        <v>12100</v>
      </c>
    </row>
    <row r="4157" spans="1:4" x14ac:dyDescent="0.4">
      <c r="A4157" s="1" t="s">
        <v>8040</v>
      </c>
      <c r="B4157" t="e">
        <f>-終息-EPSON ｲﾝｸｶｰﾄﾘｯｼﾞ SC9MB70 ﾏｯﾄﾌﾞﾗｯｸ</f>
        <v>#NAME?</v>
      </c>
      <c r="C4157" t="s">
        <v>5</v>
      </c>
      <c r="D4157">
        <v>25500</v>
      </c>
    </row>
    <row r="4158" spans="1:4" x14ac:dyDescent="0.4">
      <c r="A4158" s="1" t="s">
        <v>8041</v>
      </c>
      <c r="B4158" t="s">
        <v>8042</v>
      </c>
      <c r="C4158" t="s">
        <v>5</v>
      </c>
      <c r="D4158">
        <v>20400</v>
      </c>
    </row>
    <row r="4159" spans="1:4" x14ac:dyDescent="0.4">
      <c r="A4159" s="1" t="s">
        <v>8043</v>
      </c>
      <c r="B4159" t="s">
        <v>8044</v>
      </c>
      <c r="C4159" t="s">
        <v>5</v>
      </c>
      <c r="D4159">
        <v>7900</v>
      </c>
    </row>
    <row r="4160" spans="1:4" x14ac:dyDescent="0.4">
      <c r="A4160" s="1" t="s">
        <v>8045</v>
      </c>
      <c r="B4160" t="e">
        <f>-終息-EPSON ｲﾝｸｶｰﾄﾘｯｼﾞ SC9OR35 ｵﾚﾝｼﾞ</f>
        <v>#NAME?</v>
      </c>
      <c r="C4160" t="s">
        <v>5</v>
      </c>
      <c r="D4160">
        <v>15100</v>
      </c>
    </row>
    <row r="4161" spans="1:4" x14ac:dyDescent="0.4">
      <c r="A4161" s="1" t="s">
        <v>8046</v>
      </c>
      <c r="B4161" t="s">
        <v>8047</v>
      </c>
      <c r="C4161" t="s">
        <v>5</v>
      </c>
      <c r="D4161">
        <v>12100</v>
      </c>
    </row>
    <row r="4162" spans="1:4" x14ac:dyDescent="0.4">
      <c r="A4162" s="1" t="s">
        <v>8048</v>
      </c>
      <c r="B4162" t="e">
        <f>-終息-EPSON ｲﾝｸｶｰﾄﾘｯｼﾞ SC9OR70 ｵﾚﾝｼﾞ</f>
        <v>#NAME?</v>
      </c>
      <c r="C4162" t="s">
        <v>5</v>
      </c>
      <c r="D4162">
        <v>25500</v>
      </c>
    </row>
    <row r="4163" spans="1:4" x14ac:dyDescent="0.4">
      <c r="A4163" s="1" t="s">
        <v>8049</v>
      </c>
      <c r="B4163" t="s">
        <v>8050</v>
      </c>
      <c r="C4163" t="s">
        <v>5</v>
      </c>
      <c r="D4163">
        <v>20400</v>
      </c>
    </row>
    <row r="4164" spans="1:4" x14ac:dyDescent="0.4">
      <c r="A4164" s="1" t="s">
        <v>8051</v>
      </c>
      <c r="B4164" t="s">
        <v>8052</v>
      </c>
      <c r="C4164" t="s">
        <v>5</v>
      </c>
      <c r="D4164">
        <v>7900</v>
      </c>
    </row>
    <row r="4165" spans="1:4" x14ac:dyDescent="0.4">
      <c r="A4165" s="1" t="s">
        <v>8053</v>
      </c>
      <c r="B4165" t="e">
        <f>-終息-EPSON ｲﾝｸｶｰﾄﾘｯｼﾞ SC9V35 ﾊﾞｲｵﾚｯﾄ</f>
        <v>#NAME?</v>
      </c>
      <c r="C4165" t="s">
        <v>5</v>
      </c>
      <c r="D4165">
        <v>15100</v>
      </c>
    </row>
    <row r="4166" spans="1:4" x14ac:dyDescent="0.4">
      <c r="A4166" s="1" t="s">
        <v>8054</v>
      </c>
      <c r="B4166" t="s">
        <v>8055</v>
      </c>
      <c r="C4166" t="s">
        <v>5</v>
      </c>
      <c r="D4166">
        <v>12100</v>
      </c>
    </row>
    <row r="4167" spans="1:4" x14ac:dyDescent="0.4">
      <c r="A4167" s="1" t="s">
        <v>8056</v>
      </c>
      <c r="B4167" t="e">
        <f>-終息-EPSON ｲﾝｸｶｰﾄﾘｯｼﾞ SC9V70 ﾊﾞｲｵﾚｯﾄ</f>
        <v>#NAME?</v>
      </c>
      <c r="C4167" t="s">
        <v>5</v>
      </c>
      <c r="D4167">
        <v>25500</v>
      </c>
    </row>
    <row r="4168" spans="1:4" x14ac:dyDescent="0.4">
      <c r="A4168" s="1" t="s">
        <v>8057</v>
      </c>
      <c r="B4168" t="s">
        <v>8058</v>
      </c>
      <c r="C4168" t="s">
        <v>5</v>
      </c>
      <c r="D4168">
        <v>20400</v>
      </c>
    </row>
    <row r="4169" spans="1:4" x14ac:dyDescent="0.4">
      <c r="A4169" s="1" t="s">
        <v>8059</v>
      </c>
      <c r="B4169" t="s">
        <v>8060</v>
      </c>
      <c r="C4169" t="s">
        <v>5</v>
      </c>
      <c r="D4169">
        <v>7900</v>
      </c>
    </row>
    <row r="4170" spans="1:4" x14ac:dyDescent="0.4">
      <c r="A4170" s="1" t="s">
        <v>8061</v>
      </c>
      <c r="B4170" t="e">
        <f>-終息-EPSON ｲﾝｸｶｰﾄﾘｯｼﾞ SC9VLM35 ﾋﾞﾋﾞｯﾄﾞﾗｲﾄﾏｾﾞﾝﾀ</f>
        <v>#NAME?</v>
      </c>
      <c r="C4170" t="s">
        <v>5</v>
      </c>
      <c r="D4170">
        <v>15100</v>
      </c>
    </row>
    <row r="4171" spans="1:4" x14ac:dyDescent="0.4">
      <c r="A4171" s="1" t="s">
        <v>8062</v>
      </c>
      <c r="B4171" t="s">
        <v>8063</v>
      </c>
      <c r="C4171" t="s">
        <v>5</v>
      </c>
      <c r="D4171">
        <v>12100</v>
      </c>
    </row>
    <row r="4172" spans="1:4" x14ac:dyDescent="0.4">
      <c r="A4172" s="1" t="s">
        <v>8064</v>
      </c>
      <c r="B4172" t="e">
        <f>-終息-EPSON ｲﾝｸｶｰﾄﾘｯｼﾞ SC9VLM70 ﾋﾞﾋﾞｯﾄﾗｲﾄﾏｾﾞﾝﾀ</f>
        <v>#NAME?</v>
      </c>
      <c r="C4172" t="s">
        <v>5</v>
      </c>
      <c r="D4172">
        <v>25500</v>
      </c>
    </row>
    <row r="4173" spans="1:4" x14ac:dyDescent="0.4">
      <c r="A4173" s="1" t="s">
        <v>8065</v>
      </c>
      <c r="B4173" t="s">
        <v>8066</v>
      </c>
      <c r="C4173" t="s">
        <v>5</v>
      </c>
      <c r="D4173">
        <v>20400</v>
      </c>
    </row>
    <row r="4174" spans="1:4" x14ac:dyDescent="0.4">
      <c r="A4174" s="1" t="s">
        <v>8067</v>
      </c>
      <c r="B4174" t="s">
        <v>8068</v>
      </c>
      <c r="C4174" t="s">
        <v>5</v>
      </c>
      <c r="D4174">
        <v>7900</v>
      </c>
    </row>
    <row r="4175" spans="1:4" x14ac:dyDescent="0.4">
      <c r="A4175" s="1" t="s">
        <v>8069</v>
      </c>
      <c r="B4175" t="e">
        <f>-終息-EPSON ｲﾝｸｶｰﾄﾘｯｼﾞ SC9VM35 ﾋﾞﾋﾞｯﾄﾞﾏｾﾞﾝﾀ</f>
        <v>#NAME?</v>
      </c>
      <c r="C4175" t="s">
        <v>5</v>
      </c>
      <c r="D4175">
        <v>15100</v>
      </c>
    </row>
    <row r="4176" spans="1:4" x14ac:dyDescent="0.4">
      <c r="A4176" s="1" t="s">
        <v>8070</v>
      </c>
      <c r="B4176" t="s">
        <v>8071</v>
      </c>
      <c r="C4176" t="s">
        <v>5</v>
      </c>
      <c r="D4176">
        <v>12100</v>
      </c>
    </row>
    <row r="4177" spans="1:4" x14ac:dyDescent="0.4">
      <c r="A4177" s="1" t="s">
        <v>8072</v>
      </c>
      <c r="B4177" t="e">
        <f>-終息-EPSON ｲﾝｸｶｰﾄﾘｯｼﾞ SC9VM70 ﾋﾞﾋﾞｯﾄﾏｾﾞﾝﾀ</f>
        <v>#NAME?</v>
      </c>
      <c r="C4177" t="s">
        <v>5</v>
      </c>
      <c r="D4177">
        <v>25500</v>
      </c>
    </row>
    <row r="4178" spans="1:4" x14ac:dyDescent="0.4">
      <c r="A4178" s="1" t="s">
        <v>8073</v>
      </c>
      <c r="B4178" t="s">
        <v>8074</v>
      </c>
      <c r="C4178" t="s">
        <v>5</v>
      </c>
      <c r="D4178">
        <v>20400</v>
      </c>
    </row>
    <row r="4179" spans="1:4" x14ac:dyDescent="0.4">
      <c r="A4179" s="1" t="s">
        <v>8075</v>
      </c>
      <c r="B4179" t="s">
        <v>8076</v>
      </c>
      <c r="C4179" t="s">
        <v>5</v>
      </c>
    </row>
    <row r="4180" spans="1:4" x14ac:dyDescent="0.4">
      <c r="A4180" s="1" t="s">
        <v>8077</v>
      </c>
      <c r="B4180" t="s">
        <v>8078</v>
      </c>
      <c r="C4180" t="s">
        <v>5</v>
      </c>
    </row>
    <row r="4181" spans="1:4" x14ac:dyDescent="0.4">
      <c r="A4181" s="1" t="s">
        <v>8079</v>
      </c>
      <c r="B4181" t="s">
        <v>8080</v>
      </c>
      <c r="C4181" t="s">
        <v>5</v>
      </c>
      <c r="D4181">
        <v>7900</v>
      </c>
    </row>
    <row r="4182" spans="1:4" x14ac:dyDescent="0.4">
      <c r="A4182" s="1" t="s">
        <v>8081</v>
      </c>
      <c r="B4182" t="e">
        <f>-終息-EPSON ｲﾝｸｶｰﾄﾘｯｼﾞ SC9Y35 ｲｴﾛｰ</f>
        <v>#NAME?</v>
      </c>
      <c r="C4182" t="s">
        <v>5</v>
      </c>
      <c r="D4182">
        <v>15100</v>
      </c>
    </row>
    <row r="4183" spans="1:4" x14ac:dyDescent="0.4">
      <c r="A4183" s="1" t="s">
        <v>8082</v>
      </c>
      <c r="B4183" t="s">
        <v>8083</v>
      </c>
      <c r="C4183" t="s">
        <v>5</v>
      </c>
      <c r="D4183">
        <v>12100</v>
      </c>
    </row>
    <row r="4184" spans="1:4" x14ac:dyDescent="0.4">
      <c r="A4184" s="1" t="s">
        <v>8084</v>
      </c>
      <c r="B4184" t="e">
        <f>-終息-EPSON ｲﾝｸｶｰﾄﾘｯｼﾞ SC9Y70 ｲｴﾛｰ</f>
        <v>#NAME?</v>
      </c>
      <c r="C4184" t="s">
        <v>5</v>
      </c>
      <c r="D4184">
        <v>25500</v>
      </c>
    </row>
    <row r="4185" spans="1:4" x14ac:dyDescent="0.4">
      <c r="A4185" s="1" t="s">
        <v>8085</v>
      </c>
      <c r="B4185" t="s">
        <v>8086</v>
      </c>
      <c r="C4185" t="s">
        <v>5</v>
      </c>
      <c r="D4185">
        <v>20400</v>
      </c>
    </row>
    <row r="4186" spans="1:4" x14ac:dyDescent="0.4">
      <c r="A4186" s="1" t="s">
        <v>8087</v>
      </c>
      <c r="B4186" t="s">
        <v>8088</v>
      </c>
      <c r="C4186" t="s">
        <v>5</v>
      </c>
    </row>
    <row r="4187" spans="1:4" x14ac:dyDescent="0.4">
      <c r="A4187" s="1" t="s">
        <v>8089</v>
      </c>
      <c r="B4187" t="s">
        <v>8090</v>
      </c>
      <c r="C4187" t="s">
        <v>5</v>
      </c>
      <c r="D4187">
        <v>7000</v>
      </c>
    </row>
    <row r="4188" spans="1:4" x14ac:dyDescent="0.4">
      <c r="A4188" s="1" t="s">
        <v>8091</v>
      </c>
      <c r="B4188" t="s">
        <v>8092</v>
      </c>
      <c r="C4188" t="s">
        <v>5</v>
      </c>
      <c r="D4188">
        <v>10650</v>
      </c>
    </row>
    <row r="4189" spans="1:4" x14ac:dyDescent="0.4">
      <c r="A4189" s="1" t="s">
        <v>8093</v>
      </c>
      <c r="B4189" t="s">
        <v>8094</v>
      </c>
      <c r="C4189" t="s">
        <v>5</v>
      </c>
      <c r="D4189">
        <v>5700</v>
      </c>
    </row>
    <row r="4190" spans="1:4" x14ac:dyDescent="0.4">
      <c r="A4190" s="1" t="s">
        <v>8095</v>
      </c>
      <c r="B4190" t="s">
        <v>8096</v>
      </c>
      <c r="C4190" t="s">
        <v>5</v>
      </c>
      <c r="D4190">
        <v>11000</v>
      </c>
    </row>
    <row r="4191" spans="1:4" x14ac:dyDescent="0.4">
      <c r="A4191" s="1" t="s">
        <v>8097</v>
      </c>
      <c r="B4191" t="s">
        <v>8098</v>
      </c>
      <c r="C4191" t="s">
        <v>5</v>
      </c>
      <c r="D4191">
        <v>5950</v>
      </c>
    </row>
    <row r="4192" spans="1:4" x14ac:dyDescent="0.4">
      <c r="A4192" s="1" t="s">
        <v>8099</v>
      </c>
      <c r="B4192" t="s">
        <v>8100</v>
      </c>
      <c r="C4192" t="s">
        <v>5</v>
      </c>
      <c r="D4192">
        <v>4050</v>
      </c>
    </row>
    <row r="4193" spans="1:4" x14ac:dyDescent="0.4">
      <c r="A4193" s="1" t="s">
        <v>8101</v>
      </c>
      <c r="B4193" t="s">
        <v>8102</v>
      </c>
      <c r="C4193" t="s">
        <v>5</v>
      </c>
      <c r="D4193">
        <v>2040</v>
      </c>
    </row>
    <row r="4194" spans="1:4" x14ac:dyDescent="0.4">
      <c r="A4194" s="1" t="s">
        <v>8103</v>
      </c>
      <c r="B4194" t="s">
        <v>8104</v>
      </c>
      <c r="C4194" t="s">
        <v>5</v>
      </c>
      <c r="D4194">
        <v>9310</v>
      </c>
    </row>
    <row r="4195" spans="1:4" x14ac:dyDescent="0.4">
      <c r="A4195" s="1" t="s">
        <v>8105</v>
      </c>
      <c r="B4195" t="s">
        <v>8106</v>
      </c>
      <c r="C4195" t="s">
        <v>5</v>
      </c>
      <c r="D4195">
        <v>4980</v>
      </c>
    </row>
    <row r="4196" spans="1:4" x14ac:dyDescent="0.4">
      <c r="A4196" s="1" t="s">
        <v>8107</v>
      </c>
      <c r="B4196" t="s">
        <v>8108</v>
      </c>
      <c r="C4196" t="s">
        <v>5</v>
      </c>
    </row>
    <row r="4197" spans="1:4" x14ac:dyDescent="0.4">
      <c r="A4197" s="1" t="s">
        <v>8109</v>
      </c>
      <c r="B4197" t="s">
        <v>8110</v>
      </c>
      <c r="C4197" t="s">
        <v>5</v>
      </c>
    </row>
    <row r="4198" spans="1:4" x14ac:dyDescent="0.4">
      <c r="A4198" s="1" t="s">
        <v>8111</v>
      </c>
      <c r="B4198" t="s">
        <v>8112</v>
      </c>
      <c r="C4198" t="s">
        <v>5</v>
      </c>
    </row>
    <row r="4199" spans="1:4" x14ac:dyDescent="0.4">
      <c r="A4199" s="1" t="s">
        <v>8113</v>
      </c>
      <c r="B4199" t="s">
        <v>8114</v>
      </c>
      <c r="C4199" t="s">
        <v>5</v>
      </c>
    </row>
    <row r="4200" spans="1:4" x14ac:dyDescent="0.4">
      <c r="A4200" s="1" t="s">
        <v>8115</v>
      </c>
      <c r="B4200" t="s">
        <v>8116</v>
      </c>
      <c r="C4200" t="s">
        <v>5</v>
      </c>
    </row>
    <row r="4201" spans="1:4" x14ac:dyDescent="0.4">
      <c r="A4201" s="1" t="s">
        <v>8117</v>
      </c>
      <c r="B4201" t="s">
        <v>8118</v>
      </c>
      <c r="C4201" t="s">
        <v>5</v>
      </c>
    </row>
    <row r="4202" spans="1:4" x14ac:dyDescent="0.4">
      <c r="A4202" s="1" t="s">
        <v>8119</v>
      </c>
      <c r="B4202" t="s">
        <v>8120</v>
      </c>
      <c r="C4202" t="s">
        <v>5</v>
      </c>
    </row>
    <row r="4203" spans="1:4" x14ac:dyDescent="0.4">
      <c r="A4203" s="1" t="s">
        <v>8121</v>
      </c>
      <c r="B4203" t="s">
        <v>8122</v>
      </c>
      <c r="C4203" t="s">
        <v>5</v>
      </c>
    </row>
    <row r="4204" spans="1:4" x14ac:dyDescent="0.4">
      <c r="A4204" s="1" t="s">
        <v>8123</v>
      </c>
      <c r="B4204" t="s">
        <v>8124</v>
      </c>
      <c r="C4204" t="s">
        <v>5</v>
      </c>
    </row>
    <row r="4205" spans="1:4" x14ac:dyDescent="0.4">
      <c r="A4205" s="1" t="s">
        <v>8125</v>
      </c>
      <c r="B4205" t="s">
        <v>8126</v>
      </c>
      <c r="C4205" t="s">
        <v>5</v>
      </c>
    </row>
    <row r="4206" spans="1:4" x14ac:dyDescent="0.4">
      <c r="A4206" s="1" t="s">
        <v>8127</v>
      </c>
      <c r="B4206" t="s">
        <v>8128</v>
      </c>
      <c r="C4206" t="s">
        <v>5</v>
      </c>
    </row>
    <row r="4207" spans="1:4" x14ac:dyDescent="0.4">
      <c r="A4207" s="1" t="s">
        <v>8129</v>
      </c>
      <c r="B4207" t="s">
        <v>8130</v>
      </c>
      <c r="C4207" t="s">
        <v>5</v>
      </c>
    </row>
    <row r="4208" spans="1:4" x14ac:dyDescent="0.4">
      <c r="A4208" s="1" t="s">
        <v>8131</v>
      </c>
      <c r="B4208" t="s">
        <v>8132</v>
      </c>
      <c r="C4208" t="s">
        <v>5</v>
      </c>
    </row>
    <row r="4209" spans="1:4" x14ac:dyDescent="0.4">
      <c r="A4209" s="1" t="s">
        <v>8133</v>
      </c>
      <c r="B4209" t="s">
        <v>8134</v>
      </c>
      <c r="C4209" t="s">
        <v>5</v>
      </c>
    </row>
    <row r="4210" spans="1:4" x14ac:dyDescent="0.4">
      <c r="A4210" s="1" t="s">
        <v>8135</v>
      </c>
      <c r="B4210" t="s">
        <v>8136</v>
      </c>
      <c r="C4210" t="s">
        <v>5</v>
      </c>
    </row>
    <row r="4211" spans="1:4" x14ac:dyDescent="0.4">
      <c r="A4211" s="1" t="s">
        <v>8137</v>
      </c>
      <c r="B4211" t="s">
        <v>8138</v>
      </c>
      <c r="C4211" t="s">
        <v>5</v>
      </c>
    </row>
    <row r="4212" spans="1:4" x14ac:dyDescent="0.4">
      <c r="A4212" s="1" t="s">
        <v>8139</v>
      </c>
      <c r="B4212" t="s">
        <v>8140</v>
      </c>
      <c r="C4212" t="s">
        <v>5</v>
      </c>
    </row>
    <row r="4213" spans="1:4" x14ac:dyDescent="0.4">
      <c r="A4213" s="1" t="s">
        <v>8141</v>
      </c>
      <c r="B4213" t="s">
        <v>8142</v>
      </c>
      <c r="C4213" t="s">
        <v>5</v>
      </c>
    </row>
    <row r="4214" spans="1:4" x14ac:dyDescent="0.4">
      <c r="A4214" s="1" t="s">
        <v>8143</v>
      </c>
      <c r="B4214" t="s">
        <v>8144</v>
      </c>
      <c r="C4214" t="s">
        <v>5</v>
      </c>
      <c r="D4214">
        <v>7000</v>
      </c>
    </row>
    <row r="4215" spans="1:4" x14ac:dyDescent="0.4">
      <c r="A4215" s="1" t="s">
        <v>8145</v>
      </c>
      <c r="B4215" t="s">
        <v>8146</v>
      </c>
      <c r="C4215" t="s">
        <v>5</v>
      </c>
    </row>
    <row r="4216" spans="1:4" x14ac:dyDescent="0.4">
      <c r="A4216" s="1" t="s">
        <v>8147</v>
      </c>
      <c r="B4216" t="s">
        <v>8148</v>
      </c>
      <c r="C4216" t="s">
        <v>5</v>
      </c>
    </row>
    <row r="4217" spans="1:4" x14ac:dyDescent="0.4">
      <c r="A4217" s="1" t="s">
        <v>8149</v>
      </c>
      <c r="B4217" t="s">
        <v>8150</v>
      </c>
      <c r="C4217" t="s">
        <v>5</v>
      </c>
    </row>
    <row r="4218" spans="1:4" x14ac:dyDescent="0.4">
      <c r="A4218" s="1" t="s">
        <v>8151</v>
      </c>
      <c r="B4218" t="s">
        <v>8152</v>
      </c>
      <c r="C4218" t="s">
        <v>5</v>
      </c>
    </row>
    <row r="4219" spans="1:4" x14ac:dyDescent="0.4">
      <c r="A4219" s="1" t="s">
        <v>8153</v>
      </c>
      <c r="B4219" t="s">
        <v>8154</v>
      </c>
      <c r="C4219" t="s">
        <v>5</v>
      </c>
    </row>
    <row r="4220" spans="1:4" x14ac:dyDescent="0.4">
      <c r="A4220" s="1" t="s">
        <v>8155</v>
      </c>
      <c r="B4220" t="s">
        <v>8156</v>
      </c>
      <c r="C4220" t="s">
        <v>5</v>
      </c>
    </row>
    <row r="4221" spans="1:4" x14ac:dyDescent="0.4">
      <c r="A4221" s="1" t="s">
        <v>8157</v>
      </c>
      <c r="B4221" t="s">
        <v>8158</v>
      </c>
      <c r="C4221" t="s">
        <v>5</v>
      </c>
    </row>
    <row r="4222" spans="1:4" x14ac:dyDescent="0.4">
      <c r="A4222" s="1" t="s">
        <v>8159</v>
      </c>
      <c r="B4222" t="s">
        <v>8160</v>
      </c>
      <c r="C4222" t="s">
        <v>5</v>
      </c>
    </row>
    <row r="4223" spans="1:4" x14ac:dyDescent="0.4">
      <c r="A4223" s="1" t="s">
        <v>8161</v>
      </c>
      <c r="B4223" t="s">
        <v>8162</v>
      </c>
      <c r="C4223" t="s">
        <v>5</v>
      </c>
    </row>
    <row r="4224" spans="1:4" x14ac:dyDescent="0.4">
      <c r="A4224" s="1" t="s">
        <v>8163</v>
      </c>
      <c r="B4224" t="s">
        <v>8164</v>
      </c>
      <c r="C4224" t="s">
        <v>5</v>
      </c>
    </row>
    <row r="4225" spans="1:3" x14ac:dyDescent="0.4">
      <c r="A4225" s="1" t="s">
        <v>8165</v>
      </c>
      <c r="B4225" t="s">
        <v>8166</v>
      </c>
      <c r="C4225" t="s">
        <v>5</v>
      </c>
    </row>
    <row r="4226" spans="1:3" x14ac:dyDescent="0.4">
      <c r="A4226" s="1" t="s">
        <v>8167</v>
      </c>
      <c r="B4226" t="s">
        <v>8168</v>
      </c>
      <c r="C4226" t="s">
        <v>5</v>
      </c>
    </row>
    <row r="4227" spans="1:3" x14ac:dyDescent="0.4">
      <c r="A4227" s="1" t="s">
        <v>8169</v>
      </c>
      <c r="B4227" t="s">
        <v>8170</v>
      </c>
      <c r="C4227" t="s">
        <v>5</v>
      </c>
    </row>
    <row r="4228" spans="1:3" x14ac:dyDescent="0.4">
      <c r="A4228" s="1" t="s">
        <v>8171</v>
      </c>
      <c r="B4228" t="s">
        <v>8172</v>
      </c>
      <c r="C4228" t="s">
        <v>5</v>
      </c>
    </row>
    <row r="4229" spans="1:3" x14ac:dyDescent="0.4">
      <c r="A4229" s="1" t="s">
        <v>8173</v>
      </c>
      <c r="B4229" t="s">
        <v>8174</v>
      </c>
      <c r="C4229" t="s">
        <v>5</v>
      </c>
    </row>
    <row r="4230" spans="1:3" x14ac:dyDescent="0.4">
      <c r="A4230" s="1" t="s">
        <v>8175</v>
      </c>
      <c r="B4230" t="s">
        <v>8176</v>
      </c>
      <c r="C4230" t="s">
        <v>5</v>
      </c>
    </row>
    <row r="4231" spans="1:3" x14ac:dyDescent="0.4">
      <c r="A4231" s="1" t="s">
        <v>8177</v>
      </c>
      <c r="B4231" t="s">
        <v>8178</v>
      </c>
      <c r="C4231" t="s">
        <v>5</v>
      </c>
    </row>
    <row r="4232" spans="1:3" x14ac:dyDescent="0.4">
      <c r="A4232" s="1" t="s">
        <v>8179</v>
      </c>
      <c r="B4232" t="s">
        <v>8180</v>
      </c>
      <c r="C4232" t="s">
        <v>5</v>
      </c>
    </row>
    <row r="4233" spans="1:3" x14ac:dyDescent="0.4">
      <c r="A4233" s="1" t="s">
        <v>8181</v>
      </c>
      <c r="B4233" t="s">
        <v>8182</v>
      </c>
      <c r="C4233" t="s">
        <v>5</v>
      </c>
    </row>
    <row r="4234" spans="1:3" x14ac:dyDescent="0.4">
      <c r="A4234" s="1" t="s">
        <v>8183</v>
      </c>
      <c r="B4234" t="s">
        <v>8184</v>
      </c>
      <c r="C4234" t="s">
        <v>5</v>
      </c>
    </row>
    <row r="4235" spans="1:3" x14ac:dyDescent="0.4">
      <c r="A4235" s="1" t="s">
        <v>8185</v>
      </c>
      <c r="B4235" t="s">
        <v>8186</v>
      </c>
      <c r="C4235" t="s">
        <v>5</v>
      </c>
    </row>
    <row r="4236" spans="1:3" x14ac:dyDescent="0.4">
      <c r="A4236" s="1" t="s">
        <v>8187</v>
      </c>
      <c r="B4236" t="s">
        <v>8188</v>
      </c>
      <c r="C4236" t="s">
        <v>5</v>
      </c>
    </row>
    <row r="4237" spans="1:3" x14ac:dyDescent="0.4">
      <c r="A4237" s="1" t="s">
        <v>8189</v>
      </c>
      <c r="B4237" t="s">
        <v>8190</v>
      </c>
      <c r="C4237" t="s">
        <v>5</v>
      </c>
    </row>
    <row r="4238" spans="1:3" x14ac:dyDescent="0.4">
      <c r="A4238" s="1" t="s">
        <v>8191</v>
      </c>
      <c r="B4238" t="s">
        <v>8192</v>
      </c>
      <c r="C4238" t="s">
        <v>5</v>
      </c>
    </row>
    <row r="4239" spans="1:3" x14ac:dyDescent="0.4">
      <c r="A4239" s="1" t="s">
        <v>8193</v>
      </c>
      <c r="B4239" t="s">
        <v>8194</v>
      </c>
      <c r="C4239" t="s">
        <v>5</v>
      </c>
    </row>
    <row r="4240" spans="1:3" x14ac:dyDescent="0.4">
      <c r="A4240" s="1" t="s">
        <v>8195</v>
      </c>
      <c r="B4240" t="s">
        <v>8196</v>
      </c>
      <c r="C4240" t="s">
        <v>5</v>
      </c>
    </row>
    <row r="4241" spans="1:4" x14ac:dyDescent="0.4">
      <c r="A4241" s="1" t="s">
        <v>8197</v>
      </c>
      <c r="B4241" t="s">
        <v>8198</v>
      </c>
      <c r="C4241" t="s">
        <v>5</v>
      </c>
    </row>
    <row r="4242" spans="1:4" x14ac:dyDescent="0.4">
      <c r="A4242" s="1" t="s">
        <v>8199</v>
      </c>
      <c r="B4242" t="s">
        <v>8200</v>
      </c>
      <c r="C4242" t="s">
        <v>5</v>
      </c>
      <c r="D4242">
        <v>10000</v>
      </c>
    </row>
    <row r="4243" spans="1:4" x14ac:dyDescent="0.4">
      <c r="A4243" s="1" t="s">
        <v>8201</v>
      </c>
      <c r="B4243" t="s">
        <v>8202</v>
      </c>
      <c r="C4243" t="s">
        <v>5</v>
      </c>
      <c r="D4243">
        <v>21000</v>
      </c>
    </row>
    <row r="4244" spans="1:4" x14ac:dyDescent="0.4">
      <c r="A4244" s="1" t="s">
        <v>8203</v>
      </c>
      <c r="B4244" t="s">
        <v>8204</v>
      </c>
      <c r="C4244" t="s">
        <v>5</v>
      </c>
      <c r="D4244">
        <v>10000</v>
      </c>
    </row>
    <row r="4245" spans="1:4" x14ac:dyDescent="0.4">
      <c r="A4245" s="1" t="s">
        <v>8205</v>
      </c>
      <c r="B4245" t="s">
        <v>8206</v>
      </c>
      <c r="C4245" t="s">
        <v>5</v>
      </c>
      <c r="D4245">
        <v>21000</v>
      </c>
    </row>
    <row r="4246" spans="1:4" x14ac:dyDescent="0.4">
      <c r="A4246" s="1" t="s">
        <v>8207</v>
      </c>
      <c r="B4246" t="s">
        <v>8208</v>
      </c>
      <c r="C4246" t="s">
        <v>5</v>
      </c>
    </row>
    <row r="4247" spans="1:4" x14ac:dyDescent="0.4">
      <c r="A4247" s="1" t="s">
        <v>8209</v>
      </c>
      <c r="B4247" t="s">
        <v>8210</v>
      </c>
      <c r="C4247" t="s">
        <v>5</v>
      </c>
    </row>
    <row r="4248" spans="1:4" x14ac:dyDescent="0.4">
      <c r="A4248" s="1" t="s">
        <v>8211</v>
      </c>
      <c r="B4248" t="s">
        <v>8212</v>
      </c>
      <c r="C4248" t="s">
        <v>5</v>
      </c>
      <c r="D4248">
        <v>11100</v>
      </c>
    </row>
    <row r="4249" spans="1:4" x14ac:dyDescent="0.4">
      <c r="A4249" s="1" t="s">
        <v>8213</v>
      </c>
      <c r="B4249" t="s">
        <v>8214</v>
      </c>
      <c r="C4249" t="s">
        <v>5</v>
      </c>
      <c r="D4249">
        <v>20400</v>
      </c>
    </row>
    <row r="4250" spans="1:4" x14ac:dyDescent="0.4">
      <c r="A4250" s="1" t="s">
        <v>8215</v>
      </c>
      <c r="B4250" t="s">
        <v>8216</v>
      </c>
      <c r="C4250" t="s">
        <v>5</v>
      </c>
      <c r="D4250">
        <v>9500</v>
      </c>
    </row>
    <row r="4251" spans="1:4" x14ac:dyDescent="0.4">
      <c r="A4251" s="1" t="s">
        <v>8217</v>
      </c>
      <c r="B4251" t="s">
        <v>8218</v>
      </c>
      <c r="C4251" t="s">
        <v>5</v>
      </c>
      <c r="D4251">
        <v>17400</v>
      </c>
    </row>
    <row r="4252" spans="1:4" x14ac:dyDescent="0.4">
      <c r="A4252" s="1" t="s">
        <v>8219</v>
      </c>
      <c r="B4252" t="s">
        <v>8220</v>
      </c>
      <c r="C4252" t="s">
        <v>5</v>
      </c>
      <c r="D4252">
        <v>29300</v>
      </c>
    </row>
    <row r="4253" spans="1:4" x14ac:dyDescent="0.4">
      <c r="A4253" s="1" t="s">
        <v>8221</v>
      </c>
      <c r="B4253" t="s">
        <v>8222</v>
      </c>
      <c r="C4253" t="s">
        <v>5</v>
      </c>
    </row>
    <row r="4254" spans="1:4" x14ac:dyDescent="0.4">
      <c r="A4254" s="1" t="s">
        <v>8223</v>
      </c>
      <c r="B4254" t="s">
        <v>8224</v>
      </c>
      <c r="C4254" t="s">
        <v>5</v>
      </c>
      <c r="D4254">
        <v>20000</v>
      </c>
    </row>
    <row r="4255" spans="1:4" x14ac:dyDescent="0.4">
      <c r="A4255" s="1" t="s">
        <v>8225</v>
      </c>
      <c r="B4255" t="s">
        <v>8226</v>
      </c>
      <c r="C4255" t="s">
        <v>5</v>
      </c>
      <c r="D4255">
        <v>33100</v>
      </c>
    </row>
    <row r="4256" spans="1:4" x14ac:dyDescent="0.4">
      <c r="A4256" s="1" t="s">
        <v>8227</v>
      </c>
      <c r="B4256" t="s">
        <v>8228</v>
      </c>
      <c r="C4256" t="s">
        <v>5</v>
      </c>
      <c r="D4256">
        <v>53000</v>
      </c>
    </row>
    <row r="4257" spans="1:4" x14ac:dyDescent="0.4">
      <c r="A4257" s="1" t="s">
        <v>8229</v>
      </c>
      <c r="B4257" t="s">
        <v>8230</v>
      </c>
      <c r="C4257" t="s">
        <v>5</v>
      </c>
      <c r="D4257">
        <v>11100</v>
      </c>
    </row>
    <row r="4258" spans="1:4" x14ac:dyDescent="0.4">
      <c r="A4258" s="1" t="s">
        <v>8231</v>
      </c>
      <c r="B4258" t="s">
        <v>8232</v>
      </c>
      <c r="C4258" t="s">
        <v>5</v>
      </c>
      <c r="D4258">
        <v>13300</v>
      </c>
    </row>
    <row r="4259" spans="1:4" x14ac:dyDescent="0.4">
      <c r="A4259" s="1" t="s">
        <v>8233</v>
      </c>
      <c r="B4259" t="s">
        <v>8234</v>
      </c>
      <c r="C4259" t="s">
        <v>5</v>
      </c>
      <c r="D4259">
        <v>36500</v>
      </c>
    </row>
    <row r="4260" spans="1:4" x14ac:dyDescent="0.4">
      <c r="A4260" s="1" t="s">
        <v>8235</v>
      </c>
      <c r="B4260" t="s">
        <v>8236</v>
      </c>
      <c r="C4260" t="s">
        <v>5</v>
      </c>
    </row>
    <row r="4261" spans="1:4" x14ac:dyDescent="0.4">
      <c r="A4261" s="1" t="s">
        <v>8237</v>
      </c>
      <c r="B4261" t="s">
        <v>8238</v>
      </c>
      <c r="C4261" t="s">
        <v>5</v>
      </c>
      <c r="D4261">
        <v>22100</v>
      </c>
    </row>
    <row r="4262" spans="1:4" x14ac:dyDescent="0.4">
      <c r="A4262" s="1" t="s">
        <v>8239</v>
      </c>
      <c r="B4262" t="s">
        <v>8240</v>
      </c>
      <c r="C4262" t="s">
        <v>5</v>
      </c>
      <c r="D4262">
        <v>13800</v>
      </c>
    </row>
    <row r="4263" spans="1:4" x14ac:dyDescent="0.4">
      <c r="A4263" s="1" t="s">
        <v>8241</v>
      </c>
      <c r="B4263" t="s">
        <v>8242</v>
      </c>
      <c r="C4263" t="s">
        <v>5</v>
      </c>
      <c r="D4263">
        <v>34300</v>
      </c>
    </row>
    <row r="4264" spans="1:4" x14ac:dyDescent="0.4">
      <c r="A4264" s="1" t="s">
        <v>8243</v>
      </c>
      <c r="B4264" t="s">
        <v>8244</v>
      </c>
      <c r="C4264" t="s">
        <v>5</v>
      </c>
    </row>
    <row r="4265" spans="1:4" x14ac:dyDescent="0.4">
      <c r="A4265" s="1" t="s">
        <v>8245</v>
      </c>
      <c r="B4265" t="s">
        <v>8246</v>
      </c>
      <c r="C4265" t="s">
        <v>5</v>
      </c>
      <c r="D4265">
        <v>48600</v>
      </c>
    </row>
    <row r="4266" spans="1:4" x14ac:dyDescent="0.4">
      <c r="A4266" s="1" t="s">
        <v>8247</v>
      </c>
      <c r="B4266" t="s">
        <v>8248</v>
      </c>
      <c r="C4266" t="s">
        <v>5</v>
      </c>
      <c r="D4266">
        <v>48600</v>
      </c>
    </row>
    <row r="4267" spans="1:4" x14ac:dyDescent="0.4">
      <c r="A4267" s="1" t="s">
        <v>8249</v>
      </c>
      <c r="B4267" t="s">
        <v>8250</v>
      </c>
      <c r="C4267" t="s">
        <v>5</v>
      </c>
      <c r="D4267">
        <v>48600</v>
      </c>
    </row>
    <row r="4268" spans="1:4" x14ac:dyDescent="0.4">
      <c r="A4268" s="1" t="s">
        <v>8251</v>
      </c>
      <c r="B4268" t="s">
        <v>8252</v>
      </c>
      <c r="C4268" t="s">
        <v>5</v>
      </c>
      <c r="D4268">
        <v>67400</v>
      </c>
    </row>
    <row r="4269" spans="1:4" x14ac:dyDescent="0.4">
      <c r="A4269" s="1" t="s">
        <v>8253</v>
      </c>
      <c r="B4269" t="s">
        <v>8254</v>
      </c>
      <c r="C4269" t="s">
        <v>5</v>
      </c>
      <c r="D4269">
        <v>48600</v>
      </c>
    </row>
    <row r="4270" spans="1:4" x14ac:dyDescent="0.4">
      <c r="A4270" s="1" t="s">
        <v>8255</v>
      </c>
      <c r="B4270" t="s">
        <v>8256</v>
      </c>
      <c r="C4270" t="s">
        <v>5</v>
      </c>
      <c r="D4270">
        <v>3000</v>
      </c>
    </row>
    <row r="4271" spans="1:4" x14ac:dyDescent="0.4">
      <c r="A4271" s="1" t="s">
        <v>8257</v>
      </c>
      <c r="B4271" t="s">
        <v>8258</v>
      </c>
      <c r="C4271" t="s">
        <v>5</v>
      </c>
      <c r="D4271">
        <v>10000</v>
      </c>
    </row>
    <row r="4272" spans="1:4" x14ac:dyDescent="0.4">
      <c r="A4272" s="1" t="s">
        <v>8259</v>
      </c>
      <c r="B4272" t="s">
        <v>8260</v>
      </c>
      <c r="C4272" t="s">
        <v>5</v>
      </c>
      <c r="D4272">
        <v>3000</v>
      </c>
    </row>
    <row r="4273" spans="1:4" x14ac:dyDescent="0.4">
      <c r="A4273" s="1" t="s">
        <v>8261</v>
      </c>
      <c r="B4273" t="s">
        <v>8262</v>
      </c>
      <c r="C4273" t="s">
        <v>5</v>
      </c>
      <c r="D4273">
        <v>3000</v>
      </c>
    </row>
    <row r="4274" spans="1:4" x14ac:dyDescent="0.4">
      <c r="A4274" s="1" t="s">
        <v>8263</v>
      </c>
      <c r="B4274" t="s">
        <v>8264</v>
      </c>
      <c r="C4274" t="s">
        <v>5</v>
      </c>
    </row>
    <row r="4275" spans="1:4" x14ac:dyDescent="0.4">
      <c r="A4275" s="1" t="s">
        <v>8265</v>
      </c>
      <c r="B4275" t="s">
        <v>8266</v>
      </c>
      <c r="C4275" t="s">
        <v>5</v>
      </c>
    </row>
    <row r="4276" spans="1:4" x14ac:dyDescent="0.4">
      <c r="A4276" s="1" t="s">
        <v>8267</v>
      </c>
      <c r="B4276" t="s">
        <v>8268</v>
      </c>
      <c r="C4276" t="s">
        <v>5</v>
      </c>
    </row>
    <row r="4277" spans="1:4" x14ac:dyDescent="0.4">
      <c r="A4277" s="1" t="s">
        <v>8269</v>
      </c>
      <c r="B4277" t="s">
        <v>8270</v>
      </c>
      <c r="C4277" t="s">
        <v>5</v>
      </c>
    </row>
    <row r="4278" spans="1:4" x14ac:dyDescent="0.4">
      <c r="A4278" s="1" t="s">
        <v>8271</v>
      </c>
      <c r="B4278" t="s">
        <v>8272</v>
      </c>
      <c r="C4278" t="s">
        <v>5</v>
      </c>
    </row>
    <row r="4279" spans="1:4" x14ac:dyDescent="0.4">
      <c r="A4279" s="1" t="s">
        <v>8273</v>
      </c>
      <c r="B4279" t="s">
        <v>8274</v>
      </c>
      <c r="C4279" t="s">
        <v>5</v>
      </c>
    </row>
    <row r="4280" spans="1:4" x14ac:dyDescent="0.4">
      <c r="A4280" s="1" t="s">
        <v>8275</v>
      </c>
      <c r="B4280" t="s">
        <v>8276</v>
      </c>
      <c r="C4280" t="s">
        <v>5</v>
      </c>
    </row>
    <row r="4281" spans="1:4" x14ac:dyDescent="0.4">
      <c r="A4281" s="1" t="s">
        <v>8277</v>
      </c>
      <c r="B4281" t="s">
        <v>8278</v>
      </c>
      <c r="C4281" t="s">
        <v>5</v>
      </c>
    </row>
    <row r="4282" spans="1:4" x14ac:dyDescent="0.4">
      <c r="A4282" s="1" t="s">
        <v>8279</v>
      </c>
      <c r="B4282" t="s">
        <v>8280</v>
      </c>
      <c r="C4282" t="s">
        <v>5</v>
      </c>
    </row>
    <row r="4283" spans="1:4" x14ac:dyDescent="0.4">
      <c r="A4283" s="1" t="s">
        <v>8281</v>
      </c>
      <c r="B4283" t="s">
        <v>8282</v>
      </c>
      <c r="C4283" t="s">
        <v>5</v>
      </c>
    </row>
    <row r="4284" spans="1:4" x14ac:dyDescent="0.4">
      <c r="A4284" s="1" t="s">
        <v>8283</v>
      </c>
      <c r="B4284" t="s">
        <v>8284</v>
      </c>
      <c r="C4284" t="s">
        <v>5</v>
      </c>
    </row>
    <row r="4285" spans="1:4" x14ac:dyDescent="0.4">
      <c r="A4285" s="1" t="s">
        <v>8285</v>
      </c>
      <c r="B4285" t="s">
        <v>8286</v>
      </c>
      <c r="C4285" t="s">
        <v>5</v>
      </c>
    </row>
    <row r="4286" spans="1:4" x14ac:dyDescent="0.4">
      <c r="A4286" s="1" t="s">
        <v>8287</v>
      </c>
      <c r="B4286" t="s">
        <v>8288</v>
      </c>
      <c r="C4286" t="s">
        <v>5</v>
      </c>
    </row>
    <row r="4287" spans="1:4" x14ac:dyDescent="0.4">
      <c r="A4287" s="1" t="s">
        <v>8289</v>
      </c>
      <c r="B4287" t="s">
        <v>8290</v>
      </c>
      <c r="C4287" t="s">
        <v>5</v>
      </c>
    </row>
    <row r="4288" spans="1:4" x14ac:dyDescent="0.4">
      <c r="A4288" s="1" t="s">
        <v>8291</v>
      </c>
      <c r="B4288" t="s">
        <v>8292</v>
      </c>
      <c r="C4288" t="s">
        <v>5</v>
      </c>
    </row>
    <row r="4289" spans="1:4" x14ac:dyDescent="0.4">
      <c r="A4289" s="1" t="s">
        <v>8293</v>
      </c>
      <c r="B4289" t="s">
        <v>8294</v>
      </c>
      <c r="C4289" t="s">
        <v>5</v>
      </c>
    </row>
    <row r="4290" spans="1:4" x14ac:dyDescent="0.4">
      <c r="A4290" s="1" t="s">
        <v>8295</v>
      </c>
      <c r="B4290" t="s">
        <v>8296</v>
      </c>
      <c r="C4290" t="s">
        <v>5</v>
      </c>
    </row>
    <row r="4291" spans="1:4" x14ac:dyDescent="0.4">
      <c r="A4291" s="1" t="s">
        <v>8297</v>
      </c>
      <c r="B4291" t="s">
        <v>8298</v>
      </c>
      <c r="C4291" t="s">
        <v>5</v>
      </c>
    </row>
    <row r="4292" spans="1:4" x14ac:dyDescent="0.4">
      <c r="A4292" s="1" t="s">
        <v>8299</v>
      </c>
      <c r="B4292" t="s">
        <v>8300</v>
      </c>
      <c r="C4292" t="s">
        <v>5</v>
      </c>
      <c r="D4292">
        <v>17100</v>
      </c>
    </row>
    <row r="4293" spans="1:4" x14ac:dyDescent="0.4">
      <c r="A4293" s="1" t="s">
        <v>8301</v>
      </c>
      <c r="B4293" t="s">
        <v>8302</v>
      </c>
      <c r="C4293" t="s">
        <v>5</v>
      </c>
      <c r="D4293">
        <v>24218</v>
      </c>
    </row>
    <row r="4294" spans="1:4" x14ac:dyDescent="0.4">
      <c r="A4294" s="1" t="s">
        <v>8303</v>
      </c>
      <c r="B4294" t="s">
        <v>8304</v>
      </c>
      <c r="C4294" t="s">
        <v>5</v>
      </c>
      <c r="D4294">
        <v>24218</v>
      </c>
    </row>
    <row r="4295" spans="1:4" x14ac:dyDescent="0.4">
      <c r="A4295" s="1" t="s">
        <v>8305</v>
      </c>
      <c r="B4295" t="s">
        <v>8306</v>
      </c>
      <c r="C4295" t="s">
        <v>5</v>
      </c>
      <c r="D4295">
        <v>17327</v>
      </c>
    </row>
    <row r="4296" spans="1:4" x14ac:dyDescent="0.4">
      <c r="A4296" s="1" t="s">
        <v>8307</v>
      </c>
      <c r="B4296" t="s">
        <v>8308</v>
      </c>
      <c r="C4296" t="s">
        <v>5</v>
      </c>
      <c r="D4296">
        <v>4900</v>
      </c>
    </row>
    <row r="4297" spans="1:4" x14ac:dyDescent="0.4">
      <c r="A4297" s="1" t="s">
        <v>8309</v>
      </c>
      <c r="B4297" t="s">
        <v>8310</v>
      </c>
      <c r="C4297" t="s">
        <v>5</v>
      </c>
      <c r="D4297">
        <v>4900</v>
      </c>
    </row>
    <row r="4298" spans="1:4" x14ac:dyDescent="0.4">
      <c r="A4298" s="1" t="s">
        <v>8311</v>
      </c>
      <c r="B4298" t="s">
        <v>8312</v>
      </c>
      <c r="C4298" t="s">
        <v>5</v>
      </c>
      <c r="D4298">
        <v>8200</v>
      </c>
    </row>
    <row r="4299" spans="1:4" x14ac:dyDescent="0.4">
      <c r="A4299" s="1" t="s">
        <v>8313</v>
      </c>
      <c r="B4299" t="s">
        <v>8314</v>
      </c>
      <c r="C4299" t="s">
        <v>5</v>
      </c>
    </row>
    <row r="4300" spans="1:4" x14ac:dyDescent="0.4">
      <c r="A4300" s="1" t="s">
        <v>8315</v>
      </c>
      <c r="B4300" t="s">
        <v>8316</v>
      </c>
      <c r="C4300" t="s">
        <v>5</v>
      </c>
    </row>
    <row r="4301" spans="1:4" x14ac:dyDescent="0.4">
      <c r="A4301" s="1" t="s">
        <v>8317</v>
      </c>
      <c r="B4301" t="s">
        <v>8318</v>
      </c>
      <c r="C4301" t="s">
        <v>5</v>
      </c>
    </row>
    <row r="4302" spans="1:4" x14ac:dyDescent="0.4">
      <c r="A4302" s="1" t="s">
        <v>8319</v>
      </c>
      <c r="B4302" t="s">
        <v>8320</v>
      </c>
      <c r="C4302" t="s">
        <v>5</v>
      </c>
    </row>
    <row r="4303" spans="1:4" x14ac:dyDescent="0.4">
      <c r="A4303" s="1" t="s">
        <v>8321</v>
      </c>
      <c r="B4303" t="s">
        <v>8322</v>
      </c>
      <c r="C4303" t="s">
        <v>5</v>
      </c>
    </row>
    <row r="4304" spans="1:4" x14ac:dyDescent="0.4">
      <c r="A4304" s="1" t="s">
        <v>8323</v>
      </c>
      <c r="B4304" t="s">
        <v>8324</v>
      </c>
      <c r="C4304" t="s">
        <v>5</v>
      </c>
    </row>
    <row r="4305" spans="1:4" x14ac:dyDescent="0.4">
      <c r="A4305" s="1" t="s">
        <v>8325</v>
      </c>
      <c r="B4305" t="s">
        <v>8326</v>
      </c>
      <c r="C4305" t="s">
        <v>5</v>
      </c>
    </row>
    <row r="4306" spans="1:4" x14ac:dyDescent="0.4">
      <c r="A4306" s="1" t="s">
        <v>8327</v>
      </c>
      <c r="B4306" t="s">
        <v>8328</v>
      </c>
      <c r="C4306" t="s">
        <v>5</v>
      </c>
    </row>
    <row r="4307" spans="1:4" x14ac:dyDescent="0.4">
      <c r="A4307" s="1" t="s">
        <v>8329</v>
      </c>
      <c r="B4307" t="s">
        <v>8330</v>
      </c>
      <c r="C4307" t="s">
        <v>5</v>
      </c>
    </row>
    <row r="4308" spans="1:4" x14ac:dyDescent="0.4">
      <c r="A4308" s="1" t="s">
        <v>8331</v>
      </c>
      <c r="B4308" t="s">
        <v>8332</v>
      </c>
      <c r="C4308" t="s">
        <v>5</v>
      </c>
    </row>
    <row r="4309" spans="1:4" x14ac:dyDescent="0.4">
      <c r="A4309" s="1" t="s">
        <v>8333</v>
      </c>
      <c r="B4309" t="s">
        <v>8334</v>
      </c>
      <c r="C4309" t="s">
        <v>5</v>
      </c>
    </row>
    <row r="4310" spans="1:4" x14ac:dyDescent="0.4">
      <c r="A4310" s="1" t="s">
        <v>8335</v>
      </c>
      <c r="B4310" t="s">
        <v>8336</v>
      </c>
      <c r="C4310" t="s">
        <v>5</v>
      </c>
      <c r="D4310">
        <v>16070</v>
      </c>
    </row>
    <row r="4311" spans="1:4" x14ac:dyDescent="0.4">
      <c r="A4311" s="1" t="s">
        <v>8337</v>
      </c>
      <c r="B4311" t="s">
        <v>8338</v>
      </c>
      <c r="C4311" t="s">
        <v>5</v>
      </c>
      <c r="D4311">
        <v>26780</v>
      </c>
    </row>
    <row r="4312" spans="1:4" x14ac:dyDescent="0.4">
      <c r="A4312" s="1" t="s">
        <v>8339</v>
      </c>
      <c r="B4312" t="s">
        <v>8340</v>
      </c>
      <c r="C4312" t="s">
        <v>5</v>
      </c>
      <c r="D4312">
        <v>14990</v>
      </c>
    </row>
    <row r="4313" spans="1:4" x14ac:dyDescent="0.4">
      <c r="A4313" s="1" t="s">
        <v>8341</v>
      </c>
      <c r="B4313" t="s">
        <v>8342</v>
      </c>
      <c r="C4313" t="s">
        <v>5</v>
      </c>
      <c r="D4313">
        <v>25060</v>
      </c>
    </row>
    <row r="4314" spans="1:4" x14ac:dyDescent="0.4">
      <c r="A4314" s="1" t="s">
        <v>8343</v>
      </c>
      <c r="B4314" t="s">
        <v>8344</v>
      </c>
      <c r="C4314" t="s">
        <v>5</v>
      </c>
      <c r="D4314">
        <v>16070</v>
      </c>
    </row>
    <row r="4315" spans="1:4" x14ac:dyDescent="0.4">
      <c r="A4315" s="1" t="s">
        <v>8345</v>
      </c>
      <c r="B4315" t="s">
        <v>8346</v>
      </c>
      <c r="C4315" t="s">
        <v>5</v>
      </c>
      <c r="D4315">
        <v>26780</v>
      </c>
    </row>
    <row r="4316" spans="1:4" x14ac:dyDescent="0.4">
      <c r="A4316" s="1" t="s">
        <v>8347</v>
      </c>
      <c r="B4316" t="s">
        <v>8348</v>
      </c>
      <c r="C4316" t="s">
        <v>5</v>
      </c>
      <c r="D4316">
        <v>16070</v>
      </c>
    </row>
    <row r="4317" spans="1:4" x14ac:dyDescent="0.4">
      <c r="A4317" s="1" t="s">
        <v>8349</v>
      </c>
      <c r="B4317" t="s">
        <v>8350</v>
      </c>
      <c r="C4317" t="s">
        <v>5</v>
      </c>
      <c r="D4317">
        <v>26780</v>
      </c>
    </row>
    <row r="4318" spans="1:4" x14ac:dyDescent="0.4">
      <c r="A4318" s="1" t="s">
        <v>8351</v>
      </c>
      <c r="B4318" t="s">
        <v>8352</v>
      </c>
      <c r="C4318" t="s">
        <v>5</v>
      </c>
      <c r="D4318">
        <v>11550</v>
      </c>
    </row>
    <row r="4319" spans="1:4" x14ac:dyDescent="0.4">
      <c r="A4319" s="1" t="s">
        <v>8353</v>
      </c>
      <c r="B4319" t="s">
        <v>8354</v>
      </c>
      <c r="C4319" t="s">
        <v>5</v>
      </c>
      <c r="D4319">
        <v>16800</v>
      </c>
    </row>
    <row r="4320" spans="1:4" x14ac:dyDescent="0.4">
      <c r="A4320" s="1" t="s">
        <v>8355</v>
      </c>
      <c r="B4320" t="s">
        <v>8356</v>
      </c>
      <c r="C4320" t="s">
        <v>5</v>
      </c>
      <c r="D4320">
        <v>8400</v>
      </c>
    </row>
    <row r="4321" spans="1:4" x14ac:dyDescent="0.4">
      <c r="A4321" s="1" t="s">
        <v>8357</v>
      </c>
      <c r="B4321" t="s">
        <v>8358</v>
      </c>
      <c r="C4321" t="s">
        <v>5</v>
      </c>
      <c r="D4321">
        <v>11550</v>
      </c>
    </row>
    <row r="4322" spans="1:4" x14ac:dyDescent="0.4">
      <c r="A4322" s="1" t="s">
        <v>8359</v>
      </c>
      <c r="B4322" t="s">
        <v>8360</v>
      </c>
      <c r="C4322" t="s">
        <v>5</v>
      </c>
      <c r="D4322">
        <v>11550</v>
      </c>
    </row>
    <row r="4323" spans="1:4" x14ac:dyDescent="0.4">
      <c r="A4323" s="1" t="s">
        <v>8361</v>
      </c>
      <c r="B4323" t="s">
        <v>8362</v>
      </c>
      <c r="C4323" t="s">
        <v>5</v>
      </c>
      <c r="D4323">
        <v>16800</v>
      </c>
    </row>
    <row r="4324" spans="1:4" x14ac:dyDescent="0.4">
      <c r="A4324" s="1" t="s">
        <v>8363</v>
      </c>
      <c r="B4324" t="s">
        <v>8364</v>
      </c>
      <c r="C4324" t="s">
        <v>5</v>
      </c>
      <c r="D4324">
        <v>11550</v>
      </c>
    </row>
    <row r="4325" spans="1:4" x14ac:dyDescent="0.4">
      <c r="A4325" s="1" t="s">
        <v>8365</v>
      </c>
      <c r="B4325" t="s">
        <v>8366</v>
      </c>
      <c r="C4325" t="s">
        <v>5</v>
      </c>
      <c r="D4325">
        <v>16800</v>
      </c>
    </row>
    <row r="4326" spans="1:4" x14ac:dyDescent="0.4">
      <c r="A4326" s="1" t="s">
        <v>8367</v>
      </c>
      <c r="B4326" t="s">
        <v>8368</v>
      </c>
      <c r="C4326" t="s">
        <v>5</v>
      </c>
      <c r="D4326">
        <v>16490</v>
      </c>
    </row>
    <row r="4327" spans="1:4" x14ac:dyDescent="0.4">
      <c r="A4327" s="1" t="s">
        <v>8369</v>
      </c>
      <c r="B4327" t="s">
        <v>8370</v>
      </c>
      <c r="C4327" t="s">
        <v>5</v>
      </c>
      <c r="D4327">
        <v>17540</v>
      </c>
    </row>
    <row r="4328" spans="1:4" x14ac:dyDescent="0.4">
      <c r="A4328" s="1" t="s">
        <v>8371</v>
      </c>
      <c r="B4328" t="s">
        <v>8372</v>
      </c>
      <c r="C4328" t="s">
        <v>5</v>
      </c>
      <c r="D4328">
        <v>16490</v>
      </c>
    </row>
    <row r="4329" spans="1:4" x14ac:dyDescent="0.4">
      <c r="A4329" s="1" t="s">
        <v>8373</v>
      </c>
      <c r="B4329" t="s">
        <v>8374</v>
      </c>
      <c r="C4329" t="s">
        <v>5</v>
      </c>
      <c r="D4329">
        <v>16490</v>
      </c>
    </row>
    <row r="4330" spans="1:4" x14ac:dyDescent="0.4">
      <c r="A4330" s="1" t="s">
        <v>8375</v>
      </c>
      <c r="B4330" t="s">
        <v>8376</v>
      </c>
      <c r="C4330" t="s">
        <v>5</v>
      </c>
      <c r="D4330">
        <v>14700</v>
      </c>
    </row>
    <row r="4331" spans="1:4" x14ac:dyDescent="0.4">
      <c r="A4331" s="1" t="s">
        <v>8377</v>
      </c>
      <c r="B4331" t="s">
        <v>8378</v>
      </c>
      <c r="C4331" t="s">
        <v>5</v>
      </c>
      <c r="D4331">
        <v>28350</v>
      </c>
    </row>
    <row r="4332" spans="1:4" x14ac:dyDescent="0.4">
      <c r="A4332" s="1" t="s">
        <v>8379</v>
      </c>
      <c r="B4332" t="s">
        <v>8380</v>
      </c>
      <c r="C4332" t="s">
        <v>5</v>
      </c>
      <c r="D4332">
        <v>13650</v>
      </c>
    </row>
    <row r="4333" spans="1:4" x14ac:dyDescent="0.4">
      <c r="A4333" s="1" t="s">
        <v>8381</v>
      </c>
      <c r="B4333" t="s">
        <v>8382</v>
      </c>
      <c r="C4333" t="s">
        <v>5</v>
      </c>
      <c r="D4333">
        <v>26250</v>
      </c>
    </row>
    <row r="4334" spans="1:4" x14ac:dyDescent="0.4">
      <c r="A4334" s="1" t="s">
        <v>8383</v>
      </c>
      <c r="B4334" t="s">
        <v>8384</v>
      </c>
      <c r="C4334" t="s">
        <v>5</v>
      </c>
      <c r="D4334">
        <v>14700</v>
      </c>
    </row>
    <row r="4335" spans="1:4" x14ac:dyDescent="0.4">
      <c r="A4335" s="1" t="s">
        <v>8385</v>
      </c>
      <c r="B4335" t="s">
        <v>8386</v>
      </c>
      <c r="C4335" t="s">
        <v>5</v>
      </c>
      <c r="D4335">
        <v>28350</v>
      </c>
    </row>
    <row r="4336" spans="1:4" x14ac:dyDescent="0.4">
      <c r="A4336" s="1" t="s">
        <v>8387</v>
      </c>
      <c r="B4336" t="s">
        <v>8388</v>
      </c>
      <c r="C4336" t="s">
        <v>5</v>
      </c>
      <c r="D4336">
        <v>14700</v>
      </c>
    </row>
    <row r="4337" spans="1:4" x14ac:dyDescent="0.4">
      <c r="A4337" s="1" t="s">
        <v>8389</v>
      </c>
      <c r="B4337" t="s">
        <v>8390</v>
      </c>
      <c r="C4337" t="s">
        <v>5</v>
      </c>
      <c r="D4337">
        <v>28350</v>
      </c>
    </row>
    <row r="4338" spans="1:4" x14ac:dyDescent="0.4">
      <c r="A4338" s="1" t="s">
        <v>8391</v>
      </c>
      <c r="B4338" t="s">
        <v>8392</v>
      </c>
      <c r="C4338" t="s">
        <v>5</v>
      </c>
      <c r="D4338">
        <v>7040</v>
      </c>
    </row>
    <row r="4339" spans="1:4" x14ac:dyDescent="0.4">
      <c r="A4339" s="1" t="s">
        <v>8393</v>
      </c>
      <c r="B4339" t="s">
        <v>8394</v>
      </c>
      <c r="C4339" t="s">
        <v>5</v>
      </c>
      <c r="D4339">
        <v>8090</v>
      </c>
    </row>
    <row r="4340" spans="1:4" x14ac:dyDescent="0.4">
      <c r="A4340" s="1" t="s">
        <v>8395</v>
      </c>
      <c r="B4340" t="s">
        <v>8396</v>
      </c>
      <c r="C4340" t="s">
        <v>5</v>
      </c>
      <c r="D4340">
        <v>19430</v>
      </c>
    </row>
    <row r="4341" spans="1:4" x14ac:dyDescent="0.4">
      <c r="A4341" s="1" t="s">
        <v>8397</v>
      </c>
      <c r="B4341" t="s">
        <v>8398</v>
      </c>
      <c r="C4341" t="s">
        <v>5</v>
      </c>
      <c r="D4341">
        <v>7040</v>
      </c>
    </row>
    <row r="4342" spans="1:4" x14ac:dyDescent="0.4">
      <c r="A4342" s="1" t="s">
        <v>8399</v>
      </c>
      <c r="B4342" t="s">
        <v>8400</v>
      </c>
      <c r="C4342" t="s">
        <v>5</v>
      </c>
      <c r="D4342">
        <v>15750</v>
      </c>
    </row>
    <row r="4343" spans="1:4" x14ac:dyDescent="0.4">
      <c r="A4343" s="1" t="s">
        <v>8401</v>
      </c>
      <c r="B4343" t="s">
        <v>8402</v>
      </c>
      <c r="C4343" t="s">
        <v>5</v>
      </c>
      <c r="D4343">
        <v>7040</v>
      </c>
    </row>
    <row r="4344" spans="1:4" x14ac:dyDescent="0.4">
      <c r="A4344" s="1" t="s">
        <v>8403</v>
      </c>
      <c r="B4344" t="s">
        <v>8404</v>
      </c>
      <c r="C4344" t="s">
        <v>5</v>
      </c>
      <c r="D4344">
        <v>15750</v>
      </c>
    </row>
    <row r="4345" spans="1:4" x14ac:dyDescent="0.4">
      <c r="A4345" s="1" t="s">
        <v>8405</v>
      </c>
      <c r="B4345" t="s">
        <v>8406</v>
      </c>
      <c r="C4345" t="s">
        <v>5</v>
      </c>
      <c r="D4345">
        <v>9870</v>
      </c>
    </row>
    <row r="4346" spans="1:4" x14ac:dyDescent="0.4">
      <c r="A4346" s="1" t="s">
        <v>8407</v>
      </c>
      <c r="B4346" t="s">
        <v>8408</v>
      </c>
      <c r="C4346" t="s">
        <v>5</v>
      </c>
      <c r="D4346">
        <v>9870</v>
      </c>
    </row>
    <row r="4347" spans="1:4" x14ac:dyDescent="0.4">
      <c r="A4347" s="1" t="s">
        <v>8409</v>
      </c>
      <c r="B4347" t="s">
        <v>8410</v>
      </c>
      <c r="C4347" t="s">
        <v>5</v>
      </c>
      <c r="D4347">
        <v>9870</v>
      </c>
    </row>
    <row r="4348" spans="1:4" x14ac:dyDescent="0.4">
      <c r="A4348" s="1" t="s">
        <v>8411</v>
      </c>
      <c r="B4348" t="s">
        <v>8412</v>
      </c>
      <c r="C4348" t="s">
        <v>5</v>
      </c>
      <c r="D4348">
        <v>9870</v>
      </c>
    </row>
    <row r="4349" spans="1:4" x14ac:dyDescent="0.4">
      <c r="A4349" s="1" t="s">
        <v>8413</v>
      </c>
      <c r="B4349" t="s">
        <v>8414</v>
      </c>
      <c r="C4349" t="s">
        <v>5</v>
      </c>
      <c r="D4349">
        <v>17120</v>
      </c>
    </row>
    <row r="4350" spans="1:4" x14ac:dyDescent="0.4">
      <c r="A4350" s="1" t="s">
        <v>8415</v>
      </c>
      <c r="B4350" t="s">
        <v>8416</v>
      </c>
      <c r="C4350" t="s">
        <v>5</v>
      </c>
      <c r="D4350">
        <v>18480</v>
      </c>
    </row>
    <row r="4351" spans="1:4" x14ac:dyDescent="0.4">
      <c r="A4351" s="1" t="s">
        <v>8417</v>
      </c>
      <c r="B4351" t="s">
        <v>8418</v>
      </c>
      <c r="C4351" t="s">
        <v>5</v>
      </c>
      <c r="D4351">
        <v>17120</v>
      </c>
    </row>
    <row r="4352" spans="1:4" x14ac:dyDescent="0.4">
      <c r="A4352" s="1" t="s">
        <v>8419</v>
      </c>
      <c r="B4352" t="s">
        <v>8420</v>
      </c>
      <c r="C4352" t="s">
        <v>5</v>
      </c>
      <c r="D4352">
        <v>17120</v>
      </c>
    </row>
    <row r="4353" spans="1:4" x14ac:dyDescent="0.4">
      <c r="A4353" s="1" t="s">
        <v>8421</v>
      </c>
      <c r="B4353" t="s">
        <v>8422</v>
      </c>
      <c r="C4353" t="s">
        <v>5</v>
      </c>
      <c r="D4353">
        <v>17460</v>
      </c>
    </row>
    <row r="4354" spans="1:4" x14ac:dyDescent="0.4">
      <c r="A4354" s="1" t="s">
        <v>8423</v>
      </c>
      <c r="B4354" t="s">
        <v>8424</v>
      </c>
      <c r="C4354" t="s">
        <v>5</v>
      </c>
      <c r="D4354">
        <v>18850</v>
      </c>
    </row>
    <row r="4355" spans="1:4" x14ac:dyDescent="0.4">
      <c r="A4355" s="1" t="s">
        <v>8425</v>
      </c>
      <c r="B4355" t="s">
        <v>8426</v>
      </c>
      <c r="C4355" t="s">
        <v>5</v>
      </c>
      <c r="D4355">
        <v>17460</v>
      </c>
    </row>
    <row r="4356" spans="1:4" x14ac:dyDescent="0.4">
      <c r="A4356" s="1" t="s">
        <v>8427</v>
      </c>
      <c r="B4356" t="s">
        <v>8428</v>
      </c>
      <c r="C4356" t="s">
        <v>5</v>
      </c>
      <c r="D4356">
        <v>17460</v>
      </c>
    </row>
    <row r="4357" spans="1:4" x14ac:dyDescent="0.4">
      <c r="A4357" s="1" t="s">
        <v>8429</v>
      </c>
      <c r="B4357" t="s">
        <v>8430</v>
      </c>
      <c r="C4357" t="s">
        <v>5</v>
      </c>
      <c r="D4357">
        <v>13250</v>
      </c>
    </row>
    <row r="4358" spans="1:4" x14ac:dyDescent="0.4">
      <c r="A4358" s="1" t="s">
        <v>8431</v>
      </c>
      <c r="B4358" t="s">
        <v>8432</v>
      </c>
      <c r="C4358" t="s">
        <v>5</v>
      </c>
      <c r="D4358">
        <v>11700</v>
      </c>
    </row>
    <row r="4359" spans="1:4" x14ac:dyDescent="0.4">
      <c r="A4359" s="1" t="s">
        <v>8433</v>
      </c>
      <c r="B4359" t="s">
        <v>8434</v>
      </c>
      <c r="C4359" t="s">
        <v>5</v>
      </c>
      <c r="D4359">
        <v>13250</v>
      </c>
    </row>
    <row r="4360" spans="1:4" x14ac:dyDescent="0.4">
      <c r="A4360" s="1" t="s">
        <v>8435</v>
      </c>
      <c r="B4360" t="s">
        <v>8436</v>
      </c>
      <c r="C4360" t="s">
        <v>5</v>
      </c>
      <c r="D4360">
        <v>13250</v>
      </c>
    </row>
    <row r="4361" spans="1:4" x14ac:dyDescent="0.4">
      <c r="A4361" s="1" t="s">
        <v>8437</v>
      </c>
      <c r="B4361" t="s">
        <v>8438</v>
      </c>
      <c r="C4361" t="s">
        <v>5</v>
      </c>
      <c r="D4361">
        <v>18690</v>
      </c>
    </row>
    <row r="4362" spans="1:4" x14ac:dyDescent="0.4">
      <c r="A4362" s="1" t="s">
        <v>8439</v>
      </c>
      <c r="B4362" t="s">
        <v>8440</v>
      </c>
      <c r="C4362" t="s">
        <v>5</v>
      </c>
      <c r="D4362">
        <v>26880</v>
      </c>
    </row>
    <row r="4363" spans="1:4" x14ac:dyDescent="0.4">
      <c r="A4363" s="1" t="s">
        <v>8441</v>
      </c>
      <c r="B4363" t="s">
        <v>8442</v>
      </c>
      <c r="C4363" t="s">
        <v>5</v>
      </c>
      <c r="D4363">
        <v>18520</v>
      </c>
    </row>
    <row r="4364" spans="1:4" x14ac:dyDescent="0.4">
      <c r="A4364" s="1" t="s">
        <v>8443</v>
      </c>
      <c r="B4364" t="s">
        <v>8444</v>
      </c>
      <c r="C4364" t="s">
        <v>5</v>
      </c>
      <c r="D4364">
        <v>30430</v>
      </c>
    </row>
    <row r="4365" spans="1:4" x14ac:dyDescent="0.4">
      <c r="A4365" s="1" t="s">
        <v>8445</v>
      </c>
      <c r="B4365" t="s">
        <v>8446</v>
      </c>
      <c r="C4365" t="s">
        <v>5</v>
      </c>
      <c r="D4365">
        <v>8850</v>
      </c>
    </row>
    <row r="4366" spans="1:4" x14ac:dyDescent="0.4">
      <c r="A4366" s="1" t="s">
        <v>8447</v>
      </c>
      <c r="B4366" t="s">
        <v>8448</v>
      </c>
      <c r="C4366" t="s">
        <v>5</v>
      </c>
      <c r="D4366">
        <v>8850</v>
      </c>
    </row>
    <row r="4367" spans="1:4" x14ac:dyDescent="0.4">
      <c r="A4367" s="1" t="s">
        <v>8449</v>
      </c>
      <c r="B4367" t="s">
        <v>8450</v>
      </c>
      <c r="C4367" t="s">
        <v>5</v>
      </c>
      <c r="D4367">
        <v>8850</v>
      </c>
    </row>
    <row r="4368" spans="1:4" x14ac:dyDescent="0.4">
      <c r="A4368" s="1" t="s">
        <v>8451</v>
      </c>
      <c r="B4368" t="s">
        <v>8452</v>
      </c>
    </row>
    <row r="4369" spans="1:4" x14ac:dyDescent="0.4">
      <c r="A4369" s="1" t="s">
        <v>8453</v>
      </c>
      <c r="B4369" t="s">
        <v>8454</v>
      </c>
    </row>
    <row r="4370" spans="1:4" x14ac:dyDescent="0.4">
      <c r="A4370" s="1" t="s">
        <v>8455</v>
      </c>
      <c r="B4370" t="s">
        <v>8456</v>
      </c>
    </row>
    <row r="4371" spans="1:4" x14ac:dyDescent="0.4">
      <c r="A4371" s="1" t="s">
        <v>8457</v>
      </c>
      <c r="B4371" t="s">
        <v>8458</v>
      </c>
    </row>
    <row r="4372" spans="1:4" x14ac:dyDescent="0.4">
      <c r="A4372" s="1" t="s">
        <v>8459</v>
      </c>
      <c r="B4372" t="s">
        <v>8460</v>
      </c>
      <c r="C4372" t="s">
        <v>5</v>
      </c>
    </row>
    <row r="4373" spans="1:4" x14ac:dyDescent="0.4">
      <c r="A4373" s="1" t="s">
        <v>8461</v>
      </c>
      <c r="B4373" t="s">
        <v>8462</v>
      </c>
      <c r="C4373" t="s">
        <v>5</v>
      </c>
    </row>
    <row r="4374" spans="1:4" x14ac:dyDescent="0.4">
      <c r="A4374" s="1" t="s">
        <v>8463</v>
      </c>
      <c r="B4374" t="s">
        <v>8464</v>
      </c>
      <c r="C4374" t="s">
        <v>5</v>
      </c>
    </row>
    <row r="4375" spans="1:4" x14ac:dyDescent="0.4">
      <c r="A4375" s="1" t="s">
        <v>8465</v>
      </c>
      <c r="B4375" t="s">
        <v>8466</v>
      </c>
      <c r="C4375" t="s">
        <v>5</v>
      </c>
    </row>
    <row r="4376" spans="1:4" x14ac:dyDescent="0.4">
      <c r="A4376" s="1" t="s">
        <v>8467</v>
      </c>
      <c r="B4376" t="s">
        <v>8468</v>
      </c>
      <c r="C4376" t="s">
        <v>5</v>
      </c>
    </row>
    <row r="4377" spans="1:4" x14ac:dyDescent="0.4">
      <c r="A4377" s="1" t="s">
        <v>8469</v>
      </c>
      <c r="B4377" t="s">
        <v>8470</v>
      </c>
      <c r="C4377" t="s">
        <v>5</v>
      </c>
    </row>
    <row r="4378" spans="1:4" x14ac:dyDescent="0.4">
      <c r="A4378" s="1" t="s">
        <v>8471</v>
      </c>
      <c r="B4378" t="s">
        <v>8472</v>
      </c>
      <c r="C4378" t="s">
        <v>5</v>
      </c>
    </row>
    <row r="4379" spans="1:4" x14ac:dyDescent="0.4">
      <c r="A4379" s="1" t="s">
        <v>8473</v>
      </c>
      <c r="B4379" t="s">
        <v>8474</v>
      </c>
      <c r="C4379" t="s">
        <v>5</v>
      </c>
      <c r="D4379">
        <v>15000</v>
      </c>
    </row>
    <row r="4380" spans="1:4" x14ac:dyDescent="0.4">
      <c r="A4380" s="1" t="s">
        <v>8475</v>
      </c>
      <c r="B4380" t="s">
        <v>8476</v>
      </c>
      <c r="C4380" t="s">
        <v>5</v>
      </c>
      <c r="D4380">
        <v>10100</v>
      </c>
    </row>
    <row r="4381" spans="1:4" x14ac:dyDescent="0.4">
      <c r="A4381" s="1" t="s">
        <v>8477</v>
      </c>
      <c r="B4381" t="s">
        <v>8478</v>
      </c>
      <c r="C4381" t="s">
        <v>5</v>
      </c>
      <c r="D4381">
        <v>15500</v>
      </c>
    </row>
    <row r="4382" spans="1:4" x14ac:dyDescent="0.4">
      <c r="A4382" s="1" t="s">
        <v>8479</v>
      </c>
      <c r="B4382" t="s">
        <v>8480</v>
      </c>
      <c r="C4382" t="s">
        <v>5</v>
      </c>
      <c r="D4382">
        <v>10200</v>
      </c>
    </row>
    <row r="4383" spans="1:4" x14ac:dyDescent="0.4">
      <c r="A4383" s="1" t="s">
        <v>8481</v>
      </c>
      <c r="B4383" t="s">
        <v>8482</v>
      </c>
      <c r="C4383" t="s">
        <v>5</v>
      </c>
      <c r="D4383">
        <v>4300</v>
      </c>
    </row>
    <row r="4384" spans="1:4" x14ac:dyDescent="0.4">
      <c r="A4384" s="1" t="s">
        <v>8483</v>
      </c>
      <c r="B4384" t="s">
        <v>8484</v>
      </c>
      <c r="C4384" t="s">
        <v>5</v>
      </c>
      <c r="D4384">
        <v>21500</v>
      </c>
    </row>
    <row r="4385" spans="1:4" x14ac:dyDescent="0.4">
      <c r="A4385" s="1" t="s">
        <v>8485</v>
      </c>
      <c r="B4385" t="s">
        <v>8486</v>
      </c>
      <c r="C4385" t="s">
        <v>5</v>
      </c>
      <c r="D4385">
        <v>14200</v>
      </c>
    </row>
    <row r="4386" spans="1:4" x14ac:dyDescent="0.4">
      <c r="A4386" s="1" t="s">
        <v>8487</v>
      </c>
      <c r="B4386" t="s">
        <v>8488</v>
      </c>
      <c r="C4386" t="s">
        <v>5</v>
      </c>
      <c r="D4386">
        <v>15500</v>
      </c>
    </row>
    <row r="4387" spans="1:4" x14ac:dyDescent="0.4">
      <c r="A4387" s="1" t="s">
        <v>8489</v>
      </c>
      <c r="B4387" t="s">
        <v>8490</v>
      </c>
      <c r="C4387" t="s">
        <v>5</v>
      </c>
      <c r="D4387">
        <v>10000</v>
      </c>
    </row>
    <row r="4388" spans="1:4" x14ac:dyDescent="0.4">
      <c r="A4388" s="1" t="s">
        <v>8491</v>
      </c>
      <c r="B4388" t="s">
        <v>8492</v>
      </c>
      <c r="C4388" t="s">
        <v>5</v>
      </c>
      <c r="D4388">
        <v>7200</v>
      </c>
    </row>
    <row r="4389" spans="1:4" x14ac:dyDescent="0.4">
      <c r="A4389" s="1" t="s">
        <v>8493</v>
      </c>
      <c r="B4389" t="s">
        <v>8494</v>
      </c>
      <c r="C4389" t="s">
        <v>5</v>
      </c>
      <c r="D4389">
        <v>20000</v>
      </c>
    </row>
    <row r="4390" spans="1:4" x14ac:dyDescent="0.4">
      <c r="A4390" s="1" t="s">
        <v>8495</v>
      </c>
      <c r="B4390" t="s">
        <v>8496</v>
      </c>
      <c r="C4390" t="s">
        <v>5</v>
      </c>
      <c r="D4390">
        <v>10000</v>
      </c>
    </row>
    <row r="4391" spans="1:4" x14ac:dyDescent="0.4">
      <c r="A4391" s="1" t="s">
        <v>8497</v>
      </c>
      <c r="B4391" t="s">
        <v>8498</v>
      </c>
      <c r="C4391" t="s">
        <v>5</v>
      </c>
      <c r="D4391">
        <v>20000</v>
      </c>
    </row>
    <row r="4392" spans="1:4" x14ac:dyDescent="0.4">
      <c r="A4392" s="1" t="s">
        <v>8499</v>
      </c>
      <c r="B4392" t="s">
        <v>8500</v>
      </c>
      <c r="C4392" t="s">
        <v>5</v>
      </c>
      <c r="D4392">
        <v>12000</v>
      </c>
    </row>
    <row r="4393" spans="1:4" x14ac:dyDescent="0.4">
      <c r="A4393" s="1" t="s">
        <v>8501</v>
      </c>
      <c r="B4393" t="s">
        <v>8502</v>
      </c>
      <c r="C4393" t="s">
        <v>5</v>
      </c>
      <c r="D4393">
        <v>10000</v>
      </c>
    </row>
    <row r="4394" spans="1:4" x14ac:dyDescent="0.4">
      <c r="A4394" s="1" t="s">
        <v>8503</v>
      </c>
      <c r="B4394" t="s">
        <v>8504</v>
      </c>
      <c r="C4394" t="s">
        <v>5</v>
      </c>
      <c r="D4394">
        <v>9600</v>
      </c>
    </row>
    <row r="4395" spans="1:4" x14ac:dyDescent="0.4">
      <c r="A4395" s="1" t="s">
        <v>8505</v>
      </c>
      <c r="B4395" t="s">
        <v>8506</v>
      </c>
      <c r="C4395" t="s">
        <v>5</v>
      </c>
      <c r="D4395">
        <v>20000</v>
      </c>
    </row>
    <row r="4396" spans="1:4" x14ac:dyDescent="0.4">
      <c r="A4396" s="1" t="s">
        <v>8507</v>
      </c>
      <c r="B4396" t="s">
        <v>8508</v>
      </c>
      <c r="C4396" t="s">
        <v>5</v>
      </c>
      <c r="D4396">
        <v>16000</v>
      </c>
    </row>
    <row r="4397" spans="1:4" x14ac:dyDescent="0.4">
      <c r="A4397" s="1" t="s">
        <v>8509</v>
      </c>
      <c r="B4397" t="s">
        <v>8510</v>
      </c>
      <c r="C4397" t="s">
        <v>5</v>
      </c>
    </row>
    <row r="4398" spans="1:4" x14ac:dyDescent="0.4">
      <c r="A4398" s="1" t="s">
        <v>8511</v>
      </c>
      <c r="B4398" t="s">
        <v>8512</v>
      </c>
      <c r="C4398" t="s">
        <v>5</v>
      </c>
    </row>
    <row r="4399" spans="1:4" x14ac:dyDescent="0.4">
      <c r="A4399" s="1" t="s">
        <v>8513</v>
      </c>
      <c r="B4399" t="e">
        <f>-終息-京セラ TK-441</f>
        <v>#NAME?</v>
      </c>
      <c r="C4399" t="s">
        <v>5</v>
      </c>
      <c r="D4399">
        <v>12000</v>
      </c>
    </row>
    <row r="4400" spans="1:4" x14ac:dyDescent="0.4">
      <c r="A4400" s="1" t="s">
        <v>8514</v>
      </c>
      <c r="B4400" t="s">
        <v>8515</v>
      </c>
      <c r="C4400" t="s">
        <v>5</v>
      </c>
      <c r="D4400">
        <v>16000</v>
      </c>
    </row>
    <row r="4401" spans="1:4" x14ac:dyDescent="0.4">
      <c r="A4401" s="1" t="s">
        <v>8516</v>
      </c>
      <c r="B4401" t="s">
        <v>8517</v>
      </c>
    </row>
    <row r="4402" spans="1:4" x14ac:dyDescent="0.4">
      <c r="A4402" s="1" t="s">
        <v>8518</v>
      </c>
      <c r="B4402" t="s">
        <v>8519</v>
      </c>
      <c r="C4402" t="s">
        <v>5</v>
      </c>
      <c r="D4402">
        <v>12700</v>
      </c>
    </row>
    <row r="4403" spans="1:4" x14ac:dyDescent="0.4">
      <c r="A4403" s="1" t="s">
        <v>8520</v>
      </c>
      <c r="B4403" t="s">
        <v>8521</v>
      </c>
      <c r="C4403" t="s">
        <v>5</v>
      </c>
      <c r="D4403">
        <v>9800</v>
      </c>
    </row>
    <row r="4404" spans="1:4" x14ac:dyDescent="0.4">
      <c r="A4404" s="1" t="s">
        <v>8522</v>
      </c>
      <c r="B4404" t="s">
        <v>8523</v>
      </c>
      <c r="C4404" t="s">
        <v>5</v>
      </c>
      <c r="D4404">
        <v>12700</v>
      </c>
    </row>
    <row r="4405" spans="1:4" x14ac:dyDescent="0.4">
      <c r="A4405" s="1" t="s">
        <v>8524</v>
      </c>
      <c r="B4405" t="s">
        <v>8525</v>
      </c>
      <c r="C4405" t="s">
        <v>5</v>
      </c>
      <c r="D4405">
        <v>12700</v>
      </c>
    </row>
    <row r="4406" spans="1:4" x14ac:dyDescent="0.4">
      <c r="A4406" s="1" t="s">
        <v>8526</v>
      </c>
      <c r="B4406" t="s">
        <v>8527</v>
      </c>
      <c r="C4406" t="s">
        <v>5</v>
      </c>
      <c r="D4406">
        <v>22000</v>
      </c>
    </row>
    <row r="4407" spans="1:4" x14ac:dyDescent="0.4">
      <c r="A4407" s="1" t="s">
        <v>8528</v>
      </c>
      <c r="B4407" t="s">
        <v>8529</v>
      </c>
      <c r="C4407" t="s">
        <v>5</v>
      </c>
      <c r="D4407">
        <v>14400</v>
      </c>
    </row>
    <row r="4408" spans="1:4" x14ac:dyDescent="0.4">
      <c r="A4408" s="1" t="s">
        <v>8530</v>
      </c>
      <c r="B4408" t="s">
        <v>8531</v>
      </c>
      <c r="C4408" t="s">
        <v>5</v>
      </c>
      <c r="D4408">
        <v>22000</v>
      </c>
    </row>
    <row r="4409" spans="1:4" x14ac:dyDescent="0.4">
      <c r="A4409" s="1" t="s">
        <v>8532</v>
      </c>
      <c r="B4409" t="s">
        <v>8533</v>
      </c>
      <c r="C4409" t="s">
        <v>5</v>
      </c>
      <c r="D4409">
        <v>22000</v>
      </c>
    </row>
    <row r="4410" spans="1:4" x14ac:dyDescent="0.4">
      <c r="A4410" s="1" t="s">
        <v>8534</v>
      </c>
      <c r="B4410" t="s">
        <v>8535</v>
      </c>
      <c r="C4410" t="s">
        <v>5</v>
      </c>
      <c r="D4410">
        <v>26400</v>
      </c>
    </row>
    <row r="4411" spans="1:4" x14ac:dyDescent="0.4">
      <c r="A4411" s="1" t="s">
        <v>8536</v>
      </c>
      <c r="B4411" t="s">
        <v>8537</v>
      </c>
      <c r="C4411" t="s">
        <v>5</v>
      </c>
      <c r="D4411">
        <v>19200</v>
      </c>
    </row>
    <row r="4412" spans="1:4" x14ac:dyDescent="0.4">
      <c r="A4412" s="1" t="s">
        <v>8538</v>
      </c>
      <c r="B4412" t="s">
        <v>8539</v>
      </c>
      <c r="C4412" t="s">
        <v>5</v>
      </c>
      <c r="D4412">
        <v>26400</v>
      </c>
    </row>
    <row r="4413" spans="1:4" x14ac:dyDescent="0.4">
      <c r="A4413" s="1" t="s">
        <v>8540</v>
      </c>
      <c r="B4413" t="s">
        <v>8541</v>
      </c>
      <c r="C4413" t="s">
        <v>5</v>
      </c>
      <c r="D4413">
        <v>26400</v>
      </c>
    </row>
    <row r="4414" spans="1:4" x14ac:dyDescent="0.4">
      <c r="A4414" s="1" t="s">
        <v>8542</v>
      </c>
      <c r="B4414" t="s">
        <v>8543</v>
      </c>
      <c r="C4414" t="s">
        <v>5</v>
      </c>
    </row>
    <row r="4415" spans="1:4" x14ac:dyDescent="0.4">
      <c r="A4415" s="1" t="s">
        <v>8544</v>
      </c>
      <c r="B4415" t="s">
        <v>8545</v>
      </c>
      <c r="C4415" t="s">
        <v>5</v>
      </c>
    </row>
    <row r="4416" spans="1:4" x14ac:dyDescent="0.4">
      <c r="A4416" s="1" t="s">
        <v>8546</v>
      </c>
      <c r="B4416" t="s">
        <v>8547</v>
      </c>
      <c r="C4416" t="s">
        <v>5</v>
      </c>
    </row>
    <row r="4417" spans="1:4" x14ac:dyDescent="0.4">
      <c r="A4417" s="1" t="s">
        <v>8548</v>
      </c>
      <c r="B4417" t="s">
        <v>8549</v>
      </c>
      <c r="C4417" t="s">
        <v>5</v>
      </c>
    </row>
    <row r="4418" spans="1:4" x14ac:dyDescent="0.4">
      <c r="A4418" s="1" t="s">
        <v>8550</v>
      </c>
      <c r="B4418" t="s">
        <v>8551</v>
      </c>
      <c r="C4418" t="s">
        <v>5</v>
      </c>
    </row>
    <row r="4419" spans="1:4" x14ac:dyDescent="0.4">
      <c r="A4419" s="1" t="s">
        <v>8552</v>
      </c>
      <c r="B4419" t="s">
        <v>8553</v>
      </c>
      <c r="C4419" t="s">
        <v>5</v>
      </c>
    </row>
    <row r="4420" spans="1:4" x14ac:dyDescent="0.4">
      <c r="A4420" s="1" t="s">
        <v>8554</v>
      </c>
      <c r="B4420" t="s">
        <v>8555</v>
      </c>
      <c r="C4420" t="s">
        <v>5</v>
      </c>
    </row>
    <row r="4421" spans="1:4" x14ac:dyDescent="0.4">
      <c r="A4421" s="1" t="s">
        <v>8556</v>
      </c>
      <c r="B4421" t="s">
        <v>8557</v>
      </c>
      <c r="C4421" t="s">
        <v>5</v>
      </c>
    </row>
    <row r="4422" spans="1:4" x14ac:dyDescent="0.4">
      <c r="A4422" s="1" t="s">
        <v>8558</v>
      </c>
      <c r="B4422" t="s">
        <v>8559</v>
      </c>
      <c r="C4422" t="s">
        <v>5</v>
      </c>
      <c r="D4422">
        <v>7800</v>
      </c>
    </row>
    <row r="4423" spans="1:4" x14ac:dyDescent="0.4">
      <c r="A4423" s="1" t="s">
        <v>8560</v>
      </c>
      <c r="B4423" t="s">
        <v>8561</v>
      </c>
      <c r="C4423" t="s">
        <v>5</v>
      </c>
      <c r="D4423">
        <v>10200</v>
      </c>
    </row>
    <row r="4424" spans="1:4" x14ac:dyDescent="0.4">
      <c r="A4424" s="1" t="s">
        <v>8562</v>
      </c>
      <c r="B4424" t="s">
        <v>8563</v>
      </c>
      <c r="C4424" t="s">
        <v>5</v>
      </c>
      <c r="D4424">
        <v>10200</v>
      </c>
    </row>
    <row r="4425" spans="1:4" x14ac:dyDescent="0.4">
      <c r="A4425" s="1" t="s">
        <v>8564</v>
      </c>
      <c r="B4425" t="s">
        <v>8565</v>
      </c>
      <c r="C4425" t="s">
        <v>5</v>
      </c>
      <c r="D4425">
        <v>10200</v>
      </c>
    </row>
    <row r="4426" spans="1:4" x14ac:dyDescent="0.4">
      <c r="A4426" s="1" t="s">
        <v>8566</v>
      </c>
      <c r="B4426" t="s">
        <v>8567</v>
      </c>
      <c r="C4426" t="s">
        <v>5</v>
      </c>
      <c r="D4426">
        <v>15200</v>
      </c>
    </row>
    <row r="4427" spans="1:4" x14ac:dyDescent="0.4">
      <c r="A4427" s="1" t="s">
        <v>8568</v>
      </c>
      <c r="B4427" t="s">
        <v>8569</v>
      </c>
      <c r="C4427" t="s">
        <v>5</v>
      </c>
      <c r="D4427">
        <v>11200</v>
      </c>
    </row>
    <row r="4428" spans="1:4" x14ac:dyDescent="0.4">
      <c r="A4428" s="1" t="s">
        <v>8570</v>
      </c>
      <c r="B4428" t="s">
        <v>8571</v>
      </c>
      <c r="C4428" t="s">
        <v>5</v>
      </c>
      <c r="D4428">
        <v>15200</v>
      </c>
    </row>
    <row r="4429" spans="1:4" x14ac:dyDescent="0.4">
      <c r="A4429" s="1" t="s">
        <v>8572</v>
      </c>
      <c r="B4429" t="s">
        <v>8573</v>
      </c>
      <c r="C4429" t="s">
        <v>5</v>
      </c>
      <c r="D4429">
        <v>15200</v>
      </c>
    </row>
    <row r="4430" spans="1:4" x14ac:dyDescent="0.4">
      <c r="A4430" s="1" t="s">
        <v>8574</v>
      </c>
      <c r="B4430" t="s">
        <v>8575</v>
      </c>
      <c r="C4430" t="s">
        <v>5</v>
      </c>
      <c r="D4430">
        <v>24200</v>
      </c>
    </row>
    <row r="4431" spans="1:4" x14ac:dyDescent="0.4">
      <c r="A4431" s="1" t="s">
        <v>8576</v>
      </c>
      <c r="B4431" t="s">
        <v>8577</v>
      </c>
      <c r="C4431" t="s">
        <v>5</v>
      </c>
      <c r="D4431">
        <v>15600</v>
      </c>
    </row>
    <row r="4432" spans="1:4" x14ac:dyDescent="0.4">
      <c r="A4432" s="1" t="s">
        <v>8578</v>
      </c>
      <c r="B4432" t="s">
        <v>8579</v>
      </c>
      <c r="C4432" t="s">
        <v>5</v>
      </c>
      <c r="D4432">
        <v>24200</v>
      </c>
    </row>
    <row r="4433" spans="1:4" x14ac:dyDescent="0.4">
      <c r="A4433" s="1" t="s">
        <v>8580</v>
      </c>
      <c r="B4433" t="s">
        <v>8581</v>
      </c>
      <c r="C4433" t="s">
        <v>5</v>
      </c>
      <c r="D4433">
        <v>24200</v>
      </c>
    </row>
    <row r="4434" spans="1:4" x14ac:dyDescent="0.4">
      <c r="A4434" s="1" t="s">
        <v>8582</v>
      </c>
      <c r="B4434" t="s">
        <v>8583</v>
      </c>
      <c r="C4434" t="s">
        <v>5</v>
      </c>
      <c r="D4434">
        <v>28600</v>
      </c>
    </row>
    <row r="4435" spans="1:4" x14ac:dyDescent="0.4">
      <c r="A4435" s="1" t="s">
        <v>8584</v>
      </c>
      <c r="B4435" t="s">
        <v>8585</v>
      </c>
      <c r="C4435" t="s">
        <v>5</v>
      </c>
      <c r="D4435">
        <v>20400</v>
      </c>
    </row>
    <row r="4436" spans="1:4" x14ac:dyDescent="0.4">
      <c r="A4436" s="1" t="s">
        <v>8586</v>
      </c>
      <c r="B4436" t="s">
        <v>8587</v>
      </c>
      <c r="C4436" t="s">
        <v>5</v>
      </c>
      <c r="D4436">
        <v>28600</v>
      </c>
    </row>
    <row r="4437" spans="1:4" x14ac:dyDescent="0.4">
      <c r="A4437" s="1" t="s">
        <v>8588</v>
      </c>
      <c r="B4437" t="s">
        <v>8589</v>
      </c>
      <c r="C4437" t="s">
        <v>5</v>
      </c>
      <c r="D4437">
        <v>28600</v>
      </c>
    </row>
    <row r="4438" spans="1:4" x14ac:dyDescent="0.4">
      <c r="A4438" s="1" t="s">
        <v>8590</v>
      </c>
      <c r="B4438" t="s">
        <v>8591</v>
      </c>
      <c r="C4438" t="s">
        <v>5</v>
      </c>
    </row>
    <row r="4439" spans="1:4" x14ac:dyDescent="0.4">
      <c r="A4439" s="1" t="s">
        <v>8592</v>
      </c>
      <c r="B4439" t="s">
        <v>8593</v>
      </c>
      <c r="C4439" t="s">
        <v>5</v>
      </c>
    </row>
    <row r="4440" spans="1:4" x14ac:dyDescent="0.4">
      <c r="A4440" s="1" t="s">
        <v>8594</v>
      </c>
      <c r="B4440" t="s">
        <v>8595</v>
      </c>
      <c r="C4440" t="s">
        <v>5</v>
      </c>
    </row>
    <row r="4441" spans="1:4" x14ac:dyDescent="0.4">
      <c r="A4441" s="1" t="s">
        <v>8596</v>
      </c>
      <c r="B4441" t="s">
        <v>8597</v>
      </c>
      <c r="C4441" t="s">
        <v>5</v>
      </c>
    </row>
    <row r="4442" spans="1:4" x14ac:dyDescent="0.4">
      <c r="A4442" s="1" t="s">
        <v>8598</v>
      </c>
      <c r="B4442" t="s">
        <v>8599</v>
      </c>
      <c r="C4442" t="s">
        <v>5</v>
      </c>
    </row>
    <row r="4443" spans="1:4" x14ac:dyDescent="0.4">
      <c r="A4443" s="1" t="s">
        <v>8600</v>
      </c>
      <c r="B4443" t="s">
        <v>8601</v>
      </c>
      <c r="C4443" t="s">
        <v>5</v>
      </c>
    </row>
    <row r="4444" spans="1:4" x14ac:dyDescent="0.4">
      <c r="A4444" s="1" t="s">
        <v>8602</v>
      </c>
      <c r="B4444" t="s">
        <v>8603</v>
      </c>
      <c r="C4444" t="s">
        <v>5</v>
      </c>
    </row>
    <row r="4445" spans="1:4" x14ac:dyDescent="0.4">
      <c r="A4445" s="1" t="s">
        <v>8604</v>
      </c>
      <c r="B4445" t="s">
        <v>8605</v>
      </c>
      <c r="C4445" t="s">
        <v>5</v>
      </c>
    </row>
    <row r="4446" spans="1:4" x14ac:dyDescent="0.4">
      <c r="A4446" s="1" t="s">
        <v>8606</v>
      </c>
      <c r="B4446" t="s">
        <v>8607</v>
      </c>
      <c r="C4446" t="s">
        <v>5</v>
      </c>
      <c r="D4446">
        <v>12700</v>
      </c>
    </row>
    <row r="4447" spans="1:4" x14ac:dyDescent="0.4">
      <c r="A4447" s="1" t="s">
        <v>8608</v>
      </c>
      <c r="B4447" t="s">
        <v>8609</v>
      </c>
      <c r="C4447" t="s">
        <v>5</v>
      </c>
      <c r="D4447">
        <v>16800</v>
      </c>
    </row>
    <row r="4448" spans="1:4" x14ac:dyDescent="0.4">
      <c r="A4448" s="1" t="s">
        <v>8610</v>
      </c>
      <c r="B4448" t="s">
        <v>8611</v>
      </c>
      <c r="C4448" t="s">
        <v>5</v>
      </c>
      <c r="D4448">
        <v>12700</v>
      </c>
    </row>
    <row r="4449" spans="1:4" x14ac:dyDescent="0.4">
      <c r="A4449" s="1" t="s">
        <v>8612</v>
      </c>
      <c r="B4449" t="s">
        <v>8613</v>
      </c>
      <c r="C4449" t="s">
        <v>5</v>
      </c>
      <c r="D4449">
        <v>12700</v>
      </c>
    </row>
    <row r="4450" spans="1:4" x14ac:dyDescent="0.4">
      <c r="A4450" s="1" t="s">
        <v>8614</v>
      </c>
      <c r="B4450" t="s">
        <v>8615</v>
      </c>
      <c r="C4450" t="s">
        <v>5</v>
      </c>
      <c r="D4450">
        <v>22000</v>
      </c>
    </row>
    <row r="4451" spans="1:4" x14ac:dyDescent="0.4">
      <c r="A4451" s="1" t="s">
        <v>8616</v>
      </c>
      <c r="B4451" t="s">
        <v>8617</v>
      </c>
      <c r="C4451" t="s">
        <v>5</v>
      </c>
      <c r="D4451">
        <v>15600</v>
      </c>
    </row>
    <row r="4452" spans="1:4" x14ac:dyDescent="0.4">
      <c r="A4452" s="1" t="s">
        <v>8618</v>
      </c>
      <c r="B4452" t="s">
        <v>8619</v>
      </c>
      <c r="C4452" t="s">
        <v>5</v>
      </c>
      <c r="D4452">
        <v>22000</v>
      </c>
    </row>
    <row r="4453" spans="1:4" x14ac:dyDescent="0.4">
      <c r="A4453" s="1" t="s">
        <v>8620</v>
      </c>
      <c r="B4453" t="s">
        <v>8621</v>
      </c>
      <c r="C4453" t="s">
        <v>5</v>
      </c>
      <c r="D4453">
        <v>22000</v>
      </c>
    </row>
    <row r="4454" spans="1:4" x14ac:dyDescent="0.4">
      <c r="A4454" s="1" t="s">
        <v>8622</v>
      </c>
      <c r="B4454" t="s">
        <v>8623</v>
      </c>
      <c r="C4454" t="s">
        <v>5</v>
      </c>
      <c r="D4454">
        <v>28600</v>
      </c>
    </row>
    <row r="4455" spans="1:4" x14ac:dyDescent="0.4">
      <c r="A4455" s="1" t="s">
        <v>8624</v>
      </c>
      <c r="B4455" t="s">
        <v>8625</v>
      </c>
      <c r="C4455" t="s">
        <v>5</v>
      </c>
      <c r="D4455">
        <v>21600</v>
      </c>
    </row>
    <row r="4456" spans="1:4" x14ac:dyDescent="0.4">
      <c r="A4456" s="1" t="s">
        <v>8626</v>
      </c>
      <c r="B4456" t="s">
        <v>8627</v>
      </c>
      <c r="C4456" t="s">
        <v>5</v>
      </c>
      <c r="D4456">
        <v>28600</v>
      </c>
    </row>
    <row r="4457" spans="1:4" x14ac:dyDescent="0.4">
      <c r="A4457" s="1" t="s">
        <v>8628</v>
      </c>
      <c r="B4457" t="s">
        <v>8629</v>
      </c>
      <c r="C4457" t="s">
        <v>5</v>
      </c>
      <c r="D4457">
        <v>28600</v>
      </c>
    </row>
    <row r="4458" spans="1:4" x14ac:dyDescent="0.4">
      <c r="A4458" s="1" t="s">
        <v>8630</v>
      </c>
      <c r="B4458" t="s">
        <v>8631</v>
      </c>
      <c r="C4458" t="s">
        <v>5</v>
      </c>
      <c r="D4458">
        <v>10900</v>
      </c>
    </row>
    <row r="4459" spans="1:4" x14ac:dyDescent="0.4">
      <c r="A4459" s="1" t="s">
        <v>8632</v>
      </c>
      <c r="B4459" t="s">
        <v>8633</v>
      </c>
      <c r="C4459" t="s">
        <v>5</v>
      </c>
      <c r="D4459">
        <v>8000</v>
      </c>
    </row>
    <row r="4460" spans="1:4" x14ac:dyDescent="0.4">
      <c r="A4460" s="1" t="s">
        <v>8634</v>
      </c>
      <c r="B4460" t="s">
        <v>8635</v>
      </c>
      <c r="C4460" t="s">
        <v>5</v>
      </c>
      <c r="D4460">
        <v>10900</v>
      </c>
    </row>
    <row r="4461" spans="1:4" x14ac:dyDescent="0.4">
      <c r="A4461" s="1" t="s">
        <v>8636</v>
      </c>
      <c r="B4461" t="s">
        <v>8637</v>
      </c>
      <c r="C4461" t="s">
        <v>5</v>
      </c>
      <c r="D4461">
        <v>10900</v>
      </c>
    </row>
    <row r="4462" spans="1:4" x14ac:dyDescent="0.4">
      <c r="A4462" s="1" t="s">
        <v>8638</v>
      </c>
      <c r="B4462" t="s">
        <v>8639</v>
      </c>
      <c r="C4462" t="s">
        <v>5</v>
      </c>
      <c r="D4462">
        <v>15600</v>
      </c>
    </row>
    <row r="4463" spans="1:4" x14ac:dyDescent="0.4">
      <c r="A4463" s="1" t="s">
        <v>8640</v>
      </c>
      <c r="B4463" t="s">
        <v>8641</v>
      </c>
      <c r="C4463" t="s">
        <v>5</v>
      </c>
      <c r="D4463">
        <v>26400</v>
      </c>
    </row>
    <row r="4464" spans="1:4" x14ac:dyDescent="0.4">
      <c r="A4464" s="1" t="s">
        <v>8642</v>
      </c>
      <c r="B4464" t="s">
        <v>8643</v>
      </c>
      <c r="C4464" t="s">
        <v>5</v>
      </c>
      <c r="D4464">
        <v>19200</v>
      </c>
    </row>
    <row r="4465" spans="1:4" x14ac:dyDescent="0.4">
      <c r="A4465" s="1" t="s">
        <v>8644</v>
      </c>
      <c r="B4465" t="s">
        <v>8645</v>
      </c>
      <c r="C4465" t="s">
        <v>5</v>
      </c>
      <c r="D4465">
        <v>26400</v>
      </c>
    </row>
    <row r="4466" spans="1:4" x14ac:dyDescent="0.4">
      <c r="A4466" s="1" t="s">
        <v>8646</v>
      </c>
      <c r="B4466" t="s">
        <v>8647</v>
      </c>
      <c r="C4466" t="s">
        <v>5</v>
      </c>
      <c r="D4466">
        <v>26400</v>
      </c>
    </row>
    <row r="4467" spans="1:4" x14ac:dyDescent="0.4">
      <c r="A4467" s="1" t="s">
        <v>8648</v>
      </c>
      <c r="B4467" t="s">
        <v>8649</v>
      </c>
      <c r="C4467" t="s">
        <v>5</v>
      </c>
      <c r="D4467">
        <v>12700</v>
      </c>
    </row>
    <row r="4468" spans="1:4" x14ac:dyDescent="0.4">
      <c r="A4468" s="1" t="s">
        <v>8650</v>
      </c>
      <c r="B4468" t="s">
        <v>8651</v>
      </c>
      <c r="C4468" t="s">
        <v>5</v>
      </c>
      <c r="D4468">
        <v>9800</v>
      </c>
    </row>
    <row r="4469" spans="1:4" x14ac:dyDescent="0.4">
      <c r="A4469" s="1" t="s">
        <v>8652</v>
      </c>
      <c r="B4469" t="s">
        <v>8653</v>
      </c>
      <c r="C4469" t="s">
        <v>5</v>
      </c>
      <c r="D4469">
        <v>12700</v>
      </c>
    </row>
    <row r="4470" spans="1:4" x14ac:dyDescent="0.4">
      <c r="A4470" s="1" t="s">
        <v>8654</v>
      </c>
      <c r="B4470" t="s">
        <v>8655</v>
      </c>
      <c r="C4470" t="s">
        <v>5</v>
      </c>
      <c r="D4470">
        <v>12700</v>
      </c>
    </row>
    <row r="4471" spans="1:4" x14ac:dyDescent="0.4">
      <c r="A4471" s="1" t="s">
        <v>8656</v>
      </c>
      <c r="B4471" t="s">
        <v>8657</v>
      </c>
      <c r="C4471" t="s">
        <v>5</v>
      </c>
    </row>
    <row r="4472" spans="1:4" x14ac:dyDescent="0.4">
      <c r="A4472" s="1" t="s">
        <v>8658</v>
      </c>
      <c r="B4472" t="s">
        <v>8659</v>
      </c>
      <c r="C4472" t="s">
        <v>5</v>
      </c>
    </row>
    <row r="4473" spans="1:4" x14ac:dyDescent="0.4">
      <c r="A4473" s="1" t="s">
        <v>8660</v>
      </c>
      <c r="B4473" t="s">
        <v>8661</v>
      </c>
      <c r="C4473" t="s">
        <v>5</v>
      </c>
      <c r="D4473">
        <v>25600</v>
      </c>
    </row>
    <row r="4474" spans="1:4" x14ac:dyDescent="0.4">
      <c r="A4474" s="1" t="s">
        <v>8662</v>
      </c>
      <c r="B4474" t="s">
        <v>8663</v>
      </c>
    </row>
    <row r="4475" spans="1:4" x14ac:dyDescent="0.4">
      <c r="A4475" s="1" t="s">
        <v>8664</v>
      </c>
      <c r="B4475" t="s">
        <v>8665</v>
      </c>
    </row>
    <row r="4476" spans="1:4" x14ac:dyDescent="0.4">
      <c r="A4476" s="1" t="s">
        <v>8666</v>
      </c>
      <c r="B4476" t="s">
        <v>8667</v>
      </c>
    </row>
    <row r="4477" spans="1:4" x14ac:dyDescent="0.4">
      <c r="A4477" s="1" t="s">
        <v>8668</v>
      </c>
      <c r="B4477" t="s">
        <v>8669</v>
      </c>
      <c r="C4477" t="s">
        <v>5</v>
      </c>
    </row>
    <row r="4478" spans="1:4" x14ac:dyDescent="0.4">
      <c r="A4478" s="1" t="s">
        <v>8670</v>
      </c>
      <c r="B4478" t="s">
        <v>8671</v>
      </c>
    </row>
    <row r="4479" spans="1:4" x14ac:dyDescent="0.4">
      <c r="A4479" s="1" t="s">
        <v>8672</v>
      </c>
      <c r="B4479" t="s">
        <v>8673</v>
      </c>
      <c r="C4479" t="s">
        <v>5</v>
      </c>
      <c r="D4479">
        <v>32000</v>
      </c>
    </row>
    <row r="4480" spans="1:4" x14ac:dyDescent="0.4">
      <c r="A4480" s="1" t="s">
        <v>8674</v>
      </c>
      <c r="B4480" t="s">
        <v>8675</v>
      </c>
      <c r="C4480" t="s">
        <v>5</v>
      </c>
    </row>
    <row r="4481" spans="1:4" x14ac:dyDescent="0.4">
      <c r="A4481" s="1" t="s">
        <v>8676</v>
      </c>
      <c r="B4481" t="s">
        <v>8677</v>
      </c>
      <c r="C4481" t="s">
        <v>5</v>
      </c>
    </row>
    <row r="4482" spans="1:4" x14ac:dyDescent="0.4">
      <c r="A4482" s="1" t="s">
        <v>8678</v>
      </c>
      <c r="B4482" t="s">
        <v>8679</v>
      </c>
      <c r="C4482" t="s">
        <v>5</v>
      </c>
    </row>
    <row r="4483" spans="1:4" x14ac:dyDescent="0.4">
      <c r="A4483" s="1" t="s">
        <v>8680</v>
      </c>
      <c r="B4483" t="s">
        <v>8681</v>
      </c>
      <c r="C4483" t="s">
        <v>5</v>
      </c>
      <c r="D4483">
        <v>20000</v>
      </c>
    </row>
    <row r="4484" spans="1:4" x14ac:dyDescent="0.4">
      <c r="A4484" s="1" t="s">
        <v>8682</v>
      </c>
      <c r="B4484" t="s">
        <v>8683</v>
      </c>
      <c r="C4484" t="s">
        <v>5</v>
      </c>
      <c r="D4484">
        <v>20000</v>
      </c>
    </row>
    <row r="4485" spans="1:4" x14ac:dyDescent="0.4">
      <c r="A4485" s="1" t="s">
        <v>8684</v>
      </c>
      <c r="B4485" t="s">
        <v>8685</v>
      </c>
      <c r="C4485" t="s">
        <v>5</v>
      </c>
    </row>
    <row r="4486" spans="1:4" x14ac:dyDescent="0.4">
      <c r="A4486" s="1" t="s">
        <v>8686</v>
      </c>
      <c r="B4486" t="s">
        <v>8687</v>
      </c>
      <c r="C4486" t="s">
        <v>5</v>
      </c>
    </row>
    <row r="4487" spans="1:4" x14ac:dyDescent="0.4">
      <c r="A4487" s="1" t="s">
        <v>8688</v>
      </c>
      <c r="B4487" t="s">
        <v>8689</v>
      </c>
      <c r="C4487" t="s">
        <v>5</v>
      </c>
    </row>
    <row r="4488" spans="1:4" x14ac:dyDescent="0.4">
      <c r="A4488" s="1" t="s">
        <v>8690</v>
      </c>
      <c r="B4488" t="s">
        <v>8691</v>
      </c>
      <c r="C4488" t="s">
        <v>5</v>
      </c>
    </row>
    <row r="4489" spans="1:4" x14ac:dyDescent="0.4">
      <c r="A4489" s="1" t="s">
        <v>8692</v>
      </c>
      <c r="B4489" t="s">
        <v>8693</v>
      </c>
      <c r="C4489" t="s">
        <v>5</v>
      </c>
    </row>
    <row r="4490" spans="1:4" x14ac:dyDescent="0.4">
      <c r="A4490" s="1" t="s">
        <v>8694</v>
      </c>
      <c r="B4490" t="s">
        <v>8695</v>
      </c>
      <c r="C4490" t="s">
        <v>5</v>
      </c>
    </row>
    <row r="4491" spans="1:4" x14ac:dyDescent="0.4">
      <c r="A4491" s="1" t="s">
        <v>8696</v>
      </c>
      <c r="B4491" t="s">
        <v>8697</v>
      </c>
      <c r="C4491" t="s">
        <v>5</v>
      </c>
    </row>
    <row r="4492" spans="1:4" x14ac:dyDescent="0.4">
      <c r="A4492" s="1" t="s">
        <v>8698</v>
      </c>
      <c r="B4492" t="s">
        <v>8699</v>
      </c>
      <c r="C4492" t="s">
        <v>5</v>
      </c>
    </row>
    <row r="4493" spans="1:4" x14ac:dyDescent="0.4">
      <c r="A4493" s="1" t="s">
        <v>8700</v>
      </c>
      <c r="B4493" t="s">
        <v>8701</v>
      </c>
      <c r="C4493" t="s">
        <v>5</v>
      </c>
    </row>
    <row r="4494" spans="1:4" x14ac:dyDescent="0.4">
      <c r="A4494" s="1" t="s">
        <v>8702</v>
      </c>
      <c r="B4494" t="s">
        <v>8703</v>
      </c>
      <c r="C4494" t="s">
        <v>5</v>
      </c>
    </row>
    <row r="4495" spans="1:4" x14ac:dyDescent="0.4">
      <c r="A4495" s="1" t="s">
        <v>8704</v>
      </c>
      <c r="B4495" t="s">
        <v>8705</v>
      </c>
      <c r="C4495" t="s">
        <v>5</v>
      </c>
      <c r="D4495">
        <v>32000</v>
      </c>
    </row>
    <row r="4496" spans="1:4" x14ac:dyDescent="0.4">
      <c r="A4496" s="1" t="s">
        <v>8706</v>
      </c>
      <c r="B4496" t="s">
        <v>8707</v>
      </c>
      <c r="C4496" t="s">
        <v>5</v>
      </c>
      <c r="D4496">
        <v>24000</v>
      </c>
    </row>
    <row r="4497" spans="1:4" x14ac:dyDescent="0.4">
      <c r="A4497" s="1" t="s">
        <v>8708</v>
      </c>
      <c r="B4497" t="s">
        <v>8709</v>
      </c>
      <c r="C4497" t="s">
        <v>5</v>
      </c>
      <c r="D4497">
        <v>32000</v>
      </c>
    </row>
    <row r="4498" spans="1:4" x14ac:dyDescent="0.4">
      <c r="A4498" s="1" t="s">
        <v>8710</v>
      </c>
      <c r="B4498" t="s">
        <v>8711</v>
      </c>
      <c r="C4498" t="s">
        <v>5</v>
      </c>
      <c r="D4498">
        <v>32000</v>
      </c>
    </row>
    <row r="4499" spans="1:4" x14ac:dyDescent="0.4">
      <c r="A4499" s="1" t="s">
        <v>8712</v>
      </c>
      <c r="B4499" t="s">
        <v>8713</v>
      </c>
      <c r="C4499" t="s">
        <v>5</v>
      </c>
    </row>
    <row r="4500" spans="1:4" x14ac:dyDescent="0.4">
      <c r="A4500" s="1" t="s">
        <v>8714</v>
      </c>
      <c r="B4500" t="s">
        <v>8715</v>
      </c>
      <c r="C4500" t="s">
        <v>5</v>
      </c>
    </row>
    <row r="4501" spans="1:4" x14ac:dyDescent="0.4">
      <c r="A4501" s="1" t="s">
        <v>8716</v>
      </c>
      <c r="B4501" t="s">
        <v>8717</v>
      </c>
      <c r="C4501" t="s">
        <v>5</v>
      </c>
    </row>
    <row r="4502" spans="1:4" x14ac:dyDescent="0.4">
      <c r="A4502" s="1" t="s">
        <v>8718</v>
      </c>
      <c r="B4502" t="s">
        <v>8719</v>
      </c>
      <c r="C4502" t="s">
        <v>5</v>
      </c>
    </row>
    <row r="4503" spans="1:4" x14ac:dyDescent="0.4">
      <c r="A4503" s="1" t="s">
        <v>8720</v>
      </c>
      <c r="B4503" t="s">
        <v>8721</v>
      </c>
      <c r="C4503" t="s">
        <v>5</v>
      </c>
    </row>
    <row r="4504" spans="1:4" x14ac:dyDescent="0.4">
      <c r="A4504" s="1" t="s">
        <v>8722</v>
      </c>
      <c r="B4504" t="s">
        <v>8723</v>
      </c>
      <c r="C4504" t="s">
        <v>5</v>
      </c>
    </row>
    <row r="4505" spans="1:4" x14ac:dyDescent="0.4">
      <c r="A4505" s="1" t="s">
        <v>8724</v>
      </c>
      <c r="B4505" t="s">
        <v>8725</v>
      </c>
      <c r="C4505" t="s">
        <v>5</v>
      </c>
    </row>
    <row r="4506" spans="1:4" x14ac:dyDescent="0.4">
      <c r="A4506" s="1" t="s">
        <v>8726</v>
      </c>
      <c r="B4506" t="s">
        <v>8727</v>
      </c>
      <c r="C4506" t="s">
        <v>5</v>
      </c>
    </row>
    <row r="4507" spans="1:4" x14ac:dyDescent="0.4">
      <c r="A4507" s="1" t="s">
        <v>8728</v>
      </c>
      <c r="B4507" t="s">
        <v>8729</v>
      </c>
      <c r="C4507" t="s">
        <v>5</v>
      </c>
    </row>
    <row r="4508" spans="1:4" x14ac:dyDescent="0.4">
      <c r="A4508" s="1" t="s">
        <v>8730</v>
      </c>
      <c r="B4508" t="s">
        <v>8731</v>
      </c>
      <c r="C4508" t="s">
        <v>5</v>
      </c>
    </row>
    <row r="4509" spans="1:4" x14ac:dyDescent="0.4">
      <c r="A4509" s="1" t="s">
        <v>8732</v>
      </c>
      <c r="B4509" t="s">
        <v>8733</v>
      </c>
      <c r="C4509" t="s">
        <v>5</v>
      </c>
    </row>
    <row r="4510" spans="1:4" x14ac:dyDescent="0.4">
      <c r="A4510" s="1" t="s">
        <v>8734</v>
      </c>
      <c r="B4510" t="s">
        <v>8735</v>
      </c>
      <c r="C4510" t="s">
        <v>5</v>
      </c>
    </row>
    <row r="4511" spans="1:4" x14ac:dyDescent="0.4">
      <c r="A4511" s="1" t="s">
        <v>8736</v>
      </c>
      <c r="B4511" t="s">
        <v>8737</v>
      </c>
      <c r="C4511" t="s">
        <v>5</v>
      </c>
      <c r="D4511">
        <v>32000</v>
      </c>
    </row>
    <row r="4512" spans="1:4" x14ac:dyDescent="0.4">
      <c r="A4512" s="1" t="s">
        <v>8738</v>
      </c>
      <c r="B4512" t="s">
        <v>8739</v>
      </c>
      <c r="C4512" t="s">
        <v>5</v>
      </c>
      <c r="D4512">
        <v>24000</v>
      </c>
    </row>
    <row r="4513" spans="1:4" x14ac:dyDescent="0.4">
      <c r="A4513" s="1" t="s">
        <v>8740</v>
      </c>
      <c r="B4513" t="s">
        <v>8741</v>
      </c>
      <c r="C4513" t="s">
        <v>5</v>
      </c>
      <c r="D4513">
        <v>32000</v>
      </c>
    </row>
    <row r="4514" spans="1:4" x14ac:dyDescent="0.4">
      <c r="A4514" s="1" t="s">
        <v>8742</v>
      </c>
      <c r="B4514" t="s">
        <v>8743</v>
      </c>
      <c r="C4514" t="s">
        <v>5</v>
      </c>
      <c r="D4514">
        <v>32000</v>
      </c>
    </row>
    <row r="4515" spans="1:4" x14ac:dyDescent="0.4">
      <c r="A4515" s="1" t="s">
        <v>8744</v>
      </c>
      <c r="B4515" t="s">
        <v>8745</v>
      </c>
      <c r="C4515" t="s">
        <v>5</v>
      </c>
    </row>
    <row r="4516" spans="1:4" x14ac:dyDescent="0.4">
      <c r="A4516" s="1" t="s">
        <v>8746</v>
      </c>
      <c r="B4516" t="s">
        <v>8747</v>
      </c>
      <c r="C4516" t="s">
        <v>5</v>
      </c>
    </row>
    <row r="4517" spans="1:4" x14ac:dyDescent="0.4">
      <c r="A4517" s="1" t="s">
        <v>8748</v>
      </c>
      <c r="B4517" t="s">
        <v>8749</v>
      </c>
      <c r="C4517" t="s">
        <v>5</v>
      </c>
    </row>
    <row r="4518" spans="1:4" x14ac:dyDescent="0.4">
      <c r="A4518" s="1" t="s">
        <v>8750</v>
      </c>
      <c r="B4518" t="s">
        <v>8751</v>
      </c>
      <c r="C4518" t="s">
        <v>5</v>
      </c>
    </row>
    <row r="4519" spans="1:4" x14ac:dyDescent="0.4">
      <c r="A4519" s="1" t="s">
        <v>8752</v>
      </c>
      <c r="B4519" t="s">
        <v>8753</v>
      </c>
      <c r="C4519" t="s">
        <v>5</v>
      </c>
      <c r="D4519">
        <v>1940</v>
      </c>
    </row>
    <row r="4520" spans="1:4" x14ac:dyDescent="0.4">
      <c r="A4520" s="1" t="s">
        <v>8754</v>
      </c>
      <c r="B4520" t="s">
        <v>8755</v>
      </c>
      <c r="C4520" t="s">
        <v>5</v>
      </c>
      <c r="D4520">
        <v>4410</v>
      </c>
    </row>
    <row r="4521" spans="1:4" x14ac:dyDescent="0.4">
      <c r="A4521" s="1" t="s">
        <v>8756</v>
      </c>
      <c r="B4521" t="s">
        <v>8757</v>
      </c>
      <c r="C4521" t="s">
        <v>5</v>
      </c>
    </row>
    <row r="4522" spans="1:4" x14ac:dyDescent="0.4">
      <c r="A4522" s="1" t="s">
        <v>8758</v>
      </c>
      <c r="B4522" t="s">
        <v>8759</v>
      </c>
      <c r="C4522" t="s">
        <v>5</v>
      </c>
    </row>
    <row r="4523" spans="1:4" x14ac:dyDescent="0.4">
      <c r="A4523" s="1" t="s">
        <v>8760</v>
      </c>
      <c r="B4523" t="s">
        <v>8761</v>
      </c>
      <c r="C4523" t="s">
        <v>5</v>
      </c>
    </row>
    <row r="4524" spans="1:4" x14ac:dyDescent="0.4">
      <c r="A4524" s="1" t="s">
        <v>8762</v>
      </c>
      <c r="B4524" t="s">
        <v>8763</v>
      </c>
      <c r="C4524" t="s">
        <v>5</v>
      </c>
    </row>
    <row r="4525" spans="1:4" x14ac:dyDescent="0.4">
      <c r="A4525" s="1" t="s">
        <v>8764</v>
      </c>
      <c r="B4525" t="s">
        <v>8765</v>
      </c>
      <c r="C4525" t="s">
        <v>5</v>
      </c>
    </row>
    <row r="4526" spans="1:4" x14ac:dyDescent="0.4">
      <c r="A4526" s="1" t="s">
        <v>8766</v>
      </c>
      <c r="B4526" t="s">
        <v>8767</v>
      </c>
      <c r="C4526" t="s">
        <v>5</v>
      </c>
      <c r="D4526">
        <v>7880</v>
      </c>
    </row>
    <row r="4527" spans="1:4" x14ac:dyDescent="0.4">
      <c r="A4527" s="1" t="s">
        <v>8768</v>
      </c>
      <c r="B4527" t="s">
        <v>8769</v>
      </c>
      <c r="C4527" t="s">
        <v>5</v>
      </c>
      <c r="D4527">
        <v>8190</v>
      </c>
    </row>
    <row r="4528" spans="1:4" x14ac:dyDescent="0.4">
      <c r="A4528" s="1" t="s">
        <v>8770</v>
      </c>
      <c r="B4528" t="s">
        <v>8771</v>
      </c>
      <c r="C4528" t="s">
        <v>5</v>
      </c>
      <c r="D4528">
        <v>9500</v>
      </c>
    </row>
    <row r="4529" spans="1:4" x14ac:dyDescent="0.4">
      <c r="A4529" s="1" t="s">
        <v>8772</v>
      </c>
      <c r="B4529" t="s">
        <v>8773</v>
      </c>
      <c r="C4529" t="s">
        <v>5</v>
      </c>
      <c r="D4529">
        <v>9000</v>
      </c>
    </row>
    <row r="4530" spans="1:4" x14ac:dyDescent="0.4">
      <c r="A4530" s="1" t="s">
        <v>8774</v>
      </c>
      <c r="B4530" t="s">
        <v>8775</v>
      </c>
      <c r="C4530" t="s">
        <v>5</v>
      </c>
      <c r="D4530">
        <v>7140</v>
      </c>
    </row>
    <row r="4531" spans="1:4" x14ac:dyDescent="0.4">
      <c r="A4531" s="1" t="s">
        <v>8776</v>
      </c>
      <c r="B4531" t="s">
        <v>8777</v>
      </c>
      <c r="C4531" t="s">
        <v>5</v>
      </c>
      <c r="D4531">
        <v>6620</v>
      </c>
    </row>
    <row r="4532" spans="1:4" x14ac:dyDescent="0.4">
      <c r="A4532" s="1" t="s">
        <v>8778</v>
      </c>
      <c r="B4532" t="s">
        <v>8779</v>
      </c>
      <c r="C4532" t="s">
        <v>5</v>
      </c>
      <c r="D4532">
        <v>6620</v>
      </c>
    </row>
    <row r="4533" spans="1:4" x14ac:dyDescent="0.4">
      <c r="A4533" s="1" t="s">
        <v>8780</v>
      </c>
      <c r="B4533" t="s">
        <v>8781</v>
      </c>
      <c r="C4533" t="s">
        <v>5</v>
      </c>
      <c r="D4533">
        <v>6620</v>
      </c>
    </row>
    <row r="4534" spans="1:4" x14ac:dyDescent="0.4">
      <c r="A4534" s="1" t="s">
        <v>8782</v>
      </c>
      <c r="B4534" t="s">
        <v>8783</v>
      </c>
      <c r="C4534" t="s">
        <v>5</v>
      </c>
      <c r="D4534">
        <v>9100</v>
      </c>
    </row>
    <row r="4535" spans="1:4" x14ac:dyDescent="0.4">
      <c r="A4535" s="1" t="s">
        <v>8784</v>
      </c>
      <c r="B4535" t="s">
        <v>8785</v>
      </c>
      <c r="C4535" t="s">
        <v>5</v>
      </c>
      <c r="D4535">
        <v>9700</v>
      </c>
    </row>
    <row r="4536" spans="1:4" x14ac:dyDescent="0.4">
      <c r="A4536" s="1" t="s">
        <v>8786</v>
      </c>
      <c r="B4536" t="s">
        <v>8787</v>
      </c>
      <c r="C4536" t="s">
        <v>5</v>
      </c>
      <c r="D4536">
        <v>9700</v>
      </c>
    </row>
    <row r="4537" spans="1:4" x14ac:dyDescent="0.4">
      <c r="A4537" s="1" t="s">
        <v>8788</v>
      </c>
      <c r="B4537" t="s">
        <v>8789</v>
      </c>
      <c r="C4537" t="s">
        <v>5</v>
      </c>
      <c r="D4537">
        <v>9700</v>
      </c>
    </row>
    <row r="4538" spans="1:4" x14ac:dyDescent="0.4">
      <c r="A4538" s="1" t="s">
        <v>8790</v>
      </c>
      <c r="B4538" t="s">
        <v>8791</v>
      </c>
      <c r="C4538" t="s">
        <v>5</v>
      </c>
    </row>
    <row r="4539" spans="1:4" x14ac:dyDescent="0.4">
      <c r="A4539" s="1" t="s">
        <v>8792</v>
      </c>
      <c r="B4539" t="s">
        <v>8793</v>
      </c>
      <c r="C4539" t="s">
        <v>5</v>
      </c>
    </row>
    <row r="4540" spans="1:4" x14ac:dyDescent="0.4">
      <c r="A4540" s="1" t="s">
        <v>8794</v>
      </c>
      <c r="B4540" t="s">
        <v>8795</v>
      </c>
      <c r="C4540" t="s">
        <v>5</v>
      </c>
    </row>
    <row r="4541" spans="1:4" x14ac:dyDescent="0.4">
      <c r="A4541" s="1" t="s">
        <v>8796</v>
      </c>
      <c r="B4541" t="s">
        <v>8797</v>
      </c>
      <c r="C4541" t="s">
        <v>5</v>
      </c>
    </row>
    <row r="4542" spans="1:4" x14ac:dyDescent="0.4">
      <c r="A4542" s="1" t="s">
        <v>8798</v>
      </c>
      <c r="B4542" t="s">
        <v>8799</v>
      </c>
      <c r="C4542" t="s">
        <v>5</v>
      </c>
      <c r="D4542">
        <v>12100</v>
      </c>
    </row>
    <row r="4543" spans="1:4" x14ac:dyDescent="0.4">
      <c r="A4543" s="1" t="s">
        <v>8800</v>
      </c>
      <c r="B4543" t="s">
        <v>8801</v>
      </c>
      <c r="C4543" t="s">
        <v>5</v>
      </c>
      <c r="D4543">
        <v>12100</v>
      </c>
    </row>
    <row r="4544" spans="1:4" x14ac:dyDescent="0.4">
      <c r="A4544" s="1" t="s">
        <v>8802</v>
      </c>
      <c r="B4544" t="s">
        <v>8803</v>
      </c>
      <c r="C4544" t="s">
        <v>5</v>
      </c>
      <c r="D4544">
        <v>12100</v>
      </c>
    </row>
    <row r="4545" spans="1:3" x14ac:dyDescent="0.4">
      <c r="A4545" s="1" t="s">
        <v>8804</v>
      </c>
      <c r="B4545" t="s">
        <v>8805</v>
      </c>
      <c r="C4545" t="s">
        <v>5</v>
      </c>
    </row>
    <row r="4546" spans="1:3" x14ac:dyDescent="0.4">
      <c r="A4546" s="1" t="s">
        <v>8806</v>
      </c>
      <c r="B4546" t="s">
        <v>8807</v>
      </c>
      <c r="C4546" t="s">
        <v>5</v>
      </c>
    </row>
    <row r="4547" spans="1:3" x14ac:dyDescent="0.4">
      <c r="A4547" s="1" t="s">
        <v>8808</v>
      </c>
      <c r="B4547" t="s">
        <v>8809</v>
      </c>
      <c r="C4547" t="s">
        <v>5</v>
      </c>
    </row>
    <row r="4548" spans="1:3" x14ac:dyDescent="0.4">
      <c r="A4548" s="1" t="s">
        <v>8810</v>
      </c>
      <c r="B4548" t="s">
        <v>8811</v>
      </c>
      <c r="C4548" t="s">
        <v>5</v>
      </c>
    </row>
    <row r="4549" spans="1:3" x14ac:dyDescent="0.4">
      <c r="A4549" s="1" t="s">
        <v>8812</v>
      </c>
      <c r="B4549" t="s">
        <v>8813</v>
      </c>
      <c r="C4549" t="s">
        <v>5</v>
      </c>
    </row>
    <row r="4550" spans="1:3" x14ac:dyDescent="0.4">
      <c r="A4550" s="1" t="s">
        <v>8814</v>
      </c>
      <c r="B4550" t="s">
        <v>8815</v>
      </c>
      <c r="C4550" t="s">
        <v>5</v>
      </c>
    </row>
    <row r="4551" spans="1:3" x14ac:dyDescent="0.4">
      <c r="A4551" s="1" t="s">
        <v>8816</v>
      </c>
      <c r="B4551" t="s">
        <v>8817</v>
      </c>
      <c r="C4551" t="s">
        <v>5</v>
      </c>
    </row>
    <row r="4552" spans="1:3" x14ac:dyDescent="0.4">
      <c r="A4552" s="1" t="s">
        <v>8818</v>
      </c>
      <c r="B4552" t="s">
        <v>8819</v>
      </c>
      <c r="C4552" t="s">
        <v>5</v>
      </c>
    </row>
    <row r="4553" spans="1:3" x14ac:dyDescent="0.4">
      <c r="A4553" s="1" t="s">
        <v>8820</v>
      </c>
      <c r="B4553" t="s">
        <v>8821</v>
      </c>
      <c r="C4553" t="s">
        <v>5</v>
      </c>
    </row>
    <row r="4554" spans="1:3" x14ac:dyDescent="0.4">
      <c r="A4554" s="1" t="s">
        <v>8822</v>
      </c>
      <c r="B4554" t="s">
        <v>8823</v>
      </c>
      <c r="C4554" t="s">
        <v>5</v>
      </c>
    </row>
    <row r="4555" spans="1:3" x14ac:dyDescent="0.4">
      <c r="A4555" s="1" t="s">
        <v>8824</v>
      </c>
      <c r="B4555" t="s">
        <v>8825</v>
      </c>
      <c r="C4555" t="s">
        <v>5</v>
      </c>
    </row>
    <row r="4556" spans="1:3" x14ac:dyDescent="0.4">
      <c r="A4556" s="1" t="s">
        <v>8826</v>
      </c>
      <c r="B4556" t="s">
        <v>8827</v>
      </c>
      <c r="C4556" t="s">
        <v>5</v>
      </c>
    </row>
    <row r="4557" spans="1:3" x14ac:dyDescent="0.4">
      <c r="A4557" s="1" t="s">
        <v>8828</v>
      </c>
      <c r="B4557" t="s">
        <v>8829</v>
      </c>
      <c r="C4557" t="s">
        <v>5</v>
      </c>
    </row>
    <row r="4558" spans="1:3" x14ac:dyDescent="0.4">
      <c r="A4558" s="1" t="s">
        <v>8830</v>
      </c>
      <c r="B4558" t="s">
        <v>8831</v>
      </c>
      <c r="C4558" t="s">
        <v>5</v>
      </c>
    </row>
    <row r="4559" spans="1:3" x14ac:dyDescent="0.4">
      <c r="A4559" s="1" t="s">
        <v>8832</v>
      </c>
      <c r="B4559" t="s">
        <v>8833</v>
      </c>
      <c r="C4559" t="s">
        <v>5</v>
      </c>
    </row>
    <row r="4560" spans="1:3" x14ac:dyDescent="0.4">
      <c r="A4560" s="1" t="s">
        <v>8834</v>
      </c>
      <c r="B4560" t="s">
        <v>8835</v>
      </c>
      <c r="C4560" t="s">
        <v>5</v>
      </c>
    </row>
    <row r="4561" spans="1:4" x14ac:dyDescent="0.4">
      <c r="A4561" s="1" t="s">
        <v>8836</v>
      </c>
      <c r="B4561" t="s">
        <v>8837</v>
      </c>
      <c r="C4561" t="s">
        <v>5</v>
      </c>
    </row>
    <row r="4562" spans="1:4" x14ac:dyDescent="0.4">
      <c r="A4562" s="1" t="s">
        <v>8838</v>
      </c>
      <c r="B4562" t="s">
        <v>8839</v>
      </c>
      <c r="C4562" t="s">
        <v>5</v>
      </c>
    </row>
    <row r="4563" spans="1:4" x14ac:dyDescent="0.4">
      <c r="A4563" s="1" t="s">
        <v>8840</v>
      </c>
      <c r="B4563" t="s">
        <v>8841</v>
      </c>
      <c r="C4563" t="s">
        <v>5</v>
      </c>
    </row>
    <row r="4564" spans="1:4" x14ac:dyDescent="0.4">
      <c r="A4564" s="1" t="s">
        <v>8842</v>
      </c>
      <c r="B4564" t="s">
        <v>8843</v>
      </c>
      <c r="C4564" t="s">
        <v>5</v>
      </c>
    </row>
    <row r="4565" spans="1:4" x14ac:dyDescent="0.4">
      <c r="A4565" s="1" t="s">
        <v>8844</v>
      </c>
      <c r="B4565" t="s">
        <v>8845</v>
      </c>
      <c r="C4565" t="s">
        <v>5</v>
      </c>
    </row>
    <row r="4566" spans="1:4" x14ac:dyDescent="0.4">
      <c r="A4566" s="1" t="s">
        <v>8846</v>
      </c>
      <c r="B4566" t="s">
        <v>8847</v>
      </c>
      <c r="C4566" t="s">
        <v>5</v>
      </c>
    </row>
    <row r="4567" spans="1:4" x14ac:dyDescent="0.4">
      <c r="A4567" s="1" t="s">
        <v>8848</v>
      </c>
      <c r="B4567" t="s">
        <v>8849</v>
      </c>
      <c r="C4567" t="s">
        <v>5</v>
      </c>
    </row>
    <row r="4568" spans="1:4" x14ac:dyDescent="0.4">
      <c r="A4568" s="1" t="s">
        <v>8850</v>
      </c>
      <c r="B4568" t="s">
        <v>8851</v>
      </c>
      <c r="C4568" t="s">
        <v>5</v>
      </c>
    </row>
    <row r="4569" spans="1:4" x14ac:dyDescent="0.4">
      <c r="A4569" s="1" t="s">
        <v>8852</v>
      </c>
      <c r="B4569" t="s">
        <v>8853</v>
      </c>
      <c r="C4569" t="s">
        <v>5</v>
      </c>
    </row>
    <row r="4570" spans="1:4" x14ac:dyDescent="0.4">
      <c r="A4570" s="1" t="s">
        <v>8854</v>
      </c>
      <c r="B4570" t="s">
        <v>8855</v>
      </c>
      <c r="C4570" t="s">
        <v>5</v>
      </c>
    </row>
    <row r="4571" spans="1:4" x14ac:dyDescent="0.4">
      <c r="A4571" s="1" t="s">
        <v>8856</v>
      </c>
      <c r="B4571" t="s">
        <v>8857</v>
      </c>
      <c r="C4571" t="s">
        <v>5</v>
      </c>
    </row>
    <row r="4572" spans="1:4" x14ac:dyDescent="0.4">
      <c r="A4572" s="1" t="s">
        <v>8858</v>
      </c>
      <c r="B4572" t="s">
        <v>8859</v>
      </c>
      <c r="C4572" t="s">
        <v>5</v>
      </c>
    </row>
    <row r="4573" spans="1:4" x14ac:dyDescent="0.4">
      <c r="A4573" s="1" t="s">
        <v>8860</v>
      </c>
      <c r="B4573" t="s">
        <v>8861</v>
      </c>
      <c r="C4573" t="s">
        <v>5</v>
      </c>
    </row>
    <row r="4574" spans="1:4" x14ac:dyDescent="0.4">
      <c r="A4574" s="1" t="s">
        <v>8862</v>
      </c>
      <c r="B4574" t="s">
        <v>8863</v>
      </c>
      <c r="C4574" t="s">
        <v>5</v>
      </c>
    </row>
    <row r="4575" spans="1:4" x14ac:dyDescent="0.4">
      <c r="A4575" s="1" t="s">
        <v>8864</v>
      </c>
      <c r="B4575" t="s">
        <v>8865</v>
      </c>
      <c r="C4575" t="s">
        <v>5</v>
      </c>
      <c r="D4575">
        <v>8570</v>
      </c>
    </row>
    <row r="4576" spans="1:4" x14ac:dyDescent="0.4">
      <c r="A4576" s="1" t="s">
        <v>8866</v>
      </c>
      <c r="B4576" t="s">
        <v>8867</v>
      </c>
      <c r="C4576" t="s">
        <v>5</v>
      </c>
      <c r="D4576">
        <v>14700</v>
      </c>
    </row>
    <row r="4577" spans="1:4" x14ac:dyDescent="0.4">
      <c r="A4577" s="1" t="s">
        <v>8868</v>
      </c>
      <c r="B4577" t="s">
        <v>8869</v>
      </c>
      <c r="C4577" t="s">
        <v>5</v>
      </c>
      <c r="D4577">
        <v>7040</v>
      </c>
    </row>
    <row r="4578" spans="1:4" x14ac:dyDescent="0.4">
      <c r="A4578" s="1" t="s">
        <v>8870</v>
      </c>
      <c r="B4578" t="s">
        <v>8871</v>
      </c>
      <c r="C4578" t="s">
        <v>5</v>
      </c>
      <c r="D4578">
        <v>6300</v>
      </c>
    </row>
    <row r="4579" spans="1:4" x14ac:dyDescent="0.4">
      <c r="A4579" s="1" t="s">
        <v>8872</v>
      </c>
      <c r="B4579" t="s">
        <v>8873</v>
      </c>
      <c r="C4579" t="s">
        <v>5</v>
      </c>
      <c r="D4579">
        <v>7040</v>
      </c>
    </row>
    <row r="4580" spans="1:4" x14ac:dyDescent="0.4">
      <c r="A4580" s="1" t="s">
        <v>8874</v>
      </c>
      <c r="B4580" t="s">
        <v>8875</v>
      </c>
      <c r="C4580" t="s">
        <v>5</v>
      </c>
      <c r="D4580">
        <v>7040</v>
      </c>
    </row>
    <row r="4581" spans="1:4" x14ac:dyDescent="0.4">
      <c r="A4581" s="1" t="s">
        <v>8876</v>
      </c>
      <c r="B4581" t="s">
        <v>8877</v>
      </c>
      <c r="C4581" t="s">
        <v>5</v>
      </c>
      <c r="D4581">
        <v>6600</v>
      </c>
    </row>
    <row r="4582" spans="1:4" x14ac:dyDescent="0.4">
      <c r="A4582" s="1" t="s">
        <v>8878</v>
      </c>
      <c r="B4582" t="s">
        <v>8879</v>
      </c>
      <c r="C4582" t="s">
        <v>5</v>
      </c>
      <c r="D4582">
        <v>8400</v>
      </c>
    </row>
    <row r="4583" spans="1:4" x14ac:dyDescent="0.4">
      <c r="A4583" s="1" t="s">
        <v>8880</v>
      </c>
      <c r="B4583" t="s">
        <v>8881</v>
      </c>
      <c r="C4583" t="s">
        <v>5</v>
      </c>
      <c r="D4583">
        <v>8400</v>
      </c>
    </row>
    <row r="4584" spans="1:4" x14ac:dyDescent="0.4">
      <c r="A4584" s="1" t="s">
        <v>8882</v>
      </c>
      <c r="B4584" t="s">
        <v>8883</v>
      </c>
      <c r="C4584" t="s">
        <v>5</v>
      </c>
      <c r="D4584">
        <v>8400</v>
      </c>
    </row>
    <row r="4585" spans="1:4" x14ac:dyDescent="0.4">
      <c r="A4585" s="1" t="s">
        <v>8884</v>
      </c>
      <c r="B4585" t="s">
        <v>8885</v>
      </c>
      <c r="C4585" t="s">
        <v>5</v>
      </c>
      <c r="D4585">
        <v>8090</v>
      </c>
    </row>
    <row r="4586" spans="1:4" x14ac:dyDescent="0.4">
      <c r="A4586" s="1" t="s">
        <v>8886</v>
      </c>
      <c r="B4586" t="s">
        <v>8887</v>
      </c>
      <c r="C4586" t="s">
        <v>5</v>
      </c>
      <c r="D4586">
        <v>12500</v>
      </c>
    </row>
    <row r="4587" spans="1:4" x14ac:dyDescent="0.4">
      <c r="A4587" s="1" t="s">
        <v>8888</v>
      </c>
      <c r="B4587" t="s">
        <v>8889</v>
      </c>
      <c r="C4587" t="s">
        <v>5</v>
      </c>
      <c r="D4587">
        <v>12500</v>
      </c>
    </row>
    <row r="4588" spans="1:4" x14ac:dyDescent="0.4">
      <c r="A4588" s="1" t="s">
        <v>8890</v>
      </c>
      <c r="B4588" t="s">
        <v>8891</v>
      </c>
      <c r="C4588" t="s">
        <v>5</v>
      </c>
      <c r="D4588">
        <v>12500</v>
      </c>
    </row>
    <row r="4589" spans="1:4" x14ac:dyDescent="0.4">
      <c r="A4589" s="1" t="s">
        <v>8892</v>
      </c>
      <c r="B4589" t="s">
        <v>8893</v>
      </c>
      <c r="C4589" t="s">
        <v>5</v>
      </c>
      <c r="D4589">
        <v>8400</v>
      </c>
    </row>
    <row r="4590" spans="1:4" x14ac:dyDescent="0.4">
      <c r="A4590" s="1" t="s">
        <v>8894</v>
      </c>
      <c r="B4590" t="s">
        <v>8895</v>
      </c>
      <c r="C4590" t="s">
        <v>5</v>
      </c>
      <c r="D4590">
        <v>12100</v>
      </c>
    </row>
    <row r="4591" spans="1:4" x14ac:dyDescent="0.4">
      <c r="A4591" s="1" t="s">
        <v>8896</v>
      </c>
      <c r="B4591" t="s">
        <v>8897</v>
      </c>
      <c r="C4591" t="s">
        <v>5</v>
      </c>
      <c r="D4591">
        <v>12100</v>
      </c>
    </row>
    <row r="4592" spans="1:4" x14ac:dyDescent="0.4">
      <c r="A4592" s="1" t="s">
        <v>8898</v>
      </c>
      <c r="B4592" t="s">
        <v>8899</v>
      </c>
      <c r="C4592" t="s">
        <v>5</v>
      </c>
      <c r="D4592">
        <v>12100</v>
      </c>
    </row>
    <row r="4593" spans="1:4" x14ac:dyDescent="0.4">
      <c r="A4593" s="1" t="s">
        <v>8900</v>
      </c>
      <c r="B4593" t="s">
        <v>8901</v>
      </c>
      <c r="C4593" t="s">
        <v>5</v>
      </c>
      <c r="D4593">
        <v>7350</v>
      </c>
    </row>
    <row r="4594" spans="1:4" x14ac:dyDescent="0.4">
      <c r="A4594" s="1" t="s">
        <v>8902</v>
      </c>
      <c r="B4594" t="s">
        <v>8903</v>
      </c>
      <c r="C4594" t="s">
        <v>5</v>
      </c>
      <c r="D4594">
        <v>16800</v>
      </c>
    </row>
    <row r="4595" spans="1:4" x14ac:dyDescent="0.4">
      <c r="A4595" s="1" t="s">
        <v>8904</v>
      </c>
      <c r="B4595" t="s">
        <v>8905</v>
      </c>
      <c r="C4595" t="s">
        <v>5</v>
      </c>
    </row>
    <row r="4596" spans="1:4" x14ac:dyDescent="0.4">
      <c r="A4596" s="1" t="s">
        <v>8906</v>
      </c>
      <c r="B4596" t="s">
        <v>8907</v>
      </c>
      <c r="C4596" t="s">
        <v>5</v>
      </c>
    </row>
    <row r="4597" spans="1:4" x14ac:dyDescent="0.4">
      <c r="A4597" s="1" t="s">
        <v>8908</v>
      </c>
      <c r="B4597" t="s">
        <v>8909</v>
      </c>
      <c r="C4597" t="s">
        <v>5</v>
      </c>
    </row>
    <row r="4598" spans="1:4" x14ac:dyDescent="0.4">
      <c r="A4598" s="1" t="s">
        <v>8910</v>
      </c>
      <c r="B4598" t="s">
        <v>8911</v>
      </c>
      <c r="C4598" t="s">
        <v>5</v>
      </c>
    </row>
    <row r="4599" spans="1:4" x14ac:dyDescent="0.4">
      <c r="A4599" s="1" t="s">
        <v>8912</v>
      </c>
      <c r="B4599" t="s">
        <v>8913</v>
      </c>
      <c r="C4599" t="s">
        <v>5</v>
      </c>
    </row>
    <row r="4600" spans="1:4" x14ac:dyDescent="0.4">
      <c r="A4600" s="1" t="s">
        <v>8914</v>
      </c>
      <c r="B4600" t="s">
        <v>8915</v>
      </c>
      <c r="C4600" t="s">
        <v>5</v>
      </c>
    </row>
    <row r="4601" spans="1:4" x14ac:dyDescent="0.4">
      <c r="A4601" s="1" t="s">
        <v>8916</v>
      </c>
      <c r="B4601" t="s">
        <v>8917</v>
      </c>
      <c r="C4601" t="s">
        <v>5</v>
      </c>
    </row>
    <row r="4602" spans="1:4" x14ac:dyDescent="0.4">
      <c r="A4602" s="1" t="s">
        <v>8918</v>
      </c>
      <c r="B4602" t="s">
        <v>8919</v>
      </c>
      <c r="C4602" t="s">
        <v>5</v>
      </c>
    </row>
    <row r="4603" spans="1:4" x14ac:dyDescent="0.4">
      <c r="A4603" s="1" t="s">
        <v>8920</v>
      </c>
      <c r="B4603" t="s">
        <v>8921</v>
      </c>
      <c r="C4603" t="s">
        <v>5</v>
      </c>
    </row>
    <row r="4604" spans="1:4" x14ac:dyDescent="0.4">
      <c r="A4604" s="1" t="s">
        <v>8922</v>
      </c>
      <c r="B4604" t="s">
        <v>8923</v>
      </c>
      <c r="C4604" t="s">
        <v>5</v>
      </c>
    </row>
    <row r="4605" spans="1:4" x14ac:dyDescent="0.4">
      <c r="A4605" s="1" t="s">
        <v>8924</v>
      </c>
      <c r="B4605" t="s">
        <v>8925</v>
      </c>
      <c r="C4605" t="s">
        <v>5</v>
      </c>
    </row>
    <row r="4606" spans="1:4" x14ac:dyDescent="0.4">
      <c r="A4606" s="1" t="s">
        <v>8926</v>
      </c>
      <c r="B4606" t="s">
        <v>8927</v>
      </c>
      <c r="C4606" t="s">
        <v>5</v>
      </c>
    </row>
    <row r="4607" spans="1:4" x14ac:dyDescent="0.4">
      <c r="A4607" s="1" t="s">
        <v>8928</v>
      </c>
      <c r="B4607" t="e">
        <f>-在庫限り-ｺﾆｶﾐﾉﾙﾀ QS513</f>
        <v>#NAME?</v>
      </c>
      <c r="C4607" t="s">
        <v>5</v>
      </c>
    </row>
    <row r="4608" spans="1:4" x14ac:dyDescent="0.4">
      <c r="A4608" s="1" t="s">
        <v>8929</v>
      </c>
      <c r="B4608" t="s">
        <v>8930</v>
      </c>
      <c r="C4608" t="s">
        <v>5</v>
      </c>
      <c r="D4608">
        <v>8800</v>
      </c>
    </row>
    <row r="4609" spans="1:4" x14ac:dyDescent="0.4">
      <c r="A4609" s="1" t="s">
        <v>8931</v>
      </c>
      <c r="B4609" t="s">
        <v>8932</v>
      </c>
      <c r="C4609" t="s">
        <v>5</v>
      </c>
      <c r="D4609">
        <v>17600</v>
      </c>
    </row>
    <row r="4610" spans="1:4" x14ac:dyDescent="0.4">
      <c r="A4610" s="1" t="s">
        <v>8933</v>
      </c>
      <c r="B4610" t="s">
        <v>8934</v>
      </c>
      <c r="C4610" t="s">
        <v>5</v>
      </c>
    </row>
    <row r="4611" spans="1:4" x14ac:dyDescent="0.4">
      <c r="A4611" s="1" t="s">
        <v>8935</v>
      </c>
      <c r="B4611" t="s">
        <v>8936</v>
      </c>
      <c r="C4611" t="s">
        <v>5</v>
      </c>
    </row>
    <row r="4612" spans="1:4" x14ac:dyDescent="0.4">
      <c r="A4612" s="1" t="s">
        <v>8937</v>
      </c>
      <c r="B4612" t="s">
        <v>8938</v>
      </c>
      <c r="C4612" t="s">
        <v>5</v>
      </c>
    </row>
    <row r="4613" spans="1:4" x14ac:dyDescent="0.4">
      <c r="A4613" s="1" t="s">
        <v>8939</v>
      </c>
      <c r="B4613" t="s">
        <v>8940</v>
      </c>
      <c r="C4613" t="s">
        <v>5</v>
      </c>
    </row>
    <row r="4614" spans="1:4" x14ac:dyDescent="0.4">
      <c r="A4614" s="1" t="s">
        <v>8941</v>
      </c>
      <c r="B4614" t="s">
        <v>8942</v>
      </c>
      <c r="C4614" t="s">
        <v>5</v>
      </c>
      <c r="D4614">
        <v>9200</v>
      </c>
    </row>
    <row r="4615" spans="1:4" x14ac:dyDescent="0.4">
      <c r="A4615" s="1" t="s">
        <v>8943</v>
      </c>
      <c r="B4615" t="s">
        <v>8944</v>
      </c>
      <c r="C4615" t="s">
        <v>5</v>
      </c>
      <c r="D4615">
        <v>18500</v>
      </c>
    </row>
    <row r="4616" spans="1:4" x14ac:dyDescent="0.4">
      <c r="A4616" s="1" t="s">
        <v>8945</v>
      </c>
      <c r="B4616" t="s">
        <v>8946</v>
      </c>
      <c r="C4616" t="s">
        <v>5</v>
      </c>
    </row>
    <row r="4617" spans="1:4" x14ac:dyDescent="0.4">
      <c r="A4617" s="1" t="s">
        <v>8947</v>
      </c>
      <c r="B4617" t="s">
        <v>8948</v>
      </c>
      <c r="C4617" t="s">
        <v>5</v>
      </c>
    </row>
    <row r="4618" spans="1:4" x14ac:dyDescent="0.4">
      <c r="A4618" s="1" t="s">
        <v>8949</v>
      </c>
      <c r="B4618" t="s">
        <v>8950</v>
      </c>
      <c r="C4618" t="s">
        <v>5</v>
      </c>
    </row>
    <row r="4619" spans="1:4" x14ac:dyDescent="0.4">
      <c r="A4619" s="1" t="s">
        <v>8951</v>
      </c>
      <c r="B4619" t="s">
        <v>8952</v>
      </c>
      <c r="C4619" t="s">
        <v>5</v>
      </c>
    </row>
    <row r="4620" spans="1:4" x14ac:dyDescent="0.4">
      <c r="A4620" s="1" t="s">
        <v>8953</v>
      </c>
      <c r="B4620" t="s">
        <v>8954</v>
      </c>
      <c r="C4620" t="s">
        <v>5</v>
      </c>
    </row>
    <row r="4621" spans="1:4" x14ac:dyDescent="0.4">
      <c r="A4621" s="1" t="s">
        <v>8955</v>
      </c>
      <c r="B4621" t="s">
        <v>8956</v>
      </c>
      <c r="C4621" t="s">
        <v>5</v>
      </c>
    </row>
    <row r="4622" spans="1:4" x14ac:dyDescent="0.4">
      <c r="A4622" s="1" t="s">
        <v>8957</v>
      </c>
      <c r="B4622" t="s">
        <v>8958</v>
      </c>
      <c r="C4622" t="s">
        <v>5</v>
      </c>
      <c r="D4622">
        <v>34600</v>
      </c>
    </row>
    <row r="4623" spans="1:4" x14ac:dyDescent="0.4">
      <c r="A4623" s="1" t="s">
        <v>8959</v>
      </c>
      <c r="B4623" t="s">
        <v>8960</v>
      </c>
      <c r="C4623" t="s">
        <v>5</v>
      </c>
    </row>
    <row r="4624" spans="1:4" x14ac:dyDescent="0.4">
      <c r="A4624" s="1" t="s">
        <v>8961</v>
      </c>
      <c r="B4624" t="s">
        <v>8962</v>
      </c>
      <c r="C4624" t="s">
        <v>5</v>
      </c>
    </row>
    <row r="4625" spans="1:4" x14ac:dyDescent="0.4">
      <c r="A4625" s="1" t="s">
        <v>8963</v>
      </c>
      <c r="B4625" t="s">
        <v>8964</v>
      </c>
      <c r="C4625" t="s">
        <v>5</v>
      </c>
    </row>
    <row r="4626" spans="1:4" x14ac:dyDescent="0.4">
      <c r="A4626" s="1" t="s">
        <v>8965</v>
      </c>
      <c r="B4626" t="s">
        <v>8966</v>
      </c>
      <c r="C4626" t="s">
        <v>5</v>
      </c>
    </row>
    <row r="4627" spans="1:4" x14ac:dyDescent="0.4">
      <c r="A4627" s="1" t="s">
        <v>8967</v>
      </c>
      <c r="B4627" t="s">
        <v>8968</v>
      </c>
      <c r="C4627" t="s">
        <v>5</v>
      </c>
      <c r="D4627">
        <v>48600</v>
      </c>
    </row>
    <row r="4628" spans="1:4" x14ac:dyDescent="0.4">
      <c r="A4628" s="1" t="s">
        <v>8969</v>
      </c>
      <c r="B4628" t="s">
        <v>8970</v>
      </c>
      <c r="C4628" t="s">
        <v>5</v>
      </c>
      <c r="D4628">
        <v>13000</v>
      </c>
    </row>
    <row r="4629" spans="1:4" x14ac:dyDescent="0.4">
      <c r="A4629" s="1" t="s">
        <v>8971</v>
      </c>
      <c r="B4629" t="s">
        <v>8972</v>
      </c>
      <c r="C4629" t="s">
        <v>5</v>
      </c>
    </row>
    <row r="4630" spans="1:4" x14ac:dyDescent="0.4">
      <c r="A4630" s="1" t="s">
        <v>8973</v>
      </c>
      <c r="B4630" t="s">
        <v>8974</v>
      </c>
      <c r="C4630" t="s">
        <v>5</v>
      </c>
      <c r="D4630">
        <v>45400</v>
      </c>
    </row>
    <row r="4631" spans="1:4" x14ac:dyDescent="0.4">
      <c r="A4631" s="1" t="s">
        <v>8975</v>
      </c>
      <c r="B4631" t="s">
        <v>8976</v>
      </c>
      <c r="C4631" t="s">
        <v>5</v>
      </c>
      <c r="D4631">
        <v>13950</v>
      </c>
    </row>
    <row r="4632" spans="1:4" x14ac:dyDescent="0.4">
      <c r="A4632" s="1" t="s">
        <v>8977</v>
      </c>
      <c r="B4632" t="s">
        <v>8978</v>
      </c>
      <c r="C4632" t="s">
        <v>5</v>
      </c>
      <c r="D4632">
        <v>15000</v>
      </c>
    </row>
    <row r="4633" spans="1:4" x14ac:dyDescent="0.4">
      <c r="A4633" s="1" t="s">
        <v>8979</v>
      </c>
      <c r="B4633" t="s">
        <v>8980</v>
      </c>
      <c r="C4633" t="s">
        <v>5</v>
      </c>
      <c r="D4633">
        <v>13000</v>
      </c>
    </row>
    <row r="4634" spans="1:4" x14ac:dyDescent="0.4">
      <c r="A4634" s="1" t="s">
        <v>8981</v>
      </c>
      <c r="B4634" t="s">
        <v>8982</v>
      </c>
      <c r="C4634" t="s">
        <v>5</v>
      </c>
      <c r="D4634">
        <v>15000</v>
      </c>
    </row>
    <row r="4635" spans="1:4" x14ac:dyDescent="0.4">
      <c r="A4635" s="1" t="s">
        <v>8983</v>
      </c>
      <c r="B4635" t="s">
        <v>8984</v>
      </c>
      <c r="C4635" t="s">
        <v>5</v>
      </c>
      <c r="D4635">
        <v>15000</v>
      </c>
    </row>
    <row r="4636" spans="1:4" x14ac:dyDescent="0.4">
      <c r="A4636" s="1" t="s">
        <v>8985</v>
      </c>
      <c r="B4636" t="s">
        <v>8986</v>
      </c>
      <c r="C4636" t="s">
        <v>5</v>
      </c>
      <c r="D4636">
        <v>13000</v>
      </c>
    </row>
    <row r="4637" spans="1:4" x14ac:dyDescent="0.4">
      <c r="A4637" s="1" t="s">
        <v>8987</v>
      </c>
      <c r="B4637" t="s">
        <v>8988</v>
      </c>
      <c r="C4637" t="s">
        <v>5</v>
      </c>
      <c r="D4637">
        <v>35200</v>
      </c>
    </row>
    <row r="4638" spans="1:4" x14ac:dyDescent="0.4">
      <c r="A4638" s="1" t="s">
        <v>8989</v>
      </c>
      <c r="B4638" t="s">
        <v>8990</v>
      </c>
      <c r="C4638" t="s">
        <v>5</v>
      </c>
      <c r="D4638">
        <v>12000</v>
      </c>
    </row>
    <row r="4639" spans="1:4" x14ac:dyDescent="0.4">
      <c r="A4639" s="1" t="s">
        <v>8991</v>
      </c>
      <c r="B4639" t="s">
        <v>8992</v>
      </c>
      <c r="C4639" t="s">
        <v>5</v>
      </c>
      <c r="D4639">
        <v>32000</v>
      </c>
    </row>
    <row r="4640" spans="1:4" x14ac:dyDescent="0.4">
      <c r="A4640" s="1" t="s">
        <v>8993</v>
      </c>
      <c r="B4640" t="s">
        <v>8994</v>
      </c>
      <c r="C4640" t="s">
        <v>5</v>
      </c>
      <c r="D4640">
        <v>13000</v>
      </c>
    </row>
    <row r="4641" spans="1:4" x14ac:dyDescent="0.4">
      <c r="A4641" s="1" t="s">
        <v>8995</v>
      </c>
      <c r="B4641" t="s">
        <v>8996</v>
      </c>
      <c r="C4641" t="s">
        <v>5</v>
      </c>
      <c r="D4641">
        <v>35200</v>
      </c>
    </row>
    <row r="4642" spans="1:4" x14ac:dyDescent="0.4">
      <c r="A4642" s="1" t="s">
        <v>8997</v>
      </c>
      <c r="B4642" t="s">
        <v>8998</v>
      </c>
      <c r="C4642" t="s">
        <v>5</v>
      </c>
      <c r="D4642">
        <v>13000</v>
      </c>
    </row>
    <row r="4643" spans="1:4" x14ac:dyDescent="0.4">
      <c r="A4643" s="1" t="s">
        <v>8999</v>
      </c>
      <c r="B4643" t="s">
        <v>9000</v>
      </c>
      <c r="C4643" t="s">
        <v>5</v>
      </c>
      <c r="D4643">
        <v>35200</v>
      </c>
    </row>
    <row r="4644" spans="1:4" x14ac:dyDescent="0.4">
      <c r="A4644" s="1" t="s">
        <v>9001</v>
      </c>
      <c r="B4644" t="s">
        <v>9002</v>
      </c>
      <c r="C4644" t="s">
        <v>5</v>
      </c>
      <c r="D4644">
        <v>15000</v>
      </c>
    </row>
    <row r="4645" spans="1:4" x14ac:dyDescent="0.4">
      <c r="A4645" s="1" t="s">
        <v>9003</v>
      </c>
      <c r="B4645" t="s">
        <v>9004</v>
      </c>
      <c r="C4645" t="s">
        <v>5</v>
      </c>
      <c r="D4645">
        <v>14500</v>
      </c>
    </row>
    <row r="4646" spans="1:4" x14ac:dyDescent="0.4">
      <c r="A4646" s="1" t="s">
        <v>9005</v>
      </c>
      <c r="B4646" t="s">
        <v>9006</v>
      </c>
      <c r="C4646" t="s">
        <v>5</v>
      </c>
      <c r="D4646">
        <v>15000</v>
      </c>
    </row>
    <row r="4647" spans="1:4" x14ac:dyDescent="0.4">
      <c r="A4647" s="1" t="s">
        <v>9007</v>
      </c>
      <c r="B4647" t="s">
        <v>9008</v>
      </c>
      <c r="C4647" t="s">
        <v>5</v>
      </c>
      <c r="D4647">
        <v>15000</v>
      </c>
    </row>
    <row r="4648" spans="1:4" x14ac:dyDescent="0.4">
      <c r="A4648" s="1" t="s">
        <v>9009</v>
      </c>
      <c r="B4648" t="s">
        <v>9010</v>
      </c>
      <c r="C4648" t="s">
        <v>5</v>
      </c>
      <c r="D4648">
        <v>13650</v>
      </c>
    </row>
    <row r="4649" spans="1:4" x14ac:dyDescent="0.4">
      <c r="A4649" s="1" t="s">
        <v>9011</v>
      </c>
      <c r="B4649" t="s">
        <v>9012</v>
      </c>
      <c r="C4649" t="s">
        <v>5</v>
      </c>
      <c r="D4649">
        <v>36960</v>
      </c>
    </row>
    <row r="4650" spans="1:4" x14ac:dyDescent="0.4">
      <c r="A4650" s="1" t="s">
        <v>9013</v>
      </c>
      <c r="B4650" t="s">
        <v>9014</v>
      </c>
      <c r="C4650" t="s">
        <v>5</v>
      </c>
      <c r="D4650">
        <v>12600</v>
      </c>
    </row>
    <row r="4651" spans="1:4" x14ac:dyDescent="0.4">
      <c r="A4651" s="1" t="s">
        <v>9015</v>
      </c>
      <c r="B4651" t="s">
        <v>9016</v>
      </c>
      <c r="C4651" t="s">
        <v>5</v>
      </c>
      <c r="D4651">
        <v>33600</v>
      </c>
    </row>
    <row r="4652" spans="1:4" x14ac:dyDescent="0.4">
      <c r="A4652" s="1" t="s">
        <v>9017</v>
      </c>
      <c r="B4652" t="s">
        <v>9018</v>
      </c>
      <c r="C4652" t="s">
        <v>5</v>
      </c>
      <c r="D4652">
        <v>13650</v>
      </c>
    </row>
    <row r="4653" spans="1:4" x14ac:dyDescent="0.4">
      <c r="A4653" s="1" t="s">
        <v>9019</v>
      </c>
      <c r="B4653" t="s">
        <v>9020</v>
      </c>
      <c r="C4653" t="s">
        <v>5</v>
      </c>
      <c r="D4653">
        <v>36960</v>
      </c>
    </row>
    <row r="4654" spans="1:4" x14ac:dyDescent="0.4">
      <c r="A4654" s="1" t="s">
        <v>9021</v>
      </c>
      <c r="B4654" t="s">
        <v>9022</v>
      </c>
      <c r="C4654" t="s">
        <v>5</v>
      </c>
      <c r="D4654">
        <v>13650</v>
      </c>
    </row>
    <row r="4655" spans="1:4" x14ac:dyDescent="0.4">
      <c r="A4655" s="1" t="s">
        <v>9023</v>
      </c>
      <c r="B4655" t="s">
        <v>9024</v>
      </c>
      <c r="C4655" t="s">
        <v>5</v>
      </c>
      <c r="D4655">
        <v>36960</v>
      </c>
    </row>
    <row r="4656" spans="1:4" x14ac:dyDescent="0.4">
      <c r="A4656" s="1" t="s">
        <v>9025</v>
      </c>
      <c r="B4656" t="s">
        <v>9026</v>
      </c>
      <c r="C4656" t="s">
        <v>5</v>
      </c>
      <c r="D4656">
        <v>16800</v>
      </c>
    </row>
    <row r="4657" spans="1:4" x14ac:dyDescent="0.4">
      <c r="A4657" s="1" t="s">
        <v>9027</v>
      </c>
      <c r="B4657" t="s">
        <v>9028</v>
      </c>
      <c r="C4657" t="s">
        <v>5</v>
      </c>
      <c r="D4657">
        <v>7350</v>
      </c>
    </row>
    <row r="4658" spans="1:4" x14ac:dyDescent="0.4">
      <c r="A4658" s="1" t="s">
        <v>9029</v>
      </c>
      <c r="B4658" t="s">
        <v>9030</v>
      </c>
      <c r="C4658" t="s">
        <v>5</v>
      </c>
      <c r="D4658">
        <v>15750</v>
      </c>
    </row>
    <row r="4659" spans="1:4" x14ac:dyDescent="0.4">
      <c r="A4659" s="1" t="s">
        <v>9031</v>
      </c>
      <c r="B4659" t="s">
        <v>9032</v>
      </c>
      <c r="C4659" t="s">
        <v>5</v>
      </c>
      <c r="D4659">
        <v>6300</v>
      </c>
    </row>
    <row r="4660" spans="1:4" x14ac:dyDescent="0.4">
      <c r="A4660" s="1" t="s">
        <v>9033</v>
      </c>
      <c r="B4660" t="s">
        <v>9034</v>
      </c>
      <c r="C4660" t="s">
        <v>5</v>
      </c>
      <c r="D4660">
        <v>16800</v>
      </c>
    </row>
    <row r="4661" spans="1:4" x14ac:dyDescent="0.4">
      <c r="A4661" s="1" t="s">
        <v>9035</v>
      </c>
      <c r="B4661" t="s">
        <v>9036</v>
      </c>
      <c r="C4661" t="s">
        <v>5</v>
      </c>
      <c r="D4661">
        <v>7350</v>
      </c>
    </row>
    <row r="4662" spans="1:4" x14ac:dyDescent="0.4">
      <c r="A4662" s="1" t="s">
        <v>9037</v>
      </c>
      <c r="B4662" t="s">
        <v>9038</v>
      </c>
      <c r="C4662" t="s">
        <v>5</v>
      </c>
      <c r="D4662">
        <v>16800</v>
      </c>
    </row>
    <row r="4663" spans="1:4" x14ac:dyDescent="0.4">
      <c r="A4663" s="1" t="s">
        <v>9039</v>
      </c>
      <c r="B4663" t="s">
        <v>9040</v>
      </c>
      <c r="C4663" t="s">
        <v>5</v>
      </c>
      <c r="D4663">
        <v>7350</v>
      </c>
    </row>
    <row r="4664" spans="1:4" x14ac:dyDescent="0.4">
      <c r="A4664" s="1" t="s">
        <v>9041</v>
      </c>
      <c r="B4664" t="s">
        <v>9042</v>
      </c>
      <c r="C4664" t="s">
        <v>5</v>
      </c>
      <c r="D4664">
        <v>15750</v>
      </c>
    </row>
    <row r="4665" spans="1:4" x14ac:dyDescent="0.4">
      <c r="A4665" s="1" t="s">
        <v>9043</v>
      </c>
      <c r="B4665" t="s">
        <v>9044</v>
      </c>
      <c r="C4665" t="s">
        <v>5</v>
      </c>
      <c r="D4665">
        <v>26250</v>
      </c>
    </row>
    <row r="4666" spans="1:4" x14ac:dyDescent="0.4">
      <c r="A4666" s="1" t="s">
        <v>9045</v>
      </c>
      <c r="B4666" t="s">
        <v>9046</v>
      </c>
      <c r="C4666" t="s">
        <v>5</v>
      </c>
      <c r="D4666">
        <v>8400</v>
      </c>
    </row>
    <row r="4667" spans="1:4" x14ac:dyDescent="0.4">
      <c r="A4667" s="1" t="s">
        <v>9047</v>
      </c>
      <c r="B4667" t="s">
        <v>9048</v>
      </c>
      <c r="C4667" t="s">
        <v>5</v>
      </c>
      <c r="D4667">
        <v>14700</v>
      </c>
    </row>
    <row r="4668" spans="1:4" x14ac:dyDescent="0.4">
      <c r="A4668" s="1" t="s">
        <v>9049</v>
      </c>
      <c r="B4668" t="s">
        <v>9050</v>
      </c>
      <c r="C4668" t="s">
        <v>5</v>
      </c>
      <c r="D4668">
        <v>24570</v>
      </c>
    </row>
    <row r="4669" spans="1:4" x14ac:dyDescent="0.4">
      <c r="A4669" s="1" t="s">
        <v>9051</v>
      </c>
      <c r="B4669" t="s">
        <v>9052</v>
      </c>
      <c r="C4669" t="s">
        <v>5</v>
      </c>
      <c r="D4669">
        <v>8820</v>
      </c>
    </row>
    <row r="4670" spans="1:4" x14ac:dyDescent="0.4">
      <c r="A4670" s="1" t="s">
        <v>9053</v>
      </c>
      <c r="B4670" t="s">
        <v>9054</v>
      </c>
      <c r="C4670" t="s">
        <v>5</v>
      </c>
      <c r="D4670">
        <v>15750</v>
      </c>
    </row>
    <row r="4671" spans="1:4" x14ac:dyDescent="0.4">
      <c r="A4671" s="1" t="s">
        <v>9055</v>
      </c>
      <c r="B4671" t="s">
        <v>9056</v>
      </c>
      <c r="C4671" t="s">
        <v>5</v>
      </c>
      <c r="D4671">
        <v>26250</v>
      </c>
    </row>
    <row r="4672" spans="1:4" x14ac:dyDescent="0.4">
      <c r="A4672" s="1" t="s">
        <v>9057</v>
      </c>
      <c r="B4672" t="s">
        <v>9058</v>
      </c>
      <c r="C4672" t="s">
        <v>5</v>
      </c>
      <c r="D4672">
        <v>8400</v>
      </c>
    </row>
    <row r="4673" spans="1:4" x14ac:dyDescent="0.4">
      <c r="A4673" s="1" t="s">
        <v>9059</v>
      </c>
      <c r="B4673" t="s">
        <v>9060</v>
      </c>
      <c r="C4673" t="s">
        <v>5</v>
      </c>
      <c r="D4673">
        <v>15750</v>
      </c>
    </row>
    <row r="4674" spans="1:4" x14ac:dyDescent="0.4">
      <c r="A4674" s="1" t="s">
        <v>9061</v>
      </c>
      <c r="B4674" t="s">
        <v>9062</v>
      </c>
      <c r="C4674" t="s">
        <v>5</v>
      </c>
      <c r="D4674">
        <v>26250</v>
      </c>
    </row>
    <row r="4675" spans="1:4" x14ac:dyDescent="0.4">
      <c r="A4675" s="1" t="s">
        <v>9063</v>
      </c>
      <c r="B4675" t="s">
        <v>9064</v>
      </c>
      <c r="C4675" t="s">
        <v>5</v>
      </c>
      <c r="D4675">
        <v>8400</v>
      </c>
    </row>
    <row r="4676" spans="1:4" x14ac:dyDescent="0.4">
      <c r="A4676" s="1" t="s">
        <v>9065</v>
      </c>
      <c r="B4676" t="s">
        <v>9066</v>
      </c>
      <c r="C4676" t="s">
        <v>5</v>
      </c>
      <c r="D4676">
        <v>12390</v>
      </c>
    </row>
    <row r="4677" spans="1:4" x14ac:dyDescent="0.4">
      <c r="A4677" s="1" t="s">
        <v>9067</v>
      </c>
      <c r="B4677" t="s">
        <v>9068</v>
      </c>
      <c r="C4677" t="s">
        <v>5</v>
      </c>
      <c r="D4677">
        <v>11340</v>
      </c>
    </row>
    <row r="4678" spans="1:4" x14ac:dyDescent="0.4">
      <c r="A4678" s="1" t="s">
        <v>9069</v>
      </c>
      <c r="B4678" t="s">
        <v>9070</v>
      </c>
      <c r="C4678" t="s">
        <v>5</v>
      </c>
      <c r="D4678">
        <v>12390</v>
      </c>
    </row>
    <row r="4679" spans="1:4" x14ac:dyDescent="0.4">
      <c r="A4679" s="1" t="s">
        <v>9071</v>
      </c>
      <c r="B4679" t="s">
        <v>9072</v>
      </c>
      <c r="C4679" t="s">
        <v>5</v>
      </c>
      <c r="D4679">
        <v>12390</v>
      </c>
    </row>
    <row r="4680" spans="1:4" x14ac:dyDescent="0.4">
      <c r="A4680" s="1" t="s">
        <v>9073</v>
      </c>
      <c r="B4680" t="s">
        <v>9074</v>
      </c>
      <c r="C4680" t="s">
        <v>5</v>
      </c>
      <c r="D4680">
        <v>18900</v>
      </c>
    </row>
    <row r="4681" spans="1:4" x14ac:dyDescent="0.4">
      <c r="A4681" s="1" t="s">
        <v>9075</v>
      </c>
      <c r="B4681" t="s">
        <v>9076</v>
      </c>
      <c r="C4681" t="s">
        <v>5</v>
      </c>
      <c r="D4681">
        <v>24150</v>
      </c>
    </row>
    <row r="4682" spans="1:4" x14ac:dyDescent="0.4">
      <c r="A4682" s="1" t="s">
        <v>9077</v>
      </c>
      <c r="B4682" t="s">
        <v>9078</v>
      </c>
      <c r="C4682" t="s">
        <v>5</v>
      </c>
      <c r="D4682">
        <v>17850</v>
      </c>
    </row>
    <row r="4683" spans="1:4" x14ac:dyDescent="0.4">
      <c r="A4683" s="1" t="s">
        <v>9079</v>
      </c>
      <c r="B4683" t="s">
        <v>9080</v>
      </c>
      <c r="C4683" t="s">
        <v>5</v>
      </c>
      <c r="D4683">
        <v>21420</v>
      </c>
    </row>
    <row r="4684" spans="1:4" x14ac:dyDescent="0.4">
      <c r="A4684" s="1" t="s">
        <v>9081</v>
      </c>
      <c r="B4684" t="s">
        <v>9082</v>
      </c>
      <c r="C4684" t="s">
        <v>5</v>
      </c>
      <c r="D4684">
        <v>18900</v>
      </c>
    </row>
    <row r="4685" spans="1:4" x14ac:dyDescent="0.4">
      <c r="A4685" s="1" t="s">
        <v>9083</v>
      </c>
      <c r="B4685" t="s">
        <v>9084</v>
      </c>
      <c r="C4685" t="s">
        <v>5</v>
      </c>
      <c r="D4685">
        <v>24150</v>
      </c>
    </row>
    <row r="4686" spans="1:4" x14ac:dyDescent="0.4">
      <c r="A4686" s="1" t="s">
        <v>9085</v>
      </c>
      <c r="B4686" t="s">
        <v>9086</v>
      </c>
      <c r="C4686" t="s">
        <v>5</v>
      </c>
      <c r="D4686">
        <v>18900</v>
      </c>
    </row>
    <row r="4687" spans="1:4" x14ac:dyDescent="0.4">
      <c r="A4687" s="1" t="s">
        <v>9087</v>
      </c>
      <c r="B4687" t="s">
        <v>9088</v>
      </c>
      <c r="C4687" t="s">
        <v>5</v>
      </c>
      <c r="D4687">
        <v>24150</v>
      </c>
    </row>
    <row r="4688" spans="1:4" x14ac:dyDescent="0.4">
      <c r="A4688" s="1" t="s">
        <v>9089</v>
      </c>
      <c r="B4688" t="s">
        <v>9090</v>
      </c>
      <c r="C4688" t="s">
        <v>5</v>
      </c>
      <c r="D4688">
        <v>47040</v>
      </c>
    </row>
    <row r="4689" spans="1:4" x14ac:dyDescent="0.4">
      <c r="A4689" s="1" t="s">
        <v>9091</v>
      </c>
      <c r="B4689" t="s">
        <v>9092</v>
      </c>
      <c r="C4689" t="s">
        <v>5</v>
      </c>
      <c r="D4689">
        <v>25200</v>
      </c>
    </row>
    <row r="4690" spans="1:4" x14ac:dyDescent="0.4">
      <c r="A4690" s="1" t="s">
        <v>9093</v>
      </c>
      <c r="B4690" t="s">
        <v>9094</v>
      </c>
      <c r="C4690" t="s">
        <v>5</v>
      </c>
      <c r="D4690">
        <v>35910</v>
      </c>
    </row>
    <row r="4691" spans="1:4" x14ac:dyDescent="0.4">
      <c r="A4691" s="1" t="s">
        <v>9095</v>
      </c>
      <c r="B4691" t="s">
        <v>9096</v>
      </c>
      <c r="C4691" t="s">
        <v>5</v>
      </c>
      <c r="D4691">
        <v>23310</v>
      </c>
    </row>
    <row r="4692" spans="1:4" x14ac:dyDescent="0.4">
      <c r="A4692" s="1" t="s">
        <v>9097</v>
      </c>
      <c r="B4692" t="s">
        <v>9098</v>
      </c>
      <c r="C4692" t="s">
        <v>5</v>
      </c>
      <c r="D4692">
        <v>47040</v>
      </c>
    </row>
    <row r="4693" spans="1:4" x14ac:dyDescent="0.4">
      <c r="A4693" s="1" t="s">
        <v>9099</v>
      </c>
      <c r="B4693" t="s">
        <v>9100</v>
      </c>
      <c r="C4693" t="s">
        <v>5</v>
      </c>
      <c r="D4693">
        <v>25200</v>
      </c>
    </row>
    <row r="4694" spans="1:4" x14ac:dyDescent="0.4">
      <c r="A4694" s="1" t="s">
        <v>9101</v>
      </c>
      <c r="B4694" t="s">
        <v>9102</v>
      </c>
      <c r="C4694" t="s">
        <v>5</v>
      </c>
      <c r="D4694">
        <v>37590</v>
      </c>
    </row>
    <row r="4695" spans="1:4" x14ac:dyDescent="0.4">
      <c r="A4695" s="1" t="s">
        <v>9103</v>
      </c>
      <c r="B4695" t="s">
        <v>9104</v>
      </c>
      <c r="C4695" t="s">
        <v>5</v>
      </c>
      <c r="D4695">
        <v>69090</v>
      </c>
    </row>
    <row r="4696" spans="1:4" x14ac:dyDescent="0.4">
      <c r="A4696" s="1" t="s">
        <v>9105</v>
      </c>
      <c r="B4696" t="s">
        <v>9106</v>
      </c>
      <c r="C4696" t="s">
        <v>5</v>
      </c>
      <c r="D4696">
        <v>47040</v>
      </c>
    </row>
    <row r="4697" spans="1:4" x14ac:dyDescent="0.4">
      <c r="A4697" s="1" t="s">
        <v>9107</v>
      </c>
      <c r="B4697" t="s">
        <v>9108</v>
      </c>
      <c r="C4697" t="s">
        <v>5</v>
      </c>
      <c r="D4697">
        <v>25200</v>
      </c>
    </row>
    <row r="4698" spans="1:4" x14ac:dyDescent="0.4">
      <c r="A4698" s="1" t="s">
        <v>9109</v>
      </c>
      <c r="B4698" t="s">
        <v>9110</v>
      </c>
      <c r="C4698" t="s">
        <v>5</v>
      </c>
      <c r="D4698">
        <v>14000</v>
      </c>
    </row>
    <row r="4699" spans="1:4" x14ac:dyDescent="0.4">
      <c r="A4699" s="1" t="s">
        <v>9111</v>
      </c>
      <c r="B4699" t="s">
        <v>9112</v>
      </c>
      <c r="C4699" t="s">
        <v>5</v>
      </c>
      <c r="D4699">
        <v>6800</v>
      </c>
    </row>
    <row r="4700" spans="1:4" x14ac:dyDescent="0.4">
      <c r="A4700" s="1" t="s">
        <v>9113</v>
      </c>
      <c r="B4700" t="s">
        <v>9114</v>
      </c>
      <c r="C4700" t="s">
        <v>5</v>
      </c>
      <c r="D4700">
        <v>13000</v>
      </c>
    </row>
    <row r="4701" spans="1:4" x14ac:dyDescent="0.4">
      <c r="A4701" s="1" t="s">
        <v>9115</v>
      </c>
      <c r="B4701" t="s">
        <v>9116</v>
      </c>
      <c r="C4701" t="s">
        <v>5</v>
      </c>
      <c r="D4701">
        <v>5500</v>
      </c>
    </row>
    <row r="4702" spans="1:4" x14ac:dyDescent="0.4">
      <c r="A4702" s="1" t="s">
        <v>9117</v>
      </c>
      <c r="B4702" t="s">
        <v>9118</v>
      </c>
      <c r="C4702" t="s">
        <v>5</v>
      </c>
      <c r="D4702">
        <v>14000</v>
      </c>
    </row>
    <row r="4703" spans="1:4" x14ac:dyDescent="0.4">
      <c r="A4703" s="1" t="s">
        <v>9119</v>
      </c>
      <c r="B4703" t="s">
        <v>9120</v>
      </c>
      <c r="C4703" t="s">
        <v>5</v>
      </c>
      <c r="D4703">
        <v>6800</v>
      </c>
    </row>
    <row r="4704" spans="1:4" x14ac:dyDescent="0.4">
      <c r="A4704" s="1" t="s">
        <v>9121</v>
      </c>
      <c r="B4704" t="s">
        <v>9122</v>
      </c>
      <c r="C4704" t="s">
        <v>5</v>
      </c>
      <c r="D4704">
        <v>14000</v>
      </c>
    </row>
    <row r="4705" spans="1:4" x14ac:dyDescent="0.4">
      <c r="A4705" s="1" t="s">
        <v>9123</v>
      </c>
      <c r="B4705" t="s">
        <v>9124</v>
      </c>
      <c r="C4705" t="s">
        <v>5</v>
      </c>
      <c r="D4705">
        <v>6800</v>
      </c>
    </row>
    <row r="4706" spans="1:4" x14ac:dyDescent="0.4">
      <c r="A4706" s="1" t="s">
        <v>9125</v>
      </c>
      <c r="B4706" t="s">
        <v>9126</v>
      </c>
      <c r="C4706" t="s">
        <v>5</v>
      </c>
      <c r="D4706">
        <v>7140</v>
      </c>
    </row>
    <row r="4707" spans="1:4" x14ac:dyDescent="0.4">
      <c r="A4707" s="1" t="s">
        <v>9127</v>
      </c>
      <c r="B4707" t="s">
        <v>9128</v>
      </c>
      <c r="C4707" t="s">
        <v>5</v>
      </c>
      <c r="D4707">
        <v>15750</v>
      </c>
    </row>
    <row r="4708" spans="1:4" x14ac:dyDescent="0.4">
      <c r="A4708" s="1" t="s">
        <v>9129</v>
      </c>
      <c r="B4708" t="s">
        <v>9130</v>
      </c>
      <c r="C4708" t="s">
        <v>5</v>
      </c>
      <c r="D4708">
        <v>8190</v>
      </c>
    </row>
    <row r="4709" spans="1:4" x14ac:dyDescent="0.4">
      <c r="A4709" s="1" t="s">
        <v>9131</v>
      </c>
      <c r="B4709" t="s">
        <v>9132</v>
      </c>
      <c r="C4709" t="s">
        <v>5</v>
      </c>
      <c r="D4709">
        <v>19430</v>
      </c>
    </row>
    <row r="4710" spans="1:4" x14ac:dyDescent="0.4">
      <c r="A4710" s="1" t="s">
        <v>9133</v>
      </c>
      <c r="B4710" t="s">
        <v>9134</v>
      </c>
      <c r="C4710" t="s">
        <v>5</v>
      </c>
      <c r="D4710">
        <v>7140</v>
      </c>
    </row>
    <row r="4711" spans="1:4" x14ac:dyDescent="0.4">
      <c r="A4711" s="1" t="s">
        <v>9135</v>
      </c>
      <c r="B4711" t="s">
        <v>9136</v>
      </c>
      <c r="C4711" t="s">
        <v>5</v>
      </c>
      <c r="D4711">
        <v>15750</v>
      </c>
    </row>
    <row r="4712" spans="1:4" x14ac:dyDescent="0.4">
      <c r="A4712" s="1" t="s">
        <v>9137</v>
      </c>
      <c r="B4712" t="s">
        <v>9138</v>
      </c>
      <c r="C4712" t="s">
        <v>5</v>
      </c>
      <c r="D4712">
        <v>7140</v>
      </c>
    </row>
    <row r="4713" spans="1:4" x14ac:dyDescent="0.4">
      <c r="A4713" s="1" t="s">
        <v>9139</v>
      </c>
      <c r="B4713" t="s">
        <v>9140</v>
      </c>
      <c r="C4713" t="s">
        <v>5</v>
      </c>
      <c r="D4713">
        <v>15750</v>
      </c>
    </row>
    <row r="4714" spans="1:4" x14ac:dyDescent="0.4">
      <c r="A4714" s="1" t="s">
        <v>9141</v>
      </c>
      <c r="B4714" t="s">
        <v>9142</v>
      </c>
      <c r="C4714" t="s">
        <v>5</v>
      </c>
      <c r="D4714">
        <v>14700</v>
      </c>
    </row>
    <row r="4715" spans="1:4" x14ac:dyDescent="0.4">
      <c r="A4715" s="1" t="s">
        <v>9143</v>
      </c>
      <c r="B4715" t="s">
        <v>9144</v>
      </c>
      <c r="C4715" t="s">
        <v>5</v>
      </c>
      <c r="D4715">
        <v>28350</v>
      </c>
    </row>
    <row r="4716" spans="1:4" x14ac:dyDescent="0.4">
      <c r="A4716" s="1" t="s">
        <v>9145</v>
      </c>
      <c r="B4716" t="s">
        <v>9146</v>
      </c>
      <c r="C4716" t="s">
        <v>5</v>
      </c>
      <c r="D4716">
        <v>13650</v>
      </c>
    </row>
    <row r="4717" spans="1:4" x14ac:dyDescent="0.4">
      <c r="A4717" s="1" t="s">
        <v>9147</v>
      </c>
      <c r="B4717" t="s">
        <v>9148</v>
      </c>
      <c r="C4717" t="s">
        <v>5</v>
      </c>
      <c r="D4717">
        <v>26250</v>
      </c>
    </row>
    <row r="4718" spans="1:4" x14ac:dyDescent="0.4">
      <c r="A4718" s="1" t="s">
        <v>9149</v>
      </c>
      <c r="B4718" t="s">
        <v>9150</v>
      </c>
      <c r="C4718" t="s">
        <v>5</v>
      </c>
      <c r="D4718">
        <v>14700</v>
      </c>
    </row>
    <row r="4719" spans="1:4" x14ac:dyDescent="0.4">
      <c r="A4719" s="1" t="s">
        <v>9151</v>
      </c>
      <c r="B4719" t="s">
        <v>9152</v>
      </c>
      <c r="C4719" t="s">
        <v>5</v>
      </c>
      <c r="D4719">
        <v>28350</v>
      </c>
    </row>
    <row r="4720" spans="1:4" x14ac:dyDescent="0.4">
      <c r="A4720" s="1" t="s">
        <v>9153</v>
      </c>
      <c r="B4720" t="s">
        <v>9154</v>
      </c>
      <c r="C4720" t="s">
        <v>5</v>
      </c>
      <c r="D4720">
        <v>14700</v>
      </c>
    </row>
    <row r="4721" spans="1:4" x14ac:dyDescent="0.4">
      <c r="A4721" s="1" t="s">
        <v>9155</v>
      </c>
      <c r="B4721" t="s">
        <v>9156</v>
      </c>
      <c r="C4721" t="s">
        <v>5</v>
      </c>
      <c r="D4721">
        <v>28350</v>
      </c>
    </row>
    <row r="4722" spans="1:4" x14ac:dyDescent="0.4">
      <c r="A4722" s="1" t="s">
        <v>9157</v>
      </c>
      <c r="B4722" t="s">
        <v>9158</v>
      </c>
      <c r="C4722" t="s">
        <v>5</v>
      </c>
      <c r="D4722">
        <v>11550</v>
      </c>
    </row>
    <row r="4723" spans="1:4" x14ac:dyDescent="0.4">
      <c r="A4723" s="1" t="s">
        <v>9159</v>
      </c>
      <c r="B4723" t="s">
        <v>9160</v>
      </c>
      <c r="C4723" t="s">
        <v>5</v>
      </c>
      <c r="D4723">
        <v>16800</v>
      </c>
    </row>
    <row r="4724" spans="1:4" x14ac:dyDescent="0.4">
      <c r="A4724" s="1" t="s">
        <v>9161</v>
      </c>
      <c r="B4724" t="s">
        <v>9162</v>
      </c>
      <c r="C4724" t="s">
        <v>5</v>
      </c>
      <c r="D4724">
        <v>7880</v>
      </c>
    </row>
    <row r="4725" spans="1:4" x14ac:dyDescent="0.4">
      <c r="A4725" s="1" t="s">
        <v>9163</v>
      </c>
      <c r="B4725" t="s">
        <v>9164</v>
      </c>
      <c r="C4725" t="s">
        <v>5</v>
      </c>
      <c r="D4725">
        <v>8400</v>
      </c>
    </row>
    <row r="4726" spans="1:4" x14ac:dyDescent="0.4">
      <c r="A4726" s="1" t="s">
        <v>9165</v>
      </c>
      <c r="B4726" t="s">
        <v>9166</v>
      </c>
      <c r="C4726" t="s">
        <v>5</v>
      </c>
      <c r="D4726">
        <v>11550</v>
      </c>
    </row>
    <row r="4727" spans="1:4" x14ac:dyDescent="0.4">
      <c r="A4727" s="1" t="s">
        <v>9167</v>
      </c>
      <c r="B4727" t="s">
        <v>9168</v>
      </c>
      <c r="C4727" t="s">
        <v>5</v>
      </c>
      <c r="D4727">
        <v>5250</v>
      </c>
    </row>
    <row r="4728" spans="1:4" x14ac:dyDescent="0.4">
      <c r="A4728" s="1" t="s">
        <v>9169</v>
      </c>
      <c r="B4728" t="s">
        <v>9170</v>
      </c>
      <c r="C4728" t="s">
        <v>5</v>
      </c>
      <c r="D4728">
        <v>11550</v>
      </c>
    </row>
    <row r="4729" spans="1:4" x14ac:dyDescent="0.4">
      <c r="A4729" s="1" t="s">
        <v>9171</v>
      </c>
      <c r="B4729" t="s">
        <v>9172</v>
      </c>
      <c r="C4729" t="s">
        <v>5</v>
      </c>
      <c r="D4729">
        <v>16800</v>
      </c>
    </row>
    <row r="4730" spans="1:4" x14ac:dyDescent="0.4">
      <c r="A4730" s="1" t="s">
        <v>9173</v>
      </c>
      <c r="B4730" t="s">
        <v>9174</v>
      </c>
      <c r="C4730" t="s">
        <v>5</v>
      </c>
      <c r="D4730">
        <v>7880</v>
      </c>
    </row>
    <row r="4731" spans="1:4" x14ac:dyDescent="0.4">
      <c r="A4731" s="1" t="s">
        <v>9175</v>
      </c>
      <c r="B4731" t="s">
        <v>9176</v>
      </c>
      <c r="C4731" t="s">
        <v>5</v>
      </c>
      <c r="D4731">
        <v>11550</v>
      </c>
    </row>
    <row r="4732" spans="1:4" x14ac:dyDescent="0.4">
      <c r="A4732" s="1" t="s">
        <v>9177</v>
      </c>
      <c r="B4732" t="s">
        <v>9178</v>
      </c>
      <c r="C4732" t="s">
        <v>5</v>
      </c>
      <c r="D4732">
        <v>16800</v>
      </c>
    </row>
    <row r="4733" spans="1:4" x14ac:dyDescent="0.4">
      <c r="A4733" s="1" t="s">
        <v>9179</v>
      </c>
      <c r="B4733" t="s">
        <v>9180</v>
      </c>
      <c r="C4733" t="s">
        <v>5</v>
      </c>
      <c r="D4733">
        <v>7880</v>
      </c>
    </row>
    <row r="4734" spans="1:4" x14ac:dyDescent="0.4">
      <c r="A4734" s="1" t="s">
        <v>9181</v>
      </c>
      <c r="B4734" t="s">
        <v>9182</v>
      </c>
      <c r="C4734" t="s">
        <v>5</v>
      </c>
      <c r="D4734">
        <v>7560</v>
      </c>
    </row>
    <row r="4735" spans="1:4" x14ac:dyDescent="0.4">
      <c r="A4735" s="1" t="s">
        <v>9183</v>
      </c>
      <c r="B4735" t="s">
        <v>9184</v>
      </c>
      <c r="C4735" t="s">
        <v>5</v>
      </c>
      <c r="D4735">
        <v>4730</v>
      </c>
    </row>
    <row r="4736" spans="1:4" x14ac:dyDescent="0.4">
      <c r="A4736" s="1" t="s">
        <v>9185</v>
      </c>
      <c r="B4736" t="s">
        <v>9186</v>
      </c>
      <c r="C4736" t="s">
        <v>5</v>
      </c>
      <c r="D4736">
        <v>7560</v>
      </c>
    </row>
    <row r="4737" spans="1:4" x14ac:dyDescent="0.4">
      <c r="A4737" s="1" t="s">
        <v>9187</v>
      </c>
      <c r="B4737" t="s">
        <v>9188</v>
      </c>
      <c r="C4737" t="s">
        <v>5</v>
      </c>
      <c r="D4737">
        <v>7560</v>
      </c>
    </row>
    <row r="4738" spans="1:4" x14ac:dyDescent="0.4">
      <c r="A4738" s="1" t="s">
        <v>9189</v>
      </c>
      <c r="B4738" t="s">
        <v>9190</v>
      </c>
      <c r="C4738" t="s">
        <v>5</v>
      </c>
      <c r="D4738">
        <v>11550</v>
      </c>
    </row>
    <row r="4739" spans="1:4" x14ac:dyDescent="0.4">
      <c r="A4739" s="1" t="s">
        <v>9191</v>
      </c>
      <c r="B4739" t="s">
        <v>9192</v>
      </c>
      <c r="C4739" t="s">
        <v>5</v>
      </c>
      <c r="D4739">
        <v>16800</v>
      </c>
    </row>
    <row r="4740" spans="1:4" x14ac:dyDescent="0.4">
      <c r="A4740" s="1" t="s">
        <v>9193</v>
      </c>
      <c r="B4740" t="s">
        <v>9194</v>
      </c>
      <c r="C4740" t="s">
        <v>5</v>
      </c>
      <c r="D4740">
        <v>7880</v>
      </c>
    </row>
    <row r="4741" spans="1:4" x14ac:dyDescent="0.4">
      <c r="A4741" s="1" t="s">
        <v>9195</v>
      </c>
      <c r="B4741" t="s">
        <v>9196</v>
      </c>
      <c r="C4741" t="s">
        <v>5</v>
      </c>
      <c r="D4741">
        <v>8400</v>
      </c>
    </row>
    <row r="4742" spans="1:4" x14ac:dyDescent="0.4">
      <c r="A4742" s="1" t="s">
        <v>9197</v>
      </c>
      <c r="B4742" t="s">
        <v>9198</v>
      </c>
      <c r="C4742" t="s">
        <v>5</v>
      </c>
      <c r="D4742">
        <v>11550</v>
      </c>
    </row>
    <row r="4743" spans="1:4" x14ac:dyDescent="0.4">
      <c r="A4743" s="1" t="s">
        <v>9199</v>
      </c>
      <c r="B4743" t="s">
        <v>9200</v>
      </c>
      <c r="C4743" t="s">
        <v>5</v>
      </c>
      <c r="D4743">
        <v>5250</v>
      </c>
    </row>
    <row r="4744" spans="1:4" x14ac:dyDescent="0.4">
      <c r="A4744" s="1" t="s">
        <v>9201</v>
      </c>
      <c r="B4744" t="s">
        <v>9202</v>
      </c>
      <c r="C4744" t="s">
        <v>5</v>
      </c>
      <c r="D4744">
        <v>11550</v>
      </c>
    </row>
    <row r="4745" spans="1:4" x14ac:dyDescent="0.4">
      <c r="A4745" s="1" t="s">
        <v>9203</v>
      </c>
      <c r="B4745" t="s">
        <v>9204</v>
      </c>
      <c r="C4745" t="s">
        <v>5</v>
      </c>
      <c r="D4745">
        <v>16800</v>
      </c>
    </row>
    <row r="4746" spans="1:4" x14ac:dyDescent="0.4">
      <c r="A4746" s="1" t="s">
        <v>9205</v>
      </c>
      <c r="B4746" t="s">
        <v>9206</v>
      </c>
      <c r="C4746" t="s">
        <v>5</v>
      </c>
      <c r="D4746">
        <v>7880</v>
      </c>
    </row>
    <row r="4747" spans="1:4" x14ac:dyDescent="0.4">
      <c r="A4747" s="1" t="s">
        <v>9207</v>
      </c>
      <c r="B4747" t="s">
        <v>9208</v>
      </c>
      <c r="C4747" t="s">
        <v>5</v>
      </c>
      <c r="D4747">
        <v>11550</v>
      </c>
    </row>
    <row r="4748" spans="1:4" x14ac:dyDescent="0.4">
      <c r="A4748" s="1" t="s">
        <v>9209</v>
      </c>
      <c r="B4748" t="s">
        <v>9210</v>
      </c>
      <c r="C4748" t="s">
        <v>5</v>
      </c>
      <c r="D4748">
        <v>16800</v>
      </c>
    </row>
    <row r="4749" spans="1:4" x14ac:dyDescent="0.4">
      <c r="A4749" s="1" t="s">
        <v>9211</v>
      </c>
      <c r="B4749" t="s">
        <v>9212</v>
      </c>
      <c r="C4749" t="s">
        <v>5</v>
      </c>
      <c r="D4749">
        <v>7880</v>
      </c>
    </row>
    <row r="4750" spans="1:4" x14ac:dyDescent="0.4">
      <c r="A4750" s="1" t="s">
        <v>9213</v>
      </c>
      <c r="B4750" t="s">
        <v>9214</v>
      </c>
      <c r="C4750" t="s">
        <v>5</v>
      </c>
      <c r="D4750">
        <v>29610</v>
      </c>
    </row>
    <row r="4751" spans="1:4" x14ac:dyDescent="0.4">
      <c r="A4751" s="1" t="s">
        <v>9215</v>
      </c>
      <c r="B4751" t="s">
        <v>9216</v>
      </c>
      <c r="C4751" t="s">
        <v>5</v>
      </c>
      <c r="D4751">
        <v>15960</v>
      </c>
    </row>
    <row r="4752" spans="1:4" x14ac:dyDescent="0.4">
      <c r="A4752" s="1" t="s">
        <v>9217</v>
      </c>
      <c r="B4752" t="s">
        <v>9218</v>
      </c>
      <c r="C4752" t="s">
        <v>5</v>
      </c>
      <c r="D4752">
        <v>35070</v>
      </c>
    </row>
    <row r="4753" spans="1:4" x14ac:dyDescent="0.4">
      <c r="A4753" s="1" t="s">
        <v>9219</v>
      </c>
      <c r="B4753" t="s">
        <v>9220</v>
      </c>
      <c r="C4753" t="s">
        <v>5</v>
      </c>
      <c r="D4753">
        <v>29610</v>
      </c>
    </row>
    <row r="4754" spans="1:4" x14ac:dyDescent="0.4">
      <c r="A4754" s="1" t="s">
        <v>9221</v>
      </c>
      <c r="B4754" t="s">
        <v>9222</v>
      </c>
      <c r="C4754" t="s">
        <v>5</v>
      </c>
      <c r="D4754">
        <v>15960</v>
      </c>
    </row>
    <row r="4755" spans="1:4" x14ac:dyDescent="0.4">
      <c r="A4755" s="1" t="s">
        <v>9223</v>
      </c>
      <c r="B4755" t="s">
        <v>9224</v>
      </c>
      <c r="C4755" t="s">
        <v>5</v>
      </c>
      <c r="D4755">
        <v>29610</v>
      </c>
    </row>
    <row r="4756" spans="1:4" x14ac:dyDescent="0.4">
      <c r="A4756" s="1" t="s">
        <v>9225</v>
      </c>
      <c r="B4756" t="s">
        <v>9226</v>
      </c>
      <c r="C4756" t="s">
        <v>5</v>
      </c>
      <c r="D4756">
        <v>8930</v>
      </c>
    </row>
    <row r="4757" spans="1:4" x14ac:dyDescent="0.4">
      <c r="A4757" s="1" t="s">
        <v>9227</v>
      </c>
      <c r="B4757" t="s">
        <v>9228</v>
      </c>
      <c r="C4757" t="s">
        <v>5</v>
      </c>
      <c r="D4757">
        <v>6500</v>
      </c>
    </row>
    <row r="4758" spans="1:4" x14ac:dyDescent="0.4">
      <c r="A4758" s="1" t="s">
        <v>9229</v>
      </c>
      <c r="B4758" t="s">
        <v>9230</v>
      </c>
      <c r="C4758" t="s">
        <v>5</v>
      </c>
      <c r="D4758">
        <v>9500</v>
      </c>
    </row>
    <row r="4759" spans="1:4" x14ac:dyDescent="0.4">
      <c r="A4759" s="1" t="s">
        <v>9231</v>
      </c>
      <c r="B4759" t="s">
        <v>9232</v>
      </c>
      <c r="C4759" t="s">
        <v>5</v>
      </c>
      <c r="D4759">
        <v>18000</v>
      </c>
    </row>
    <row r="4760" spans="1:4" x14ac:dyDescent="0.4">
      <c r="A4760" s="1" t="s">
        <v>9233</v>
      </c>
      <c r="B4760" t="s">
        <v>9234</v>
      </c>
      <c r="C4760" t="s">
        <v>5</v>
      </c>
      <c r="D4760">
        <v>17640</v>
      </c>
    </row>
    <row r="4761" spans="1:4" x14ac:dyDescent="0.4">
      <c r="A4761" s="1" t="s">
        <v>9235</v>
      </c>
      <c r="B4761" t="s">
        <v>9236</v>
      </c>
      <c r="C4761" t="s">
        <v>5</v>
      </c>
      <c r="D4761">
        <v>11550</v>
      </c>
    </row>
    <row r="4762" spans="1:4" x14ac:dyDescent="0.4">
      <c r="A4762" s="1" t="s">
        <v>9237</v>
      </c>
      <c r="B4762" t="s">
        <v>9238</v>
      </c>
      <c r="C4762" t="s">
        <v>5</v>
      </c>
      <c r="D4762">
        <v>17640</v>
      </c>
    </row>
    <row r="4763" spans="1:4" x14ac:dyDescent="0.4">
      <c r="A4763" s="1" t="s">
        <v>9239</v>
      </c>
      <c r="B4763" t="s">
        <v>9240</v>
      </c>
      <c r="C4763" t="s">
        <v>5</v>
      </c>
      <c r="D4763">
        <v>28980</v>
      </c>
    </row>
    <row r="4764" spans="1:4" x14ac:dyDescent="0.4">
      <c r="A4764" s="1" t="s">
        <v>9241</v>
      </c>
      <c r="B4764" t="s">
        <v>9242</v>
      </c>
      <c r="D4764">
        <v>16000</v>
      </c>
    </row>
    <row r="4765" spans="1:4" x14ac:dyDescent="0.4">
      <c r="A4765" s="1" t="s">
        <v>9243</v>
      </c>
      <c r="B4765" t="s">
        <v>9244</v>
      </c>
      <c r="C4765" t="s">
        <v>5</v>
      </c>
      <c r="D4765">
        <v>36860</v>
      </c>
    </row>
    <row r="4766" spans="1:4" x14ac:dyDescent="0.4">
      <c r="A4766" s="1" t="s">
        <v>9245</v>
      </c>
      <c r="B4766" t="s">
        <v>9246</v>
      </c>
      <c r="C4766" t="s">
        <v>5</v>
      </c>
      <c r="D4766">
        <v>14000</v>
      </c>
    </row>
    <row r="4767" spans="1:4" x14ac:dyDescent="0.4">
      <c r="A4767" s="1" t="s">
        <v>9247</v>
      </c>
      <c r="B4767" t="s">
        <v>9248</v>
      </c>
      <c r="C4767" t="s">
        <v>5</v>
      </c>
      <c r="D4767">
        <v>27000</v>
      </c>
    </row>
    <row r="4768" spans="1:4" x14ac:dyDescent="0.4">
      <c r="A4768" s="1" t="s">
        <v>9249</v>
      </c>
      <c r="B4768" t="s">
        <v>9250</v>
      </c>
      <c r="C4768" t="s">
        <v>5</v>
      </c>
      <c r="D4768">
        <v>13000</v>
      </c>
    </row>
    <row r="4769" spans="1:4" x14ac:dyDescent="0.4">
      <c r="A4769" s="1" t="s">
        <v>9251</v>
      </c>
      <c r="B4769" t="s">
        <v>9252</v>
      </c>
      <c r="C4769" t="s">
        <v>5</v>
      </c>
      <c r="D4769">
        <v>25000</v>
      </c>
    </row>
    <row r="4770" spans="1:4" x14ac:dyDescent="0.4">
      <c r="A4770" s="1" t="s">
        <v>9253</v>
      </c>
      <c r="B4770" t="s">
        <v>9254</v>
      </c>
      <c r="C4770" t="s">
        <v>5</v>
      </c>
      <c r="D4770">
        <v>14000</v>
      </c>
    </row>
    <row r="4771" spans="1:4" x14ac:dyDescent="0.4">
      <c r="A4771" s="1" t="s">
        <v>9255</v>
      </c>
      <c r="B4771" t="s">
        <v>9256</v>
      </c>
      <c r="C4771" t="s">
        <v>5</v>
      </c>
      <c r="D4771">
        <v>27000</v>
      </c>
    </row>
    <row r="4772" spans="1:4" x14ac:dyDescent="0.4">
      <c r="A4772" s="1" t="s">
        <v>9257</v>
      </c>
      <c r="B4772" t="s">
        <v>9258</v>
      </c>
      <c r="C4772" t="s">
        <v>5</v>
      </c>
      <c r="D4772">
        <v>14000</v>
      </c>
    </row>
    <row r="4773" spans="1:4" x14ac:dyDescent="0.4">
      <c r="A4773" s="1" t="s">
        <v>9259</v>
      </c>
      <c r="B4773" t="s">
        <v>9260</v>
      </c>
      <c r="C4773" t="s">
        <v>5</v>
      </c>
      <c r="D4773">
        <v>27000</v>
      </c>
    </row>
    <row r="4774" spans="1:4" x14ac:dyDescent="0.4">
      <c r="A4774" s="1" t="s">
        <v>9261</v>
      </c>
      <c r="B4774" t="s">
        <v>9262</v>
      </c>
      <c r="C4774" t="s">
        <v>5</v>
      </c>
      <c r="D4774">
        <v>19740</v>
      </c>
    </row>
    <row r="4775" spans="1:4" x14ac:dyDescent="0.4">
      <c r="A4775" s="1" t="s">
        <v>9263</v>
      </c>
      <c r="B4775" t="s">
        <v>9264</v>
      </c>
      <c r="C4775" t="s">
        <v>5</v>
      </c>
      <c r="D4775">
        <v>15960</v>
      </c>
    </row>
    <row r="4776" spans="1:4" x14ac:dyDescent="0.4">
      <c r="A4776" s="1" t="s">
        <v>9265</v>
      </c>
      <c r="B4776" t="e">
        <f>-終息-OKI TNR-M4A</f>
        <v>#NAME?</v>
      </c>
      <c r="C4776" t="s">
        <v>5</v>
      </c>
      <c r="D4776">
        <v>6500</v>
      </c>
    </row>
    <row r="4777" spans="1:4" x14ac:dyDescent="0.4">
      <c r="A4777" s="1" t="s">
        <v>9266</v>
      </c>
      <c r="B4777" t="s">
        <v>9267</v>
      </c>
      <c r="C4777" t="s">
        <v>5</v>
      </c>
    </row>
    <row r="4778" spans="1:4" x14ac:dyDescent="0.4">
      <c r="A4778" s="1" t="s">
        <v>9268</v>
      </c>
      <c r="B4778" t="s">
        <v>9269</v>
      </c>
      <c r="C4778" t="s">
        <v>5</v>
      </c>
    </row>
    <row r="4779" spans="1:4" x14ac:dyDescent="0.4">
      <c r="A4779" s="1" t="s">
        <v>9270</v>
      </c>
      <c r="B4779" t="s">
        <v>9271</v>
      </c>
      <c r="C4779" t="s">
        <v>5</v>
      </c>
    </row>
    <row r="4780" spans="1:4" x14ac:dyDescent="0.4">
      <c r="A4780" s="1" t="s">
        <v>9272</v>
      </c>
      <c r="B4780" t="s">
        <v>9273</v>
      </c>
      <c r="C4780" t="s">
        <v>5</v>
      </c>
    </row>
    <row r="4781" spans="1:4" x14ac:dyDescent="0.4">
      <c r="A4781" s="1" t="s">
        <v>9274</v>
      </c>
      <c r="B4781" t="s">
        <v>9275</v>
      </c>
      <c r="C4781" t="s">
        <v>5</v>
      </c>
    </row>
    <row r="4782" spans="1:4" x14ac:dyDescent="0.4">
      <c r="A4782" s="1" t="s">
        <v>9276</v>
      </c>
      <c r="B4782" t="s">
        <v>9277</v>
      </c>
      <c r="C4782" t="s">
        <v>5</v>
      </c>
    </row>
    <row r="4783" spans="1:4" x14ac:dyDescent="0.4">
      <c r="A4783" s="1" t="s">
        <v>9278</v>
      </c>
      <c r="B4783" t="s">
        <v>9279</v>
      </c>
      <c r="C4783" t="s">
        <v>5</v>
      </c>
      <c r="D4783">
        <v>1650</v>
      </c>
    </row>
    <row r="4784" spans="1:4" x14ac:dyDescent="0.4">
      <c r="A4784" s="1" t="s">
        <v>9280</v>
      </c>
      <c r="B4784" t="s">
        <v>9281</v>
      </c>
      <c r="C4784" t="s">
        <v>5</v>
      </c>
      <c r="D4784">
        <v>1650</v>
      </c>
    </row>
    <row r="4785" spans="1:4" x14ac:dyDescent="0.4">
      <c r="A4785" s="1" t="s">
        <v>9282</v>
      </c>
      <c r="B4785" t="s">
        <v>9283</v>
      </c>
      <c r="C4785" t="s">
        <v>5</v>
      </c>
      <c r="D4785">
        <v>3000</v>
      </c>
    </row>
    <row r="4786" spans="1:4" x14ac:dyDescent="0.4">
      <c r="A4786" s="1" t="s">
        <v>9284</v>
      </c>
      <c r="B4786" t="s">
        <v>9285</v>
      </c>
      <c r="D4786">
        <v>50000</v>
      </c>
    </row>
    <row r="4787" spans="1:4" x14ac:dyDescent="0.4">
      <c r="A4787" s="1" t="s">
        <v>9286</v>
      </c>
      <c r="B4787" t="s">
        <v>9287</v>
      </c>
      <c r="C4787" t="s">
        <v>5</v>
      </c>
      <c r="D4787">
        <v>19800</v>
      </c>
    </row>
    <row r="4788" spans="1:4" x14ac:dyDescent="0.4">
      <c r="A4788" s="1" t="s">
        <v>9288</v>
      </c>
      <c r="B4788" t="s">
        <v>9289</v>
      </c>
      <c r="C4788" t="s">
        <v>5</v>
      </c>
      <c r="D4788">
        <v>29500</v>
      </c>
    </row>
    <row r="4789" spans="1:4" x14ac:dyDescent="0.4">
      <c r="A4789" s="1" t="s">
        <v>9290</v>
      </c>
      <c r="B4789" t="s">
        <v>9291</v>
      </c>
      <c r="C4789" t="s">
        <v>5</v>
      </c>
      <c r="D4789">
        <v>21000</v>
      </c>
    </row>
    <row r="4790" spans="1:4" x14ac:dyDescent="0.4">
      <c r="A4790" s="1" t="s">
        <v>9292</v>
      </c>
      <c r="B4790" t="s">
        <v>9293</v>
      </c>
      <c r="C4790" t="s">
        <v>5</v>
      </c>
      <c r="D4790">
        <v>100000</v>
      </c>
    </row>
    <row r="4791" spans="1:4" x14ac:dyDescent="0.4">
      <c r="A4791" s="1" t="s">
        <v>9294</v>
      </c>
      <c r="B4791" t="s">
        <v>9295</v>
      </c>
      <c r="C4791" t="s">
        <v>5</v>
      </c>
      <c r="D4791">
        <v>108000</v>
      </c>
    </row>
    <row r="4792" spans="1:4" x14ac:dyDescent="0.4">
      <c r="A4792" s="1" t="s">
        <v>9296</v>
      </c>
      <c r="B4792" t="s">
        <v>9297</v>
      </c>
      <c r="C4792" t="s">
        <v>5</v>
      </c>
      <c r="D4792">
        <v>100000</v>
      </c>
    </row>
    <row r="4793" spans="1:4" x14ac:dyDescent="0.4">
      <c r="A4793" s="1" t="s">
        <v>9298</v>
      </c>
      <c r="B4793" t="s">
        <v>9299</v>
      </c>
      <c r="C4793" t="s">
        <v>5</v>
      </c>
      <c r="D4793">
        <v>100000</v>
      </c>
    </row>
    <row r="4794" spans="1:4" x14ac:dyDescent="0.4">
      <c r="A4794" s="1" t="s">
        <v>9300</v>
      </c>
      <c r="B4794" t="s">
        <v>9301</v>
      </c>
      <c r="C4794" t="s">
        <v>5</v>
      </c>
      <c r="D4794">
        <v>26000</v>
      </c>
    </row>
    <row r="4795" spans="1:4" x14ac:dyDescent="0.4">
      <c r="A4795" s="1" t="s">
        <v>9302</v>
      </c>
      <c r="B4795" t="s">
        <v>9303</v>
      </c>
      <c r="C4795" t="s">
        <v>5</v>
      </c>
      <c r="D4795">
        <v>48000</v>
      </c>
    </row>
    <row r="4796" spans="1:4" x14ac:dyDescent="0.4">
      <c r="A4796" s="1" t="s">
        <v>9304</v>
      </c>
      <c r="B4796" t="s">
        <v>9305</v>
      </c>
      <c r="C4796" t="s">
        <v>5</v>
      </c>
      <c r="D4796">
        <v>24000</v>
      </c>
    </row>
    <row r="4797" spans="1:4" x14ac:dyDescent="0.4">
      <c r="A4797" s="1" t="s">
        <v>9306</v>
      </c>
      <c r="B4797" t="s">
        <v>9307</v>
      </c>
      <c r="C4797" t="s">
        <v>5</v>
      </c>
      <c r="D4797">
        <v>24300</v>
      </c>
    </row>
    <row r="4798" spans="1:4" x14ac:dyDescent="0.4">
      <c r="A4798" s="1" t="s">
        <v>9308</v>
      </c>
      <c r="B4798" t="s">
        <v>9309</v>
      </c>
      <c r="C4798" t="s">
        <v>5</v>
      </c>
      <c r="D4798">
        <v>30900</v>
      </c>
    </row>
    <row r="4799" spans="1:4" x14ac:dyDescent="0.4">
      <c r="A4799" s="1" t="s">
        <v>9310</v>
      </c>
      <c r="B4799" t="s">
        <v>9311</v>
      </c>
      <c r="C4799" t="s">
        <v>5</v>
      </c>
      <c r="D4799">
        <v>6000</v>
      </c>
    </row>
    <row r="4800" spans="1:4" x14ac:dyDescent="0.4">
      <c r="A4800" s="1" t="s">
        <v>9312</v>
      </c>
      <c r="B4800" t="s">
        <v>9313</v>
      </c>
      <c r="C4800" t="s">
        <v>5</v>
      </c>
      <c r="D4800">
        <v>10500</v>
      </c>
    </row>
    <row r="4801" spans="1:4" x14ac:dyDescent="0.4">
      <c r="A4801" s="1" t="s">
        <v>9314</v>
      </c>
      <c r="B4801" t="s">
        <v>9315</v>
      </c>
      <c r="C4801" t="s">
        <v>5</v>
      </c>
      <c r="D4801">
        <v>84800</v>
      </c>
    </row>
    <row r="4802" spans="1:4" x14ac:dyDescent="0.4">
      <c r="A4802" s="1" t="s">
        <v>9316</v>
      </c>
      <c r="B4802" t="s">
        <v>9317</v>
      </c>
      <c r="C4802" t="s">
        <v>5</v>
      </c>
      <c r="D4802">
        <v>60800</v>
      </c>
    </row>
    <row r="4803" spans="1:4" x14ac:dyDescent="0.4">
      <c r="A4803" s="1" t="s">
        <v>9318</v>
      </c>
      <c r="B4803" t="s">
        <v>9319</v>
      </c>
      <c r="C4803" t="s">
        <v>5</v>
      </c>
      <c r="D4803">
        <v>60800</v>
      </c>
    </row>
    <row r="4804" spans="1:4" x14ac:dyDescent="0.4">
      <c r="A4804" s="1" t="s">
        <v>9320</v>
      </c>
      <c r="B4804" t="s">
        <v>9321</v>
      </c>
      <c r="C4804" t="s">
        <v>5</v>
      </c>
      <c r="D4804">
        <v>56800</v>
      </c>
    </row>
    <row r="4805" spans="1:4" x14ac:dyDescent="0.4">
      <c r="A4805" s="1" t="s">
        <v>9322</v>
      </c>
      <c r="B4805" t="s">
        <v>9323</v>
      </c>
      <c r="C4805" t="s">
        <v>5</v>
      </c>
      <c r="D4805">
        <v>50880</v>
      </c>
    </row>
    <row r="4806" spans="1:4" x14ac:dyDescent="0.4">
      <c r="A4806" s="1" t="s">
        <v>9324</v>
      </c>
      <c r="B4806" t="s">
        <v>9325</v>
      </c>
      <c r="C4806" t="s">
        <v>5</v>
      </c>
      <c r="D4806">
        <v>60800</v>
      </c>
    </row>
    <row r="4807" spans="1:4" x14ac:dyDescent="0.4">
      <c r="A4807" s="1" t="s">
        <v>9326</v>
      </c>
      <c r="B4807" t="s">
        <v>9327</v>
      </c>
      <c r="C4807" t="s">
        <v>5</v>
      </c>
      <c r="D4807">
        <v>45080</v>
      </c>
    </row>
    <row r="4808" spans="1:4" x14ac:dyDescent="0.4">
      <c r="A4808" s="1" t="s">
        <v>9328</v>
      </c>
      <c r="B4808" t="s">
        <v>9329</v>
      </c>
      <c r="C4808" t="s">
        <v>5</v>
      </c>
      <c r="D4808">
        <v>60800</v>
      </c>
    </row>
    <row r="4809" spans="1:4" x14ac:dyDescent="0.4">
      <c r="A4809" s="1" t="s">
        <v>9330</v>
      </c>
      <c r="B4809" t="s">
        <v>9331</v>
      </c>
      <c r="C4809" t="s">
        <v>5</v>
      </c>
      <c r="D4809">
        <v>56280</v>
      </c>
    </row>
    <row r="4810" spans="1:4" x14ac:dyDescent="0.4">
      <c r="A4810" s="1" t="s">
        <v>9332</v>
      </c>
      <c r="B4810" t="s">
        <v>9333</v>
      </c>
      <c r="C4810" t="s">
        <v>5</v>
      </c>
      <c r="D4810">
        <v>37820</v>
      </c>
    </row>
    <row r="4811" spans="1:4" x14ac:dyDescent="0.4">
      <c r="A4811" s="1" t="s">
        <v>9334</v>
      </c>
      <c r="B4811" t="s">
        <v>9335</v>
      </c>
      <c r="C4811" t="s">
        <v>5</v>
      </c>
      <c r="D4811">
        <v>59100</v>
      </c>
    </row>
    <row r="4812" spans="1:4" x14ac:dyDescent="0.4">
      <c r="A4812" s="1" t="s">
        <v>9336</v>
      </c>
      <c r="B4812" t="s">
        <v>9337</v>
      </c>
      <c r="C4812" t="s">
        <v>5</v>
      </c>
      <c r="D4812">
        <v>33300</v>
      </c>
    </row>
    <row r="4813" spans="1:4" x14ac:dyDescent="0.4">
      <c r="A4813" s="1" t="s">
        <v>9338</v>
      </c>
      <c r="B4813" t="e">
        <f>-終息-CASIO 廃ﾄﾅｰﾎﾞﾄﾙ #REF!-HTB</f>
        <v>#NAME?</v>
      </c>
      <c r="C4813" t="s">
        <v>5</v>
      </c>
      <c r="D4813">
        <v>3000</v>
      </c>
    </row>
    <row r="4814" spans="1:4" x14ac:dyDescent="0.4">
      <c r="A4814" s="1" t="s">
        <v>9339</v>
      </c>
      <c r="B4814" t="e">
        <f>-終息-CASIO 回収協力ﾄﾅｰ/ﾄﾞﾗﾑ #REF!-TDSC-G ｼｱﾝ</f>
        <v>#NAME?</v>
      </c>
      <c r="C4814" t="s">
        <v>5</v>
      </c>
      <c r="D4814">
        <v>14500</v>
      </c>
    </row>
    <row r="4815" spans="1:4" x14ac:dyDescent="0.4">
      <c r="A4815" s="1" t="s">
        <v>9340</v>
      </c>
      <c r="B4815" t="e">
        <f>-終息-CASIO ﾄﾅｰ/ﾄﾞﾗﾑ #REF!-TDSC-N ｼｱﾝ</f>
        <v>#NAME?</v>
      </c>
      <c r="C4815" t="s">
        <v>5</v>
      </c>
      <c r="D4815">
        <v>16000</v>
      </c>
    </row>
    <row r="4816" spans="1:4" x14ac:dyDescent="0.4">
      <c r="A4816" s="1" t="s">
        <v>9341</v>
      </c>
      <c r="B4816" t="e">
        <f>-終息-CASIO 回収協力ﾄﾅｰ/ﾄﾞﾗﾑ #REF!-TDSK-G ﾌﾞﾗｯｸ</f>
        <v>#NAME?</v>
      </c>
      <c r="C4816" t="s">
        <v>5</v>
      </c>
      <c r="D4816">
        <v>13800</v>
      </c>
    </row>
    <row r="4817" spans="1:4" x14ac:dyDescent="0.4">
      <c r="A4817" s="1" t="s">
        <v>9342</v>
      </c>
      <c r="B4817" t="e">
        <f>-終息-CASIO ﾄﾅｰ/ﾄﾞﾗﾑ #REF!-TDSK-N ﾌﾞﾗｯｸ</f>
        <v>#NAME?</v>
      </c>
      <c r="C4817" t="s">
        <v>5</v>
      </c>
      <c r="D4817">
        <v>15300</v>
      </c>
    </row>
    <row r="4818" spans="1:4" x14ac:dyDescent="0.4">
      <c r="A4818" s="1" t="s">
        <v>9343</v>
      </c>
      <c r="B4818" t="e">
        <f>-終息-CASIO 回収協力ﾄﾅｰ/ﾄﾞﾗﾑ #REF!-TDSM-G ﾏｾﾞﾝﾀ</f>
        <v>#NAME?</v>
      </c>
      <c r="C4818" t="s">
        <v>5</v>
      </c>
      <c r="D4818">
        <v>14500</v>
      </c>
    </row>
    <row r="4819" spans="1:4" x14ac:dyDescent="0.4">
      <c r="A4819" s="1" t="s">
        <v>9344</v>
      </c>
      <c r="B4819" t="e">
        <f>-終息-CASIO ﾄﾅｰ/ﾄﾞﾗﾑ #REF!-TDSM-N ﾏｾﾞﾝﾀ</f>
        <v>#NAME?</v>
      </c>
      <c r="C4819" t="s">
        <v>5</v>
      </c>
      <c r="D4819">
        <v>16000</v>
      </c>
    </row>
    <row r="4820" spans="1:4" x14ac:dyDescent="0.4">
      <c r="A4820" s="1" t="s">
        <v>9345</v>
      </c>
      <c r="B4820" t="e">
        <f>-終息-CASIO 回収協力ﾄﾅｰ/ﾄﾞﾗﾑ #REF!-TDSY-G ｲｴﾛｰ</f>
        <v>#NAME?</v>
      </c>
      <c r="C4820" t="s">
        <v>5</v>
      </c>
      <c r="D4820">
        <v>14500</v>
      </c>
    </row>
    <row r="4821" spans="1:4" x14ac:dyDescent="0.4">
      <c r="A4821" s="1" t="s">
        <v>9346</v>
      </c>
      <c r="B4821" t="e">
        <f>-終息-CASIO ﾄﾅｰ/ﾄﾞﾗﾑ #REF!-TDSY-N ｲｴﾛｰ</f>
        <v>#NAME?</v>
      </c>
      <c r="C4821" t="s">
        <v>5</v>
      </c>
      <c r="D4821">
        <v>16000</v>
      </c>
    </row>
    <row r="4822" spans="1:4" x14ac:dyDescent="0.4">
      <c r="A4822" s="1" t="s">
        <v>9347</v>
      </c>
      <c r="B4822" t="s">
        <v>9348</v>
      </c>
      <c r="C4822" t="s">
        <v>5</v>
      </c>
      <c r="D4822">
        <v>4000</v>
      </c>
    </row>
    <row r="4823" spans="1:4" x14ac:dyDescent="0.4">
      <c r="A4823" s="1" t="s">
        <v>9349</v>
      </c>
      <c r="B4823" t="s">
        <v>9350</v>
      </c>
      <c r="C4823" t="s">
        <v>5</v>
      </c>
      <c r="D4823">
        <v>1300</v>
      </c>
    </row>
    <row r="4824" spans="1:4" x14ac:dyDescent="0.4">
      <c r="A4824" s="1" t="s">
        <v>9351</v>
      </c>
      <c r="B4824" t="s">
        <v>9352</v>
      </c>
      <c r="C4824" t="s">
        <v>5</v>
      </c>
      <c r="D4824">
        <v>4000</v>
      </c>
    </row>
    <row r="4825" spans="1:4" x14ac:dyDescent="0.4">
      <c r="A4825" s="1" t="s">
        <v>9353</v>
      </c>
      <c r="B4825" t="s">
        <v>9354</v>
      </c>
      <c r="C4825" t="s">
        <v>5</v>
      </c>
      <c r="D4825">
        <v>5000</v>
      </c>
    </row>
    <row r="4826" spans="1:4" x14ac:dyDescent="0.4">
      <c r="A4826" s="1" t="s">
        <v>9355</v>
      </c>
      <c r="B4826" t="s">
        <v>9356</v>
      </c>
      <c r="C4826" t="s">
        <v>5</v>
      </c>
      <c r="D4826">
        <v>5500</v>
      </c>
    </row>
    <row r="4827" spans="1:4" x14ac:dyDescent="0.4">
      <c r="A4827" s="1" t="s">
        <v>9357</v>
      </c>
      <c r="B4827" t="s">
        <v>9358</v>
      </c>
      <c r="C4827" t="s">
        <v>5</v>
      </c>
      <c r="D4827">
        <v>3000</v>
      </c>
    </row>
    <row r="4828" spans="1:4" x14ac:dyDescent="0.4">
      <c r="A4828" s="1" t="s">
        <v>9359</v>
      </c>
      <c r="B4828" t="s">
        <v>9360</v>
      </c>
      <c r="C4828" t="s">
        <v>5</v>
      </c>
      <c r="D4828">
        <v>2200</v>
      </c>
    </row>
    <row r="4829" spans="1:4" x14ac:dyDescent="0.4">
      <c r="A4829" s="1" t="s">
        <v>9361</v>
      </c>
      <c r="B4829" t="s">
        <v>9362</v>
      </c>
      <c r="C4829" t="s">
        <v>9363</v>
      </c>
      <c r="D4829">
        <v>2400</v>
      </c>
    </row>
    <row r="4830" spans="1:4" x14ac:dyDescent="0.4">
      <c r="A4830" s="1" t="s">
        <v>9364</v>
      </c>
      <c r="B4830" t="s">
        <v>9365</v>
      </c>
      <c r="C4830" t="s">
        <v>9366</v>
      </c>
      <c r="D4830">
        <v>1600</v>
      </c>
    </row>
    <row r="4831" spans="1:4" x14ac:dyDescent="0.4">
      <c r="A4831" s="1" t="s">
        <v>9367</v>
      </c>
      <c r="B4831" t="s">
        <v>9368</v>
      </c>
      <c r="C4831" t="s">
        <v>5</v>
      </c>
      <c r="D4831">
        <v>4980</v>
      </c>
    </row>
    <row r="4832" spans="1:4" x14ac:dyDescent="0.4">
      <c r="A4832" s="1" t="s">
        <v>9369</v>
      </c>
      <c r="B4832" t="s">
        <v>9370</v>
      </c>
      <c r="C4832" t="s">
        <v>5</v>
      </c>
      <c r="D4832">
        <v>15100</v>
      </c>
    </row>
    <row r="4833" spans="1:4" x14ac:dyDescent="0.4">
      <c r="A4833" s="1" t="s">
        <v>9371</v>
      </c>
      <c r="B4833" t="s">
        <v>9372</v>
      </c>
      <c r="C4833" t="s">
        <v>5</v>
      </c>
      <c r="D4833">
        <v>84791</v>
      </c>
    </row>
    <row r="4834" spans="1:4" x14ac:dyDescent="0.4">
      <c r="A4834" s="1" t="s">
        <v>9373</v>
      </c>
      <c r="B4834" t="s">
        <v>9374</v>
      </c>
      <c r="C4834" t="s">
        <v>5</v>
      </c>
      <c r="D4834">
        <v>47845</v>
      </c>
    </row>
    <row r="4835" spans="1:4" x14ac:dyDescent="0.4">
      <c r="A4835" s="1" t="s">
        <v>9375</v>
      </c>
      <c r="B4835" t="s">
        <v>9376</v>
      </c>
      <c r="C4835" t="s">
        <v>5</v>
      </c>
      <c r="D4835">
        <v>53636</v>
      </c>
    </row>
    <row r="4836" spans="1:4" x14ac:dyDescent="0.4">
      <c r="A4836" s="1" t="s">
        <v>9377</v>
      </c>
      <c r="B4836" t="s">
        <v>9378</v>
      </c>
      <c r="C4836" t="s">
        <v>5</v>
      </c>
      <c r="D4836">
        <v>122418</v>
      </c>
    </row>
    <row r="4837" spans="1:4" x14ac:dyDescent="0.4">
      <c r="A4837" s="1" t="s">
        <v>9379</v>
      </c>
      <c r="B4837" t="s">
        <v>9380</v>
      </c>
      <c r="C4837" t="s">
        <v>5</v>
      </c>
      <c r="D4837">
        <v>122418</v>
      </c>
    </row>
    <row r="4838" spans="1:4" x14ac:dyDescent="0.4">
      <c r="A4838" s="1" t="s">
        <v>9381</v>
      </c>
      <c r="B4838" t="s">
        <v>9382</v>
      </c>
      <c r="C4838" t="s">
        <v>5</v>
      </c>
      <c r="D4838">
        <v>122418</v>
      </c>
    </row>
    <row r="4839" spans="1:4" x14ac:dyDescent="0.4">
      <c r="A4839" s="1" t="s">
        <v>9383</v>
      </c>
      <c r="B4839" t="s">
        <v>9384</v>
      </c>
      <c r="C4839" t="s">
        <v>5</v>
      </c>
      <c r="D4839">
        <v>51727</v>
      </c>
    </row>
    <row r="4840" spans="1:4" x14ac:dyDescent="0.4">
      <c r="A4840" s="1" t="s">
        <v>9385</v>
      </c>
      <c r="B4840" t="s">
        <v>9386</v>
      </c>
      <c r="C4840" t="s">
        <v>5</v>
      </c>
      <c r="D4840">
        <v>73027</v>
      </c>
    </row>
    <row r="4841" spans="1:4" x14ac:dyDescent="0.4">
      <c r="A4841" s="1" t="s">
        <v>9387</v>
      </c>
      <c r="B4841" t="s">
        <v>9388</v>
      </c>
      <c r="C4841" t="s">
        <v>5</v>
      </c>
      <c r="D4841">
        <v>73027</v>
      </c>
    </row>
    <row r="4842" spans="1:4" x14ac:dyDescent="0.4">
      <c r="A4842" s="1" t="s">
        <v>9389</v>
      </c>
      <c r="B4842" t="s">
        <v>9390</v>
      </c>
      <c r="C4842" t="s">
        <v>5</v>
      </c>
      <c r="D4842">
        <v>73027</v>
      </c>
    </row>
    <row r="4843" spans="1:4" x14ac:dyDescent="0.4">
      <c r="A4843" s="1" t="s">
        <v>9391</v>
      </c>
      <c r="B4843" t="s">
        <v>9392</v>
      </c>
      <c r="C4843" t="s">
        <v>9393</v>
      </c>
    </row>
    <row r="4844" spans="1:4" x14ac:dyDescent="0.4">
      <c r="A4844" s="1" t="s">
        <v>9394</v>
      </c>
      <c r="B4844" t="s">
        <v>9395</v>
      </c>
      <c r="C4844" t="s">
        <v>5</v>
      </c>
      <c r="D4844">
        <v>2800</v>
      </c>
    </row>
    <row r="4845" spans="1:4" x14ac:dyDescent="0.4">
      <c r="A4845" s="1" t="s">
        <v>9396</v>
      </c>
      <c r="B4845" t="s">
        <v>9397</v>
      </c>
      <c r="C4845" t="s">
        <v>5</v>
      </c>
      <c r="D4845">
        <v>7980</v>
      </c>
    </row>
    <row r="4846" spans="1:4" x14ac:dyDescent="0.4">
      <c r="A4846" s="1" t="s">
        <v>9398</v>
      </c>
      <c r="B4846" t="s">
        <v>9399</v>
      </c>
      <c r="C4846" t="s">
        <v>5</v>
      </c>
    </row>
    <row r="4847" spans="1:4" x14ac:dyDescent="0.4">
      <c r="A4847" s="1" t="s">
        <v>9400</v>
      </c>
      <c r="B4847" t="s">
        <v>9401</v>
      </c>
      <c r="C4847" t="s">
        <v>5</v>
      </c>
      <c r="D4847">
        <v>2800</v>
      </c>
    </row>
    <row r="4848" spans="1:4" x14ac:dyDescent="0.4">
      <c r="A4848" s="1" t="s">
        <v>9402</v>
      </c>
      <c r="B4848" t="s">
        <v>9403</v>
      </c>
      <c r="C4848" t="s">
        <v>5</v>
      </c>
      <c r="D4848">
        <v>2800</v>
      </c>
    </row>
    <row r="4849" spans="1:4" x14ac:dyDescent="0.4">
      <c r="A4849" s="1" t="s">
        <v>9404</v>
      </c>
      <c r="B4849" t="s">
        <v>9405</v>
      </c>
      <c r="C4849" t="s">
        <v>5</v>
      </c>
      <c r="D4849">
        <v>2800</v>
      </c>
    </row>
    <row r="4850" spans="1:4" x14ac:dyDescent="0.4">
      <c r="A4850" s="1" t="s">
        <v>9406</v>
      </c>
      <c r="B4850" t="s">
        <v>9407</v>
      </c>
      <c r="C4850" t="s">
        <v>5</v>
      </c>
    </row>
    <row r="4851" spans="1:4" x14ac:dyDescent="0.4">
      <c r="A4851" s="1" t="s">
        <v>9408</v>
      </c>
      <c r="B4851" t="s">
        <v>9409</v>
      </c>
      <c r="C4851" t="s">
        <v>5</v>
      </c>
      <c r="D4851">
        <v>2800</v>
      </c>
    </row>
    <row r="4852" spans="1:4" x14ac:dyDescent="0.4">
      <c r="A4852" s="1" t="s">
        <v>9410</v>
      </c>
      <c r="B4852" t="s">
        <v>9411</v>
      </c>
      <c r="C4852" t="s">
        <v>5</v>
      </c>
    </row>
    <row r="4853" spans="1:4" x14ac:dyDescent="0.4">
      <c r="A4853" s="1" t="s">
        <v>9412</v>
      </c>
      <c r="B4853" t="s">
        <v>9413</v>
      </c>
      <c r="C4853" t="s">
        <v>5</v>
      </c>
      <c r="D4853">
        <v>5080</v>
      </c>
    </row>
    <row r="4854" spans="1:4" x14ac:dyDescent="0.4">
      <c r="A4854" s="1" t="s">
        <v>9414</v>
      </c>
      <c r="B4854" t="s">
        <v>9415</v>
      </c>
      <c r="C4854" t="s">
        <v>5</v>
      </c>
      <c r="D4854">
        <v>1300</v>
      </c>
    </row>
    <row r="4855" spans="1:4" x14ac:dyDescent="0.4">
      <c r="A4855" s="1" t="s">
        <v>9416</v>
      </c>
      <c r="B4855" t="s">
        <v>9417</v>
      </c>
      <c r="C4855" t="s">
        <v>5</v>
      </c>
      <c r="D4855">
        <v>3200</v>
      </c>
    </row>
    <row r="4856" spans="1:4" x14ac:dyDescent="0.4">
      <c r="A4856" s="1" t="s">
        <v>9418</v>
      </c>
      <c r="B4856" t="s">
        <v>9419</v>
      </c>
      <c r="C4856" t="s">
        <v>5</v>
      </c>
    </row>
    <row r="4857" spans="1:4" x14ac:dyDescent="0.4">
      <c r="A4857" s="1" t="s">
        <v>9420</v>
      </c>
      <c r="B4857" t="s">
        <v>9421</v>
      </c>
      <c r="C4857" t="s">
        <v>5</v>
      </c>
      <c r="D4857">
        <v>2000</v>
      </c>
    </row>
    <row r="4858" spans="1:4" x14ac:dyDescent="0.4">
      <c r="A4858" s="1" t="s">
        <v>9422</v>
      </c>
      <c r="B4858" t="s">
        <v>9423</v>
      </c>
      <c r="C4858" t="s">
        <v>5</v>
      </c>
      <c r="D4858">
        <v>2000</v>
      </c>
    </row>
    <row r="4859" spans="1:4" x14ac:dyDescent="0.4">
      <c r="A4859" s="1" t="s">
        <v>9424</v>
      </c>
      <c r="B4859" t="s">
        <v>9425</v>
      </c>
      <c r="C4859" t="s">
        <v>5</v>
      </c>
      <c r="D4859">
        <v>850</v>
      </c>
    </row>
    <row r="4860" spans="1:4" x14ac:dyDescent="0.4">
      <c r="A4860" s="1" t="s">
        <v>9426</v>
      </c>
      <c r="B4860" t="s">
        <v>9427</v>
      </c>
      <c r="C4860" t="s">
        <v>5</v>
      </c>
      <c r="D4860">
        <v>2380</v>
      </c>
    </row>
    <row r="4861" spans="1:4" x14ac:dyDescent="0.4">
      <c r="A4861" s="1" t="s">
        <v>9428</v>
      </c>
      <c r="B4861" t="s">
        <v>9429</v>
      </c>
      <c r="C4861" t="s">
        <v>5</v>
      </c>
      <c r="D4861">
        <v>3480</v>
      </c>
    </row>
    <row r="4862" spans="1:4" x14ac:dyDescent="0.4">
      <c r="A4862" s="1" t="s">
        <v>9430</v>
      </c>
      <c r="B4862" t="s">
        <v>9431</v>
      </c>
      <c r="C4862" t="s">
        <v>5</v>
      </c>
      <c r="D4862">
        <v>4080</v>
      </c>
    </row>
    <row r="4863" spans="1:4" x14ac:dyDescent="0.4">
      <c r="A4863" s="1" t="s">
        <v>9432</v>
      </c>
      <c r="B4863" t="s">
        <v>9433</v>
      </c>
      <c r="C4863" t="s">
        <v>5</v>
      </c>
      <c r="D4863">
        <v>3580</v>
      </c>
    </row>
    <row r="4864" spans="1:4" x14ac:dyDescent="0.4">
      <c r="A4864" s="1" t="s">
        <v>9434</v>
      </c>
      <c r="B4864" t="s">
        <v>9435</v>
      </c>
      <c r="C4864" t="s">
        <v>5</v>
      </c>
      <c r="D4864">
        <v>2500</v>
      </c>
    </row>
    <row r="4865" spans="1:4" x14ac:dyDescent="0.4">
      <c r="A4865" s="1" t="s">
        <v>9436</v>
      </c>
      <c r="B4865" t="s">
        <v>9437</v>
      </c>
      <c r="C4865" t="s">
        <v>5</v>
      </c>
      <c r="D4865">
        <v>2500</v>
      </c>
    </row>
    <row r="4866" spans="1:4" x14ac:dyDescent="0.4">
      <c r="A4866" s="1" t="s">
        <v>9438</v>
      </c>
      <c r="B4866" t="s">
        <v>9439</v>
      </c>
      <c r="C4866" t="s">
        <v>5</v>
      </c>
      <c r="D4866">
        <v>3480</v>
      </c>
    </row>
    <row r="4867" spans="1:4" x14ac:dyDescent="0.4">
      <c r="A4867" s="1" t="s">
        <v>9440</v>
      </c>
      <c r="B4867" t="s">
        <v>9441</v>
      </c>
      <c r="C4867" t="s">
        <v>5</v>
      </c>
      <c r="D4867">
        <v>4000</v>
      </c>
    </row>
    <row r="4868" spans="1:4" x14ac:dyDescent="0.4">
      <c r="A4868" s="1" t="s">
        <v>9442</v>
      </c>
      <c r="B4868" t="s">
        <v>9443</v>
      </c>
      <c r="C4868" t="s">
        <v>5</v>
      </c>
    </row>
    <row r="4869" spans="1:4" x14ac:dyDescent="0.4">
      <c r="A4869" s="1" t="s">
        <v>9444</v>
      </c>
      <c r="B4869" t="s">
        <v>9445</v>
      </c>
      <c r="C4869" t="s">
        <v>5</v>
      </c>
    </row>
    <row r="4870" spans="1:4" x14ac:dyDescent="0.4">
      <c r="A4870" s="1" t="s">
        <v>9446</v>
      </c>
      <c r="B4870" t="s">
        <v>9447</v>
      </c>
      <c r="C4870" t="s">
        <v>5</v>
      </c>
    </row>
    <row r="4871" spans="1:4" x14ac:dyDescent="0.4">
      <c r="A4871" s="1" t="s">
        <v>9448</v>
      </c>
      <c r="B4871" t="s">
        <v>9449</v>
      </c>
      <c r="C4871" t="s">
        <v>5</v>
      </c>
    </row>
    <row r="4872" spans="1:4" x14ac:dyDescent="0.4">
      <c r="A4872" s="1" t="s">
        <v>9450</v>
      </c>
      <c r="B4872" t="s">
        <v>9451</v>
      </c>
      <c r="C4872" t="s">
        <v>5</v>
      </c>
    </row>
    <row r="4873" spans="1:4" x14ac:dyDescent="0.4">
      <c r="A4873" s="1" t="s">
        <v>9452</v>
      </c>
      <c r="B4873" t="s">
        <v>9453</v>
      </c>
      <c r="C4873" t="s">
        <v>5</v>
      </c>
    </row>
    <row r="4874" spans="1:4" x14ac:dyDescent="0.4">
      <c r="A4874" s="1" t="s">
        <v>9454</v>
      </c>
      <c r="B4874" t="s">
        <v>9455</v>
      </c>
      <c r="C4874" t="s">
        <v>5</v>
      </c>
    </row>
    <row r="4875" spans="1:4" x14ac:dyDescent="0.4">
      <c r="A4875" s="1" t="s">
        <v>9456</v>
      </c>
      <c r="B4875" t="s">
        <v>9457</v>
      </c>
      <c r="C4875" t="s">
        <v>5</v>
      </c>
    </row>
    <row r="4876" spans="1:4" x14ac:dyDescent="0.4">
      <c r="A4876" s="1" t="s">
        <v>9458</v>
      </c>
      <c r="B4876" t="s">
        <v>9459</v>
      </c>
      <c r="C4876" t="s">
        <v>5</v>
      </c>
    </row>
    <row r="4877" spans="1:4" x14ac:dyDescent="0.4">
      <c r="A4877" s="1" t="s">
        <v>9460</v>
      </c>
      <c r="B4877" t="s">
        <v>9461</v>
      </c>
      <c r="C4877" t="s">
        <v>5</v>
      </c>
    </row>
    <row r="4878" spans="1:4" x14ac:dyDescent="0.4">
      <c r="A4878" s="1" t="s">
        <v>9462</v>
      </c>
      <c r="B4878" t="s">
        <v>9463</v>
      </c>
      <c r="C4878" t="s">
        <v>5</v>
      </c>
    </row>
    <row r="4879" spans="1:4" x14ac:dyDescent="0.4">
      <c r="A4879" s="1" t="s">
        <v>9464</v>
      </c>
      <c r="B4879" t="s">
        <v>9465</v>
      </c>
      <c r="C4879" t="s">
        <v>5</v>
      </c>
    </row>
    <row r="4880" spans="1:4" x14ac:dyDescent="0.4">
      <c r="A4880" s="1" t="s">
        <v>9466</v>
      </c>
      <c r="B4880" t="s">
        <v>9467</v>
      </c>
      <c r="C4880" t="s">
        <v>5</v>
      </c>
    </row>
    <row r="4881" spans="1:4" x14ac:dyDescent="0.4">
      <c r="A4881" s="1" t="s">
        <v>9468</v>
      </c>
      <c r="B4881" t="s">
        <v>9469</v>
      </c>
      <c r="C4881" t="s">
        <v>5</v>
      </c>
    </row>
    <row r="4882" spans="1:4" x14ac:dyDescent="0.4">
      <c r="A4882" s="1" t="s">
        <v>9470</v>
      </c>
      <c r="B4882" t="s">
        <v>9471</v>
      </c>
      <c r="C4882" t="s">
        <v>5</v>
      </c>
    </row>
    <row r="4883" spans="1:4" x14ac:dyDescent="0.4">
      <c r="A4883" s="1" t="s">
        <v>9472</v>
      </c>
      <c r="B4883" t="s">
        <v>9473</v>
      </c>
      <c r="C4883" t="s">
        <v>5</v>
      </c>
    </row>
    <row r="4884" spans="1:4" x14ac:dyDescent="0.4">
      <c r="A4884" s="1" t="s">
        <v>9474</v>
      </c>
      <c r="B4884" t="s">
        <v>9475</v>
      </c>
      <c r="C4884" t="s">
        <v>5</v>
      </c>
    </row>
    <row r="4885" spans="1:4" x14ac:dyDescent="0.4">
      <c r="A4885" s="1" t="s">
        <v>9476</v>
      </c>
      <c r="B4885" t="s">
        <v>9477</v>
      </c>
    </row>
    <row r="4886" spans="1:4" x14ac:dyDescent="0.4">
      <c r="A4886" s="1" t="s">
        <v>9478</v>
      </c>
      <c r="B4886" t="s">
        <v>9479</v>
      </c>
    </row>
    <row r="4887" spans="1:4" x14ac:dyDescent="0.4">
      <c r="A4887" s="1" t="s">
        <v>9480</v>
      </c>
      <c r="B4887" t="s">
        <v>9481</v>
      </c>
    </row>
    <row r="4888" spans="1:4" x14ac:dyDescent="0.4">
      <c r="A4888" s="1" t="s">
        <v>9482</v>
      </c>
      <c r="B4888" t="s">
        <v>9483</v>
      </c>
    </row>
    <row r="4889" spans="1:4" x14ac:dyDescent="0.4">
      <c r="A4889" s="1" t="s">
        <v>9484</v>
      </c>
      <c r="B4889" t="s">
        <v>9485</v>
      </c>
    </row>
    <row r="4890" spans="1:4" x14ac:dyDescent="0.4">
      <c r="A4890" s="1" t="s">
        <v>9486</v>
      </c>
      <c r="B4890" t="s">
        <v>9487</v>
      </c>
    </row>
    <row r="4891" spans="1:4" x14ac:dyDescent="0.4">
      <c r="A4891" s="1" t="s">
        <v>9488</v>
      </c>
      <c r="B4891" t="s">
        <v>9489</v>
      </c>
    </row>
    <row r="4892" spans="1:4" x14ac:dyDescent="0.4">
      <c r="A4892" s="1" t="s">
        <v>9490</v>
      </c>
      <c r="B4892" t="s">
        <v>9491</v>
      </c>
      <c r="D4892">
        <v>74800</v>
      </c>
    </row>
    <row r="4893" spans="1:4" x14ac:dyDescent="0.4">
      <c r="A4893" s="1" t="s">
        <v>9492</v>
      </c>
      <c r="B4893" t="s">
        <v>9493</v>
      </c>
      <c r="D4893">
        <v>89800</v>
      </c>
    </row>
    <row r="4894" spans="1:4" x14ac:dyDescent="0.4">
      <c r="A4894" s="1" t="s">
        <v>9494</v>
      </c>
      <c r="B4894" t="s">
        <v>9495</v>
      </c>
      <c r="D4894">
        <v>148000</v>
      </c>
    </row>
    <row r="4895" spans="1:4" x14ac:dyDescent="0.4">
      <c r="A4895" s="1" t="s">
        <v>9496</v>
      </c>
      <c r="B4895" t="s">
        <v>9497</v>
      </c>
      <c r="D4895">
        <v>208000</v>
      </c>
    </row>
    <row r="4896" spans="1:4" x14ac:dyDescent="0.4">
      <c r="A4896" s="1" t="s">
        <v>9498</v>
      </c>
      <c r="B4896" t="s">
        <v>9499</v>
      </c>
    </row>
    <row r="4897" spans="1:4" x14ac:dyDescent="0.4">
      <c r="A4897" s="1" t="s">
        <v>9500</v>
      </c>
      <c r="B4897" t="s">
        <v>9501</v>
      </c>
    </row>
    <row r="4898" spans="1:4" x14ac:dyDescent="0.4">
      <c r="A4898" s="1" t="s">
        <v>9502</v>
      </c>
      <c r="B4898" t="s">
        <v>9503</v>
      </c>
      <c r="D4898">
        <v>128000</v>
      </c>
    </row>
    <row r="4899" spans="1:4" x14ac:dyDescent="0.4">
      <c r="A4899" s="1" t="s">
        <v>9504</v>
      </c>
      <c r="B4899" t="s">
        <v>9505</v>
      </c>
    </row>
    <row r="4900" spans="1:4" x14ac:dyDescent="0.4">
      <c r="A4900" s="1" t="s">
        <v>9506</v>
      </c>
      <c r="B4900" t="s">
        <v>9507</v>
      </c>
      <c r="D4900">
        <v>158000</v>
      </c>
    </row>
    <row r="4901" spans="1:4" x14ac:dyDescent="0.4">
      <c r="A4901" s="1" t="s">
        <v>9508</v>
      </c>
      <c r="B4901" t="s">
        <v>9509</v>
      </c>
      <c r="D4901">
        <v>178000</v>
      </c>
    </row>
    <row r="4902" spans="1:4" x14ac:dyDescent="0.4">
      <c r="A4902" s="1" t="s">
        <v>9510</v>
      </c>
      <c r="B4902" t="s">
        <v>9511</v>
      </c>
      <c r="D4902">
        <v>349800</v>
      </c>
    </row>
    <row r="4903" spans="1:4" x14ac:dyDescent="0.4">
      <c r="A4903" s="1" t="s">
        <v>9512</v>
      </c>
      <c r="B4903" t="s">
        <v>9513</v>
      </c>
      <c r="D4903">
        <v>398000</v>
      </c>
    </row>
    <row r="4904" spans="1:4" x14ac:dyDescent="0.4">
      <c r="A4904" s="1" t="s">
        <v>9514</v>
      </c>
      <c r="B4904" t="s">
        <v>9515</v>
      </c>
    </row>
    <row r="4905" spans="1:4" x14ac:dyDescent="0.4">
      <c r="A4905" s="1" t="s">
        <v>9516</v>
      </c>
      <c r="B4905" t="s">
        <v>9517</v>
      </c>
    </row>
    <row r="4906" spans="1:4" x14ac:dyDescent="0.4">
      <c r="A4906" s="1" t="s">
        <v>9518</v>
      </c>
      <c r="B4906" t="s">
        <v>9519</v>
      </c>
    </row>
    <row r="4907" spans="1:4" x14ac:dyDescent="0.4">
      <c r="A4907" s="1" t="s">
        <v>9520</v>
      </c>
      <c r="B4907" t="s">
        <v>9521</v>
      </c>
    </row>
    <row r="4908" spans="1:4" x14ac:dyDescent="0.4">
      <c r="A4908" s="1" t="s">
        <v>9522</v>
      </c>
      <c r="B4908" t="s">
        <v>9523</v>
      </c>
    </row>
    <row r="4909" spans="1:4" x14ac:dyDescent="0.4">
      <c r="A4909" s="1" t="s">
        <v>9524</v>
      </c>
      <c r="B4909" t="s">
        <v>9525</v>
      </c>
    </row>
    <row r="4910" spans="1:4" x14ac:dyDescent="0.4">
      <c r="A4910" s="1" t="s">
        <v>9526</v>
      </c>
      <c r="B4910" t="s">
        <v>9527</v>
      </c>
    </row>
    <row r="4911" spans="1:4" x14ac:dyDescent="0.4">
      <c r="A4911" s="1" t="s">
        <v>9528</v>
      </c>
      <c r="B4911" t="s">
        <v>9529</v>
      </c>
    </row>
    <row r="4912" spans="1:4" x14ac:dyDescent="0.4">
      <c r="A4912" s="1" t="s">
        <v>9530</v>
      </c>
      <c r="B4912" t="s">
        <v>9531</v>
      </c>
    </row>
    <row r="4913" spans="1:4" x14ac:dyDescent="0.4">
      <c r="A4913" s="1" t="s">
        <v>9532</v>
      </c>
      <c r="B4913" t="s">
        <v>9533</v>
      </c>
    </row>
    <row r="4914" spans="1:4" x14ac:dyDescent="0.4">
      <c r="A4914" s="1" t="s">
        <v>9534</v>
      </c>
      <c r="B4914" t="s">
        <v>9535</v>
      </c>
      <c r="D4914">
        <v>148000</v>
      </c>
    </row>
    <row r="4915" spans="1:4" x14ac:dyDescent="0.4">
      <c r="A4915" s="1" t="s">
        <v>9536</v>
      </c>
      <c r="B4915" t="s">
        <v>9537</v>
      </c>
    </row>
    <row r="4916" spans="1:4" x14ac:dyDescent="0.4">
      <c r="A4916" s="1" t="s">
        <v>9538</v>
      </c>
      <c r="B4916" t="s">
        <v>9539</v>
      </c>
    </row>
    <row r="4917" spans="1:4" x14ac:dyDescent="0.4">
      <c r="A4917" s="1" t="s">
        <v>9540</v>
      </c>
      <c r="B4917" t="s">
        <v>9541</v>
      </c>
    </row>
    <row r="4918" spans="1:4" x14ac:dyDescent="0.4">
      <c r="A4918" s="1" t="s">
        <v>9542</v>
      </c>
      <c r="B4918" t="s">
        <v>9543</v>
      </c>
    </row>
    <row r="4919" spans="1:4" x14ac:dyDescent="0.4">
      <c r="A4919" s="1" t="s">
        <v>9544</v>
      </c>
      <c r="B4919" t="s">
        <v>9545</v>
      </c>
      <c r="D4919">
        <v>178000</v>
      </c>
    </row>
    <row r="4920" spans="1:4" x14ac:dyDescent="0.4">
      <c r="A4920" s="1" t="s">
        <v>9546</v>
      </c>
      <c r="B4920" t="s">
        <v>9547</v>
      </c>
      <c r="D4920">
        <v>228000</v>
      </c>
    </row>
    <row r="4921" spans="1:4" x14ac:dyDescent="0.4">
      <c r="A4921" s="1" t="s">
        <v>9548</v>
      </c>
      <c r="B4921" t="s">
        <v>9549</v>
      </c>
      <c r="D4921">
        <v>328000</v>
      </c>
    </row>
    <row r="4922" spans="1:4" x14ac:dyDescent="0.4">
      <c r="A4922" s="1" t="s">
        <v>9550</v>
      </c>
      <c r="B4922" t="s">
        <v>9551</v>
      </c>
      <c r="C4922" t="s">
        <v>5</v>
      </c>
      <c r="D4922">
        <v>71609</v>
      </c>
    </row>
    <row r="4923" spans="1:4" x14ac:dyDescent="0.4">
      <c r="A4923" s="1" t="s">
        <v>9552</v>
      </c>
      <c r="B4923" t="s">
        <v>9553</v>
      </c>
      <c r="D4923">
        <v>15840</v>
      </c>
    </row>
    <row r="4924" spans="1:4" x14ac:dyDescent="0.4">
      <c r="A4924" s="1" t="s">
        <v>9554</v>
      </c>
      <c r="B4924" t="s">
        <v>9555</v>
      </c>
      <c r="D4924">
        <v>10600</v>
      </c>
    </row>
    <row r="4925" spans="1:4" x14ac:dyDescent="0.4">
      <c r="A4925" s="1" t="s">
        <v>9556</v>
      </c>
      <c r="B4925" t="s">
        <v>9557</v>
      </c>
    </row>
    <row r="4926" spans="1:4" x14ac:dyDescent="0.4">
      <c r="A4926" s="1" t="s">
        <v>9558</v>
      </c>
      <c r="B4926" t="s">
        <v>9559</v>
      </c>
    </row>
    <row r="4927" spans="1:4" x14ac:dyDescent="0.4">
      <c r="A4927" s="1" t="s">
        <v>9560</v>
      </c>
      <c r="B4927" t="s">
        <v>9561</v>
      </c>
      <c r="D4927">
        <v>72000</v>
      </c>
    </row>
    <row r="4928" spans="1:4" x14ac:dyDescent="0.4">
      <c r="A4928" s="1" t="s">
        <v>9562</v>
      </c>
      <c r="B4928" t="s">
        <v>9563</v>
      </c>
      <c r="C4928" t="s">
        <v>5</v>
      </c>
      <c r="D4928">
        <v>50000</v>
      </c>
    </row>
    <row r="4929" spans="1:4" x14ac:dyDescent="0.4">
      <c r="A4929" s="1" t="s">
        <v>9564</v>
      </c>
      <c r="B4929" t="s">
        <v>9565</v>
      </c>
      <c r="C4929" t="s">
        <v>5</v>
      </c>
      <c r="D4929">
        <v>140000</v>
      </c>
    </row>
    <row r="4930" spans="1:4" x14ac:dyDescent="0.4">
      <c r="A4930" s="1" t="s">
        <v>9566</v>
      </c>
      <c r="B4930" t="e">
        <f>-終息-EPSON LPB3T23S 環境推進トナー</f>
        <v>#NAME?</v>
      </c>
      <c r="C4930" t="s">
        <v>5</v>
      </c>
      <c r="D4930">
        <v>42800</v>
      </c>
    </row>
    <row r="4931" spans="1:4" x14ac:dyDescent="0.4">
      <c r="A4931" s="1" t="s">
        <v>9567</v>
      </c>
      <c r="B4931" t="s">
        <v>9568</v>
      </c>
      <c r="C4931" t="s">
        <v>5</v>
      </c>
      <c r="D4931">
        <v>39900</v>
      </c>
    </row>
    <row r="4932" spans="1:4" x14ac:dyDescent="0.4">
      <c r="A4932" s="1" t="s">
        <v>9569</v>
      </c>
      <c r="B4932" t="e">
        <f>-終息-ﾘｻｲｸﾙﾄﾅｰLPC3K10Ｃ</f>
        <v>#NAME?</v>
      </c>
      <c r="C4932" t="s">
        <v>2808</v>
      </c>
    </row>
    <row r="4933" spans="1:4" x14ac:dyDescent="0.4">
      <c r="A4933" s="1" t="s">
        <v>9570</v>
      </c>
      <c r="B4933" t="e">
        <f>-終息-ﾘｻｲｸﾙﾄﾅｰLPC3K10Ｍ</f>
        <v>#NAME?</v>
      </c>
      <c r="C4933" t="s">
        <v>2808</v>
      </c>
    </row>
    <row r="4934" spans="1:4" x14ac:dyDescent="0.4">
      <c r="A4934" s="1" t="s">
        <v>9571</v>
      </c>
      <c r="B4934" t="e">
        <f>-終息-EPSON LPC3T16CS 環境推進トナー ｼｱﾝ</f>
        <v>#NAME?</v>
      </c>
      <c r="C4934" t="s">
        <v>5</v>
      </c>
      <c r="D4934">
        <v>37200</v>
      </c>
    </row>
    <row r="4935" spans="1:4" x14ac:dyDescent="0.4">
      <c r="A4935" s="1" t="s">
        <v>9572</v>
      </c>
      <c r="B4935" t="e">
        <f>-終息-EPSON LPC3T16KS 環境推進トナー ﾌﾞﾗｯｸ</f>
        <v>#NAME?</v>
      </c>
      <c r="C4935" t="s">
        <v>5</v>
      </c>
      <c r="D4935">
        <v>43900</v>
      </c>
    </row>
    <row r="4936" spans="1:4" x14ac:dyDescent="0.4">
      <c r="A4936" s="1" t="s">
        <v>9573</v>
      </c>
      <c r="B4936" t="e">
        <f>-終息-EPSON LPC3T16MS 環境推進トナー ﾏｾﾞﾝﾀ</f>
        <v>#NAME?</v>
      </c>
      <c r="C4936" t="s">
        <v>5</v>
      </c>
      <c r="D4936">
        <v>37200</v>
      </c>
    </row>
    <row r="4937" spans="1:4" x14ac:dyDescent="0.4">
      <c r="A4937" s="1" t="s">
        <v>9574</v>
      </c>
      <c r="B4937" t="e">
        <f>-終息-EPSON LPC3T16YS 環境推進トナー</f>
        <v>#NAME?</v>
      </c>
      <c r="C4937" t="s">
        <v>5</v>
      </c>
      <c r="D4937">
        <v>37200</v>
      </c>
    </row>
    <row r="4938" spans="1:4" x14ac:dyDescent="0.4">
      <c r="A4938" s="1" t="s">
        <v>9575</v>
      </c>
      <c r="B4938" t="e">
        <f>-在庫限り-EPSON LPC3T21CS 環境推進トナー ｼｱﾝ</f>
        <v>#NAME?</v>
      </c>
      <c r="C4938" t="s">
        <v>5</v>
      </c>
      <c r="D4938">
        <v>23400</v>
      </c>
    </row>
    <row r="4939" spans="1:4" x14ac:dyDescent="0.4">
      <c r="A4939" s="1" t="s">
        <v>9576</v>
      </c>
      <c r="B4939" t="e">
        <f>-終息-EPSON LPC3T21KS 環境推進トナー ﾌﾞﾗｯｸ</f>
        <v>#NAME?</v>
      </c>
      <c r="C4939" t="s">
        <v>5</v>
      </c>
      <c r="D4939">
        <v>11400</v>
      </c>
    </row>
    <row r="4940" spans="1:4" x14ac:dyDescent="0.4">
      <c r="A4940" s="1" t="s">
        <v>9577</v>
      </c>
      <c r="B4940" t="e">
        <f>-在庫限り-EPSON LPC3T21MS 環境推進トナー ﾏｾﾞﾝﾀ</f>
        <v>#NAME?</v>
      </c>
      <c r="C4940" t="s">
        <v>5</v>
      </c>
      <c r="D4940">
        <v>23400</v>
      </c>
    </row>
    <row r="4941" spans="1:4" x14ac:dyDescent="0.4">
      <c r="A4941" s="1" t="s">
        <v>9578</v>
      </c>
      <c r="B4941" t="e">
        <f>-在庫限り-EPSON LPC3T21YS 環境推進トナー ｲｴﾛｰ</f>
        <v>#NAME?</v>
      </c>
      <c r="C4941" t="s">
        <v>5</v>
      </c>
      <c r="D4941">
        <v>23400</v>
      </c>
    </row>
    <row r="4942" spans="1:4" x14ac:dyDescent="0.4">
      <c r="A4942" s="1" t="s">
        <v>9579</v>
      </c>
      <c r="B4942" t="s">
        <v>9580</v>
      </c>
    </row>
    <row r="4943" spans="1:4" x14ac:dyDescent="0.4">
      <c r="A4943" s="1" t="s">
        <v>9581</v>
      </c>
      <c r="B4943" t="s">
        <v>9582</v>
      </c>
    </row>
    <row r="4944" spans="1:4" x14ac:dyDescent="0.4">
      <c r="A4944" s="1" t="s">
        <v>9583</v>
      </c>
      <c r="B4944" t="s">
        <v>9584</v>
      </c>
    </row>
    <row r="4945" spans="1:4" x14ac:dyDescent="0.4">
      <c r="A4945" s="1" t="s">
        <v>9585</v>
      </c>
      <c r="B4945" t="s">
        <v>9586</v>
      </c>
    </row>
    <row r="4946" spans="1:4" x14ac:dyDescent="0.4">
      <c r="A4946" s="1" t="s">
        <v>9587</v>
      </c>
      <c r="B4946" t="s">
        <v>9588</v>
      </c>
    </row>
    <row r="4947" spans="1:4" x14ac:dyDescent="0.4">
      <c r="A4947" s="1" t="s">
        <v>9589</v>
      </c>
      <c r="B4947" t="s">
        <v>9590</v>
      </c>
    </row>
    <row r="4948" spans="1:4" x14ac:dyDescent="0.4">
      <c r="A4948" s="1" t="s">
        <v>9591</v>
      </c>
      <c r="B4948" t="s">
        <v>9592</v>
      </c>
    </row>
    <row r="4949" spans="1:4" x14ac:dyDescent="0.4">
      <c r="A4949" s="1" t="s">
        <v>9593</v>
      </c>
      <c r="B4949" t="s">
        <v>9594</v>
      </c>
    </row>
    <row r="4950" spans="1:4" x14ac:dyDescent="0.4">
      <c r="A4950" s="1" t="s">
        <v>9595</v>
      </c>
      <c r="B4950" t="s">
        <v>9596</v>
      </c>
      <c r="D4950">
        <v>858000</v>
      </c>
    </row>
    <row r="4951" spans="1:4" x14ac:dyDescent="0.4">
      <c r="A4951" s="1" t="s">
        <v>9597</v>
      </c>
      <c r="B4951" t="s">
        <v>9598</v>
      </c>
      <c r="D4951">
        <v>998000</v>
      </c>
    </row>
    <row r="4952" spans="1:4" x14ac:dyDescent="0.4">
      <c r="A4952" s="1" t="s">
        <v>9599</v>
      </c>
      <c r="B4952" t="s">
        <v>9600</v>
      </c>
    </row>
    <row r="4953" spans="1:4" x14ac:dyDescent="0.4">
      <c r="A4953" s="1" t="s">
        <v>9601</v>
      </c>
      <c r="B4953" t="s">
        <v>9602</v>
      </c>
    </row>
    <row r="4954" spans="1:4" x14ac:dyDescent="0.4">
      <c r="A4954" s="1" t="s">
        <v>9603</v>
      </c>
      <c r="B4954" t="s">
        <v>9604</v>
      </c>
    </row>
    <row r="4955" spans="1:4" x14ac:dyDescent="0.4">
      <c r="A4955" s="1" t="s">
        <v>9605</v>
      </c>
      <c r="B4955" t="s">
        <v>9606</v>
      </c>
    </row>
    <row r="4956" spans="1:4" x14ac:dyDescent="0.4">
      <c r="A4956" s="1" t="s">
        <v>9607</v>
      </c>
      <c r="B4956" t="s">
        <v>9608</v>
      </c>
    </row>
    <row r="4957" spans="1:4" x14ac:dyDescent="0.4">
      <c r="A4957" s="1" t="s">
        <v>9609</v>
      </c>
      <c r="B4957" t="s">
        <v>9610</v>
      </c>
    </row>
    <row r="4958" spans="1:4" x14ac:dyDescent="0.4">
      <c r="A4958" s="1" t="s">
        <v>9611</v>
      </c>
      <c r="B4958" t="s">
        <v>9612</v>
      </c>
    </row>
    <row r="4959" spans="1:4" x14ac:dyDescent="0.4">
      <c r="A4959" s="1" t="s">
        <v>9613</v>
      </c>
      <c r="B4959" t="s">
        <v>9614</v>
      </c>
    </row>
    <row r="4960" spans="1:4" x14ac:dyDescent="0.4">
      <c r="A4960" s="1" t="s">
        <v>9615</v>
      </c>
      <c r="B4960" t="s">
        <v>9616</v>
      </c>
    </row>
    <row r="4961" spans="1:3" x14ac:dyDescent="0.4">
      <c r="A4961" s="1" t="s">
        <v>9617</v>
      </c>
      <c r="B4961" t="s">
        <v>9618</v>
      </c>
    </row>
    <row r="4962" spans="1:3" x14ac:dyDescent="0.4">
      <c r="A4962" s="1" t="s">
        <v>9619</v>
      </c>
      <c r="B4962" t="s">
        <v>9620</v>
      </c>
    </row>
    <row r="4963" spans="1:3" x14ac:dyDescent="0.4">
      <c r="A4963" s="1" t="s">
        <v>9621</v>
      </c>
      <c r="B4963" t="s">
        <v>9622</v>
      </c>
    </row>
    <row r="4964" spans="1:3" x14ac:dyDescent="0.4">
      <c r="A4964" s="1" t="s">
        <v>9623</v>
      </c>
      <c r="B4964" t="s">
        <v>9624</v>
      </c>
    </row>
    <row r="4965" spans="1:3" x14ac:dyDescent="0.4">
      <c r="A4965" s="1" t="s">
        <v>9625</v>
      </c>
      <c r="B4965" t="s">
        <v>9626</v>
      </c>
    </row>
    <row r="4966" spans="1:3" x14ac:dyDescent="0.4">
      <c r="A4966" s="1" t="s">
        <v>9627</v>
      </c>
      <c r="B4966" t="s">
        <v>9628</v>
      </c>
    </row>
    <row r="4967" spans="1:3" x14ac:dyDescent="0.4">
      <c r="A4967" s="1" t="s">
        <v>9629</v>
      </c>
      <c r="B4967" t="s">
        <v>9630</v>
      </c>
    </row>
    <row r="4968" spans="1:3" x14ac:dyDescent="0.4">
      <c r="A4968" s="1" t="s">
        <v>9631</v>
      </c>
      <c r="B4968" t="s">
        <v>9632</v>
      </c>
    </row>
    <row r="4969" spans="1:3" x14ac:dyDescent="0.4">
      <c r="A4969" s="1" t="s">
        <v>9633</v>
      </c>
      <c r="B4969" t="s">
        <v>9634</v>
      </c>
    </row>
    <row r="4970" spans="1:3" x14ac:dyDescent="0.4">
      <c r="A4970" s="1" t="s">
        <v>9635</v>
      </c>
      <c r="B4970" t="s">
        <v>9636</v>
      </c>
    </row>
    <row r="4971" spans="1:3" x14ac:dyDescent="0.4">
      <c r="A4971" s="1" t="s">
        <v>9637</v>
      </c>
      <c r="B4971" t="s">
        <v>9638</v>
      </c>
    </row>
    <row r="4972" spans="1:3" x14ac:dyDescent="0.4">
      <c r="A4972" s="1" t="s">
        <v>9639</v>
      </c>
      <c r="B4972" t="s">
        <v>9640</v>
      </c>
    </row>
    <row r="4973" spans="1:3" x14ac:dyDescent="0.4">
      <c r="A4973" s="1" t="s">
        <v>9641</v>
      </c>
      <c r="B4973" t="s">
        <v>9642</v>
      </c>
    </row>
    <row r="4974" spans="1:3" x14ac:dyDescent="0.4">
      <c r="A4974" s="1" t="s">
        <v>9643</v>
      </c>
      <c r="B4974" t="s">
        <v>9644</v>
      </c>
    </row>
    <row r="4975" spans="1:3" x14ac:dyDescent="0.4">
      <c r="A4975" s="1" t="s">
        <v>9645</v>
      </c>
      <c r="B4975" t="s">
        <v>9646</v>
      </c>
      <c r="C4975" t="s">
        <v>5</v>
      </c>
    </row>
    <row r="4976" spans="1:3" x14ac:dyDescent="0.4">
      <c r="A4976" s="1" t="s">
        <v>9647</v>
      </c>
      <c r="B4976" t="s">
        <v>9648</v>
      </c>
      <c r="C4976" t="s">
        <v>9649</v>
      </c>
    </row>
    <row r="4977" spans="1:4" x14ac:dyDescent="0.4">
      <c r="A4977" s="1" t="s">
        <v>9650</v>
      </c>
      <c r="B4977" t="s">
        <v>9651</v>
      </c>
      <c r="C4977" t="s">
        <v>9652</v>
      </c>
    </row>
    <row r="4978" spans="1:4" x14ac:dyDescent="0.4">
      <c r="A4978" s="1" t="s">
        <v>9653</v>
      </c>
      <c r="B4978" t="s">
        <v>9654</v>
      </c>
      <c r="C4978" t="s">
        <v>9652</v>
      </c>
    </row>
    <row r="4979" spans="1:4" x14ac:dyDescent="0.4">
      <c r="A4979" s="1" t="s">
        <v>9655</v>
      </c>
      <c r="B4979" t="s">
        <v>9656</v>
      </c>
      <c r="C4979" t="s">
        <v>9652</v>
      </c>
    </row>
    <row r="4980" spans="1:4" x14ac:dyDescent="0.4">
      <c r="A4980" s="1" t="s">
        <v>9657</v>
      </c>
      <c r="B4980" t="s">
        <v>9658</v>
      </c>
      <c r="C4980" t="s">
        <v>9652</v>
      </c>
    </row>
    <row r="4981" spans="1:4" x14ac:dyDescent="0.4">
      <c r="A4981" s="1" t="s">
        <v>9659</v>
      </c>
      <c r="B4981" t="s">
        <v>9660</v>
      </c>
      <c r="C4981" t="s">
        <v>9652</v>
      </c>
    </row>
    <row r="4982" spans="1:4" x14ac:dyDescent="0.4">
      <c r="A4982" s="1" t="s">
        <v>9661</v>
      </c>
      <c r="B4982" t="s">
        <v>9662</v>
      </c>
      <c r="C4982" t="s">
        <v>144</v>
      </c>
    </row>
    <row r="4983" spans="1:4" x14ac:dyDescent="0.4">
      <c r="A4983" s="1" t="s">
        <v>9663</v>
      </c>
      <c r="B4983" t="s">
        <v>9664</v>
      </c>
      <c r="C4983" t="s">
        <v>144</v>
      </c>
    </row>
    <row r="4984" spans="1:4" x14ac:dyDescent="0.4">
      <c r="A4984" s="1" t="s">
        <v>9665</v>
      </c>
      <c r="B4984" t="s">
        <v>9666</v>
      </c>
      <c r="C4984" t="s">
        <v>144</v>
      </c>
    </row>
    <row r="4985" spans="1:4" x14ac:dyDescent="0.4">
      <c r="A4985" s="1" t="s">
        <v>9667</v>
      </c>
      <c r="B4985" t="s">
        <v>9668</v>
      </c>
      <c r="C4985" t="s">
        <v>144</v>
      </c>
    </row>
    <row r="4986" spans="1:4" x14ac:dyDescent="0.4">
      <c r="A4986" s="1" t="s">
        <v>9669</v>
      </c>
      <c r="B4986" t="s">
        <v>9670</v>
      </c>
      <c r="C4986" t="s">
        <v>144</v>
      </c>
    </row>
    <row r="4987" spans="1:4" x14ac:dyDescent="0.4">
      <c r="A4987" s="1" t="s">
        <v>9671</v>
      </c>
      <c r="B4987" t="s">
        <v>9672</v>
      </c>
      <c r="C4987" t="s">
        <v>144</v>
      </c>
    </row>
    <row r="4988" spans="1:4" x14ac:dyDescent="0.4">
      <c r="A4988" s="1" t="s">
        <v>9673</v>
      </c>
      <c r="B4988" t="s">
        <v>9674</v>
      </c>
      <c r="C4988" t="s">
        <v>5</v>
      </c>
    </row>
    <row r="4989" spans="1:4" x14ac:dyDescent="0.4">
      <c r="A4989" s="1" t="s">
        <v>9675</v>
      </c>
      <c r="B4989" t="s">
        <v>9676</v>
      </c>
      <c r="C4989" t="s">
        <v>5</v>
      </c>
    </row>
    <row r="4990" spans="1:4" x14ac:dyDescent="0.4">
      <c r="A4990" s="1" t="s">
        <v>9677</v>
      </c>
      <c r="B4990" t="s">
        <v>9678</v>
      </c>
      <c r="C4990" t="s">
        <v>5</v>
      </c>
    </row>
    <row r="4991" spans="1:4" x14ac:dyDescent="0.4">
      <c r="A4991" s="1" t="s">
        <v>9679</v>
      </c>
      <c r="B4991" t="s">
        <v>9680</v>
      </c>
      <c r="C4991" t="s">
        <v>9652</v>
      </c>
      <c r="D4991">
        <v>67740</v>
      </c>
    </row>
    <row r="4992" spans="1:4" x14ac:dyDescent="0.4">
      <c r="A4992" s="1" t="s">
        <v>9681</v>
      </c>
      <c r="B4992" t="s">
        <v>9682</v>
      </c>
      <c r="C4992" t="s">
        <v>9652</v>
      </c>
      <c r="D4992">
        <v>33300</v>
      </c>
    </row>
    <row r="4993" spans="1:4" x14ac:dyDescent="0.4">
      <c r="A4993" s="1" t="s">
        <v>9683</v>
      </c>
      <c r="B4993" t="s">
        <v>9684</v>
      </c>
      <c r="C4993" t="s">
        <v>9652</v>
      </c>
    </row>
    <row r="4994" spans="1:4" x14ac:dyDescent="0.4">
      <c r="A4994" s="1" t="s">
        <v>9685</v>
      </c>
      <c r="B4994" t="s">
        <v>9686</v>
      </c>
      <c r="C4994" t="s">
        <v>9652</v>
      </c>
      <c r="D4994">
        <v>25200</v>
      </c>
    </row>
    <row r="4995" spans="1:4" x14ac:dyDescent="0.4">
      <c r="A4995" s="1" t="s">
        <v>9687</v>
      </c>
      <c r="B4995" t="s">
        <v>9688</v>
      </c>
      <c r="C4995" t="s">
        <v>9652</v>
      </c>
      <c r="D4995">
        <v>21600</v>
      </c>
    </row>
    <row r="4996" spans="1:4" x14ac:dyDescent="0.4">
      <c r="A4996" s="1" t="s">
        <v>9689</v>
      </c>
      <c r="B4996" t="s">
        <v>9690</v>
      </c>
      <c r="C4996" t="s">
        <v>9652</v>
      </c>
      <c r="D4996">
        <v>21600</v>
      </c>
    </row>
    <row r="4997" spans="1:4" x14ac:dyDescent="0.4">
      <c r="A4997" s="1" t="s">
        <v>9691</v>
      </c>
      <c r="B4997" t="s">
        <v>9692</v>
      </c>
      <c r="C4997" t="s">
        <v>9652</v>
      </c>
      <c r="D4997">
        <v>21600</v>
      </c>
    </row>
    <row r="4998" spans="1:4" x14ac:dyDescent="0.4">
      <c r="A4998" s="1" t="s">
        <v>9693</v>
      </c>
      <c r="B4998" t="s">
        <v>9694</v>
      </c>
      <c r="C4998" t="s">
        <v>9652</v>
      </c>
    </row>
    <row r="4999" spans="1:4" x14ac:dyDescent="0.4">
      <c r="A4999" s="1" t="s">
        <v>9695</v>
      </c>
      <c r="B4999" t="s">
        <v>9696</v>
      </c>
      <c r="C4999" t="s">
        <v>9652</v>
      </c>
      <c r="D4999">
        <v>29300</v>
      </c>
    </row>
    <row r="5000" spans="1:4" x14ac:dyDescent="0.4">
      <c r="A5000" s="1" t="s">
        <v>9697</v>
      </c>
      <c r="B5000" t="s">
        <v>9698</v>
      </c>
      <c r="C5000" t="s">
        <v>9652</v>
      </c>
      <c r="D5000">
        <v>38200</v>
      </c>
    </row>
    <row r="5001" spans="1:4" x14ac:dyDescent="0.4">
      <c r="A5001" s="1" t="s">
        <v>9699</v>
      </c>
      <c r="B5001" t="s">
        <v>9700</v>
      </c>
      <c r="C5001" t="s">
        <v>9652</v>
      </c>
      <c r="D5001">
        <v>38200</v>
      </c>
    </row>
    <row r="5002" spans="1:4" x14ac:dyDescent="0.4">
      <c r="A5002" s="1" t="s">
        <v>9701</v>
      </c>
      <c r="B5002" t="s">
        <v>9702</v>
      </c>
      <c r="C5002" t="s">
        <v>9652</v>
      </c>
      <c r="D5002">
        <v>38200</v>
      </c>
    </row>
    <row r="5003" spans="1:4" x14ac:dyDescent="0.4">
      <c r="A5003" s="1" t="s">
        <v>9703</v>
      </c>
      <c r="B5003" t="s">
        <v>9704</v>
      </c>
      <c r="C5003" t="s">
        <v>9652</v>
      </c>
      <c r="D5003">
        <v>46000</v>
      </c>
    </row>
    <row r="5004" spans="1:4" x14ac:dyDescent="0.4">
      <c r="A5004" s="1" t="s">
        <v>9705</v>
      </c>
      <c r="B5004" t="s">
        <v>9706</v>
      </c>
      <c r="C5004" t="s">
        <v>9652</v>
      </c>
      <c r="D5004">
        <v>50800</v>
      </c>
    </row>
    <row r="5005" spans="1:4" x14ac:dyDescent="0.4">
      <c r="A5005" s="1" t="s">
        <v>9707</v>
      </c>
      <c r="B5005" t="s">
        <v>9708</v>
      </c>
      <c r="C5005" t="s">
        <v>9652</v>
      </c>
      <c r="D5005">
        <v>50800</v>
      </c>
    </row>
    <row r="5006" spans="1:4" x14ac:dyDescent="0.4">
      <c r="A5006" s="1" t="s">
        <v>9709</v>
      </c>
      <c r="B5006" t="s">
        <v>9710</v>
      </c>
      <c r="C5006" t="s">
        <v>9652</v>
      </c>
      <c r="D5006">
        <v>50800</v>
      </c>
    </row>
    <row r="5007" spans="1:4" x14ac:dyDescent="0.4">
      <c r="A5007" s="1" t="s">
        <v>9711</v>
      </c>
      <c r="B5007" t="s">
        <v>9712</v>
      </c>
      <c r="C5007" t="s">
        <v>9652</v>
      </c>
      <c r="D5007">
        <v>39400</v>
      </c>
    </row>
    <row r="5008" spans="1:4" x14ac:dyDescent="0.4">
      <c r="A5008" s="1" t="s">
        <v>9713</v>
      </c>
      <c r="B5008" t="s">
        <v>9714</v>
      </c>
      <c r="C5008" t="s">
        <v>9652</v>
      </c>
      <c r="D5008">
        <v>41600</v>
      </c>
    </row>
    <row r="5009" spans="1:4" x14ac:dyDescent="0.4">
      <c r="A5009" s="1" t="s">
        <v>9715</v>
      </c>
      <c r="B5009" t="s">
        <v>9716</v>
      </c>
      <c r="C5009" t="s">
        <v>9652</v>
      </c>
      <c r="D5009">
        <v>47000</v>
      </c>
    </row>
    <row r="5010" spans="1:4" x14ac:dyDescent="0.4">
      <c r="A5010" s="1" t="s">
        <v>9717</v>
      </c>
      <c r="B5010" t="s">
        <v>9718</v>
      </c>
      <c r="C5010" t="s">
        <v>9652</v>
      </c>
    </row>
    <row r="5011" spans="1:4" x14ac:dyDescent="0.4">
      <c r="A5011" s="1" t="s">
        <v>9719</v>
      </c>
      <c r="B5011" t="s">
        <v>9720</v>
      </c>
      <c r="C5011" t="s">
        <v>9652</v>
      </c>
      <c r="D5011">
        <v>37800</v>
      </c>
    </row>
    <row r="5012" spans="1:4" x14ac:dyDescent="0.4">
      <c r="A5012" s="1" t="s">
        <v>9721</v>
      </c>
      <c r="B5012" t="s">
        <v>9722</v>
      </c>
      <c r="C5012" t="s">
        <v>9652</v>
      </c>
      <c r="D5012">
        <v>37800</v>
      </c>
    </row>
    <row r="5013" spans="1:4" x14ac:dyDescent="0.4">
      <c r="A5013" s="1" t="s">
        <v>9723</v>
      </c>
      <c r="B5013" t="s">
        <v>9724</v>
      </c>
      <c r="C5013" t="s">
        <v>9652</v>
      </c>
      <c r="D5013">
        <v>37800</v>
      </c>
    </row>
    <row r="5014" spans="1:4" x14ac:dyDescent="0.4">
      <c r="A5014" s="1" t="s">
        <v>9725</v>
      </c>
      <c r="B5014" t="s">
        <v>9726</v>
      </c>
      <c r="C5014" t="s">
        <v>9652</v>
      </c>
      <c r="D5014">
        <v>35400</v>
      </c>
    </row>
    <row r="5015" spans="1:4" x14ac:dyDescent="0.4">
      <c r="A5015" s="1" t="s">
        <v>9727</v>
      </c>
      <c r="B5015" t="s">
        <v>9728</v>
      </c>
      <c r="C5015" t="s">
        <v>9652</v>
      </c>
      <c r="D5015">
        <v>51000</v>
      </c>
    </row>
    <row r="5016" spans="1:4" x14ac:dyDescent="0.4">
      <c r="A5016" s="1" t="s">
        <v>9729</v>
      </c>
      <c r="B5016" t="s">
        <v>9730</v>
      </c>
      <c r="C5016" t="s">
        <v>9652</v>
      </c>
      <c r="D5016">
        <v>44500</v>
      </c>
    </row>
    <row r="5017" spans="1:4" x14ac:dyDescent="0.4">
      <c r="A5017" s="1" t="s">
        <v>9731</v>
      </c>
      <c r="B5017" t="s">
        <v>9732</v>
      </c>
      <c r="C5017" t="s">
        <v>9652</v>
      </c>
      <c r="D5017">
        <v>55100</v>
      </c>
    </row>
    <row r="5018" spans="1:4" x14ac:dyDescent="0.4">
      <c r="A5018" s="1" t="s">
        <v>9733</v>
      </c>
      <c r="B5018" t="s">
        <v>9734</v>
      </c>
      <c r="C5018" t="s">
        <v>9652</v>
      </c>
    </row>
    <row r="5019" spans="1:4" x14ac:dyDescent="0.4">
      <c r="A5019" s="1" t="s">
        <v>9735</v>
      </c>
      <c r="B5019" t="s">
        <v>9736</v>
      </c>
      <c r="C5019" t="s">
        <v>9652</v>
      </c>
      <c r="D5019">
        <v>36500</v>
      </c>
    </row>
    <row r="5020" spans="1:4" x14ac:dyDescent="0.4">
      <c r="A5020" s="1" t="s">
        <v>9737</v>
      </c>
      <c r="B5020" t="s">
        <v>9738</v>
      </c>
      <c r="C5020" t="s">
        <v>9652</v>
      </c>
      <c r="D5020">
        <v>51400</v>
      </c>
    </row>
    <row r="5021" spans="1:4" x14ac:dyDescent="0.4">
      <c r="A5021" s="1" t="s">
        <v>9739</v>
      </c>
      <c r="B5021" t="s">
        <v>9740</v>
      </c>
      <c r="C5021" t="s">
        <v>9652</v>
      </c>
      <c r="D5021">
        <v>63000</v>
      </c>
    </row>
    <row r="5022" spans="1:4" x14ac:dyDescent="0.4">
      <c r="A5022" s="1" t="s">
        <v>9741</v>
      </c>
      <c r="B5022" t="s">
        <v>9742</v>
      </c>
      <c r="C5022" t="s">
        <v>9652</v>
      </c>
      <c r="D5022">
        <v>64100</v>
      </c>
    </row>
    <row r="5023" spans="1:4" x14ac:dyDescent="0.4">
      <c r="A5023" s="1" t="s">
        <v>9743</v>
      </c>
      <c r="B5023" t="s">
        <v>9744</v>
      </c>
      <c r="C5023" t="s">
        <v>9652</v>
      </c>
      <c r="D5023">
        <v>48000</v>
      </c>
    </row>
    <row r="5024" spans="1:4" x14ac:dyDescent="0.4">
      <c r="A5024" s="1" t="s">
        <v>9745</v>
      </c>
      <c r="B5024" t="s">
        <v>9746</v>
      </c>
      <c r="C5024" t="s">
        <v>9652</v>
      </c>
      <c r="D5024">
        <v>31000</v>
      </c>
    </row>
    <row r="5025" spans="1:4" x14ac:dyDescent="0.4">
      <c r="A5025" s="1" t="s">
        <v>9747</v>
      </c>
      <c r="B5025" t="s">
        <v>9748</v>
      </c>
      <c r="C5025" t="s">
        <v>9652</v>
      </c>
    </row>
    <row r="5026" spans="1:4" x14ac:dyDescent="0.4">
      <c r="A5026" s="1" t="s">
        <v>9749</v>
      </c>
      <c r="B5026" t="s">
        <v>9750</v>
      </c>
      <c r="C5026" t="s">
        <v>9652</v>
      </c>
    </row>
    <row r="5027" spans="1:4" x14ac:dyDescent="0.4">
      <c r="A5027" s="1" t="s">
        <v>9751</v>
      </c>
      <c r="B5027" t="s">
        <v>9752</v>
      </c>
      <c r="C5027" t="s">
        <v>9652</v>
      </c>
    </row>
    <row r="5028" spans="1:4" x14ac:dyDescent="0.4">
      <c r="A5028" s="1" t="s">
        <v>9753</v>
      </c>
      <c r="B5028" t="s">
        <v>9754</v>
      </c>
      <c r="C5028" t="s">
        <v>9652</v>
      </c>
    </row>
    <row r="5029" spans="1:4" x14ac:dyDescent="0.4">
      <c r="A5029" s="1" t="s">
        <v>9755</v>
      </c>
      <c r="B5029" t="s">
        <v>9756</v>
      </c>
      <c r="C5029" t="s">
        <v>9652</v>
      </c>
      <c r="D5029">
        <v>38900</v>
      </c>
    </row>
    <row r="5030" spans="1:4" x14ac:dyDescent="0.4">
      <c r="A5030" s="1" t="s">
        <v>9757</v>
      </c>
      <c r="B5030" t="s">
        <v>9758</v>
      </c>
      <c r="C5030" t="s">
        <v>9652</v>
      </c>
      <c r="D5030">
        <v>41000</v>
      </c>
    </row>
    <row r="5031" spans="1:4" x14ac:dyDescent="0.4">
      <c r="A5031" s="1" t="s">
        <v>9759</v>
      </c>
      <c r="B5031" t="s">
        <v>9760</v>
      </c>
      <c r="C5031" t="s">
        <v>9652</v>
      </c>
      <c r="D5031">
        <v>38900</v>
      </c>
    </row>
    <row r="5032" spans="1:4" x14ac:dyDescent="0.4">
      <c r="A5032" s="1" t="s">
        <v>9761</v>
      </c>
      <c r="B5032" t="s">
        <v>9762</v>
      </c>
      <c r="C5032" t="s">
        <v>9652</v>
      </c>
      <c r="D5032">
        <v>38900</v>
      </c>
    </row>
    <row r="5033" spans="1:4" x14ac:dyDescent="0.4">
      <c r="A5033" s="1" t="s">
        <v>9763</v>
      </c>
      <c r="B5033" t="s">
        <v>9764</v>
      </c>
      <c r="C5033" t="s">
        <v>9652</v>
      </c>
      <c r="D5033">
        <v>38900</v>
      </c>
    </row>
    <row r="5034" spans="1:4" x14ac:dyDescent="0.4">
      <c r="A5034" s="1" t="s">
        <v>9765</v>
      </c>
      <c r="B5034" t="s">
        <v>9766</v>
      </c>
      <c r="C5034" t="s">
        <v>9652</v>
      </c>
      <c r="D5034">
        <v>41000</v>
      </c>
    </row>
    <row r="5035" spans="1:4" x14ac:dyDescent="0.4">
      <c r="A5035" s="1" t="s">
        <v>9767</v>
      </c>
      <c r="B5035" t="s">
        <v>9768</v>
      </c>
      <c r="C5035" t="s">
        <v>9652</v>
      </c>
      <c r="D5035">
        <v>38900</v>
      </c>
    </row>
    <row r="5036" spans="1:4" x14ac:dyDescent="0.4">
      <c r="A5036" s="1" t="s">
        <v>9769</v>
      </c>
      <c r="B5036" t="s">
        <v>9770</v>
      </c>
      <c r="C5036" t="s">
        <v>9652</v>
      </c>
      <c r="D5036">
        <v>38900</v>
      </c>
    </row>
    <row r="5037" spans="1:4" x14ac:dyDescent="0.4">
      <c r="A5037" s="1" t="s">
        <v>9771</v>
      </c>
      <c r="B5037" t="s">
        <v>9772</v>
      </c>
      <c r="C5037" t="s">
        <v>9652</v>
      </c>
      <c r="D5037">
        <v>40900</v>
      </c>
    </row>
    <row r="5038" spans="1:4" x14ac:dyDescent="0.4">
      <c r="A5038" s="1" t="s">
        <v>9773</v>
      </c>
      <c r="B5038" t="s">
        <v>9774</v>
      </c>
      <c r="C5038" t="s">
        <v>9652</v>
      </c>
      <c r="D5038">
        <v>43100</v>
      </c>
    </row>
    <row r="5039" spans="1:4" x14ac:dyDescent="0.4">
      <c r="A5039" s="1" t="s">
        <v>9775</v>
      </c>
      <c r="B5039" t="s">
        <v>9776</v>
      </c>
      <c r="C5039" t="s">
        <v>9652</v>
      </c>
      <c r="D5039">
        <v>40900</v>
      </c>
    </row>
    <row r="5040" spans="1:4" x14ac:dyDescent="0.4">
      <c r="A5040" s="1" t="s">
        <v>9777</v>
      </c>
      <c r="B5040" t="s">
        <v>9778</v>
      </c>
      <c r="C5040" t="s">
        <v>9652</v>
      </c>
      <c r="D5040">
        <v>40900</v>
      </c>
    </row>
    <row r="5041" spans="1:3" x14ac:dyDescent="0.4">
      <c r="A5041" s="1" t="s">
        <v>9779</v>
      </c>
      <c r="B5041" t="s">
        <v>9780</v>
      </c>
      <c r="C5041" t="s">
        <v>144</v>
      </c>
    </row>
    <row r="5042" spans="1:3" x14ac:dyDescent="0.4">
      <c r="A5042" s="1" t="s">
        <v>9781</v>
      </c>
      <c r="B5042" t="s">
        <v>9782</v>
      </c>
      <c r="C5042" t="s">
        <v>144</v>
      </c>
    </row>
    <row r="5043" spans="1:3" x14ac:dyDescent="0.4">
      <c r="A5043" s="1" t="s">
        <v>9783</v>
      </c>
      <c r="B5043" t="s">
        <v>9784</v>
      </c>
      <c r="C5043" t="s">
        <v>144</v>
      </c>
    </row>
    <row r="5044" spans="1:3" x14ac:dyDescent="0.4">
      <c r="A5044" s="1" t="s">
        <v>9785</v>
      </c>
      <c r="B5044" t="s">
        <v>9786</v>
      </c>
      <c r="C5044" t="s">
        <v>144</v>
      </c>
    </row>
    <row r="5045" spans="1:3" x14ac:dyDescent="0.4">
      <c r="A5045" s="1" t="s">
        <v>9787</v>
      </c>
      <c r="B5045" t="s">
        <v>9788</v>
      </c>
      <c r="C5045" t="s">
        <v>144</v>
      </c>
    </row>
    <row r="5046" spans="1:3" x14ac:dyDescent="0.4">
      <c r="A5046" s="1" t="s">
        <v>9789</v>
      </c>
      <c r="B5046" t="s">
        <v>9790</v>
      </c>
      <c r="C5046" t="s">
        <v>144</v>
      </c>
    </row>
    <row r="5047" spans="1:3" x14ac:dyDescent="0.4">
      <c r="A5047" s="1" t="s">
        <v>9791</v>
      </c>
      <c r="B5047" t="s">
        <v>9792</v>
      </c>
      <c r="C5047" t="s">
        <v>144</v>
      </c>
    </row>
    <row r="5048" spans="1:3" x14ac:dyDescent="0.4">
      <c r="A5048" s="1" t="s">
        <v>9793</v>
      </c>
      <c r="B5048" t="s">
        <v>9794</v>
      </c>
      <c r="C5048" t="s">
        <v>144</v>
      </c>
    </row>
    <row r="5049" spans="1:3" x14ac:dyDescent="0.4">
      <c r="A5049" s="1" t="s">
        <v>9795</v>
      </c>
      <c r="B5049" t="s">
        <v>9796</v>
      </c>
      <c r="C5049" t="s">
        <v>144</v>
      </c>
    </row>
    <row r="5050" spans="1:3" x14ac:dyDescent="0.4">
      <c r="A5050" s="1" t="s">
        <v>9797</v>
      </c>
      <c r="B5050" t="s">
        <v>9798</v>
      </c>
      <c r="C5050" t="s">
        <v>144</v>
      </c>
    </row>
    <row r="5051" spans="1:3" x14ac:dyDescent="0.4">
      <c r="A5051" s="1" t="s">
        <v>9799</v>
      </c>
      <c r="B5051" t="s">
        <v>9800</v>
      </c>
      <c r="C5051" t="s">
        <v>144</v>
      </c>
    </row>
    <row r="5052" spans="1:3" x14ac:dyDescent="0.4">
      <c r="A5052" s="1" t="s">
        <v>9801</v>
      </c>
      <c r="B5052" t="s">
        <v>9802</v>
      </c>
      <c r="C5052" t="s">
        <v>144</v>
      </c>
    </row>
    <row r="5053" spans="1:3" x14ac:dyDescent="0.4">
      <c r="A5053" s="1" t="s">
        <v>9803</v>
      </c>
      <c r="B5053" t="s">
        <v>9804</v>
      </c>
      <c r="C5053" t="s">
        <v>144</v>
      </c>
    </row>
    <row r="5054" spans="1:3" x14ac:dyDescent="0.4">
      <c r="A5054" s="1" t="s">
        <v>9805</v>
      </c>
      <c r="B5054" t="s">
        <v>9806</v>
      </c>
      <c r="C5054" t="s">
        <v>144</v>
      </c>
    </row>
    <row r="5055" spans="1:3" x14ac:dyDescent="0.4">
      <c r="A5055" s="1" t="s">
        <v>9807</v>
      </c>
      <c r="B5055" t="s">
        <v>9808</v>
      </c>
      <c r="C5055" t="s">
        <v>144</v>
      </c>
    </row>
    <row r="5056" spans="1:3" x14ac:dyDescent="0.4">
      <c r="A5056" s="1" t="s">
        <v>9809</v>
      </c>
      <c r="B5056" t="s">
        <v>9810</v>
      </c>
      <c r="C5056" t="s">
        <v>144</v>
      </c>
    </row>
    <row r="5057" spans="1:4" x14ac:dyDescent="0.4">
      <c r="A5057" s="1" t="s">
        <v>9811</v>
      </c>
      <c r="B5057" t="s">
        <v>9812</v>
      </c>
      <c r="C5057" t="s">
        <v>144</v>
      </c>
    </row>
    <row r="5058" spans="1:4" x14ac:dyDescent="0.4">
      <c r="A5058" s="1" t="s">
        <v>9813</v>
      </c>
      <c r="B5058" t="s">
        <v>9814</v>
      </c>
      <c r="C5058" t="s">
        <v>144</v>
      </c>
    </row>
    <row r="5059" spans="1:4" x14ac:dyDescent="0.4">
      <c r="A5059" s="1" t="s">
        <v>9815</v>
      </c>
      <c r="B5059" t="s">
        <v>9816</v>
      </c>
      <c r="C5059" t="s">
        <v>9652</v>
      </c>
    </row>
    <row r="5060" spans="1:4" x14ac:dyDescent="0.4">
      <c r="A5060" s="1" t="s">
        <v>9817</v>
      </c>
      <c r="B5060" t="s">
        <v>9818</v>
      </c>
      <c r="C5060" t="s">
        <v>9652</v>
      </c>
      <c r="D5060">
        <v>32500</v>
      </c>
    </row>
    <row r="5061" spans="1:4" x14ac:dyDescent="0.4">
      <c r="A5061" s="1" t="s">
        <v>9819</v>
      </c>
      <c r="B5061" t="s">
        <v>9820</v>
      </c>
      <c r="C5061" t="s">
        <v>9652</v>
      </c>
      <c r="D5061">
        <v>14000</v>
      </c>
    </row>
    <row r="5062" spans="1:4" x14ac:dyDescent="0.4">
      <c r="A5062" s="1" t="s">
        <v>9821</v>
      </c>
      <c r="B5062" t="s">
        <v>9822</v>
      </c>
      <c r="C5062" t="s">
        <v>9652</v>
      </c>
      <c r="D5062">
        <v>22000</v>
      </c>
    </row>
    <row r="5063" spans="1:4" x14ac:dyDescent="0.4">
      <c r="A5063" s="1" t="s">
        <v>9823</v>
      </c>
      <c r="B5063" t="s">
        <v>9824</v>
      </c>
      <c r="C5063" t="s">
        <v>9652</v>
      </c>
      <c r="D5063">
        <v>22000</v>
      </c>
    </row>
    <row r="5064" spans="1:4" x14ac:dyDescent="0.4">
      <c r="A5064" s="1" t="s">
        <v>9825</v>
      </c>
      <c r="B5064" t="s">
        <v>9826</v>
      </c>
      <c r="C5064" t="s">
        <v>9652</v>
      </c>
      <c r="D5064">
        <v>22000</v>
      </c>
    </row>
    <row r="5065" spans="1:4" x14ac:dyDescent="0.4">
      <c r="A5065" s="1" t="s">
        <v>9827</v>
      </c>
      <c r="B5065" t="s">
        <v>9828</v>
      </c>
      <c r="C5065" t="s">
        <v>9652</v>
      </c>
      <c r="D5065">
        <v>37000</v>
      </c>
    </row>
    <row r="5066" spans="1:4" x14ac:dyDescent="0.4">
      <c r="A5066" s="1" t="s">
        <v>9829</v>
      </c>
      <c r="B5066" t="s">
        <v>9830</v>
      </c>
      <c r="C5066" t="s">
        <v>9652</v>
      </c>
      <c r="D5066">
        <v>32100</v>
      </c>
    </row>
    <row r="5067" spans="1:4" x14ac:dyDescent="0.4">
      <c r="A5067" s="1" t="s">
        <v>9831</v>
      </c>
      <c r="B5067" t="s">
        <v>9832</v>
      </c>
      <c r="C5067" t="s">
        <v>9652</v>
      </c>
      <c r="D5067">
        <v>32100</v>
      </c>
    </row>
    <row r="5068" spans="1:4" x14ac:dyDescent="0.4">
      <c r="A5068" s="1" t="s">
        <v>9833</v>
      </c>
      <c r="B5068" t="s">
        <v>9834</v>
      </c>
      <c r="C5068" t="s">
        <v>9652</v>
      </c>
      <c r="D5068">
        <v>32100</v>
      </c>
    </row>
    <row r="5069" spans="1:4" x14ac:dyDescent="0.4">
      <c r="A5069" s="1" t="s">
        <v>9835</v>
      </c>
      <c r="B5069" t="s">
        <v>9836</v>
      </c>
      <c r="C5069" t="s">
        <v>9652</v>
      </c>
      <c r="D5069">
        <v>32500</v>
      </c>
    </row>
    <row r="5070" spans="1:4" x14ac:dyDescent="0.4">
      <c r="A5070" s="1" t="s">
        <v>9837</v>
      </c>
      <c r="B5070" t="s">
        <v>9838</v>
      </c>
      <c r="C5070" t="s">
        <v>9652</v>
      </c>
      <c r="D5070">
        <v>29600</v>
      </c>
    </row>
    <row r="5071" spans="1:4" x14ac:dyDescent="0.4">
      <c r="A5071" s="1" t="s">
        <v>9839</v>
      </c>
      <c r="B5071" t="s">
        <v>9840</v>
      </c>
      <c r="C5071" t="s">
        <v>9652</v>
      </c>
      <c r="D5071">
        <v>13800</v>
      </c>
    </row>
    <row r="5072" spans="1:4" x14ac:dyDescent="0.4">
      <c r="A5072" s="1" t="s">
        <v>9841</v>
      </c>
      <c r="B5072" t="s">
        <v>9842</v>
      </c>
      <c r="C5072" t="s">
        <v>9652</v>
      </c>
      <c r="D5072">
        <v>14400</v>
      </c>
    </row>
    <row r="5073" spans="1:4" x14ac:dyDescent="0.4">
      <c r="A5073" s="1" t="s">
        <v>9843</v>
      </c>
      <c r="B5073" t="s">
        <v>9844</v>
      </c>
      <c r="C5073" t="s">
        <v>9652</v>
      </c>
      <c r="D5073">
        <v>14400</v>
      </c>
    </row>
    <row r="5074" spans="1:4" x14ac:dyDescent="0.4">
      <c r="A5074" s="1" t="s">
        <v>9845</v>
      </c>
      <c r="B5074" t="s">
        <v>9846</v>
      </c>
      <c r="C5074" t="s">
        <v>9652</v>
      </c>
      <c r="D5074">
        <v>14400</v>
      </c>
    </row>
    <row r="5075" spans="1:4" x14ac:dyDescent="0.4">
      <c r="A5075" s="1" t="s">
        <v>9847</v>
      </c>
      <c r="B5075" t="s">
        <v>9848</v>
      </c>
      <c r="C5075" t="s">
        <v>9652</v>
      </c>
      <c r="D5075">
        <v>46500</v>
      </c>
    </row>
    <row r="5076" spans="1:4" x14ac:dyDescent="0.4">
      <c r="A5076" s="1" t="s">
        <v>9849</v>
      </c>
      <c r="B5076" t="s">
        <v>9850</v>
      </c>
      <c r="C5076" t="s">
        <v>9652</v>
      </c>
      <c r="D5076">
        <v>30700</v>
      </c>
    </row>
    <row r="5077" spans="1:4" x14ac:dyDescent="0.4">
      <c r="A5077" s="1" t="s">
        <v>9851</v>
      </c>
      <c r="B5077" t="s">
        <v>9852</v>
      </c>
      <c r="C5077" t="s">
        <v>9652</v>
      </c>
      <c r="D5077">
        <v>30700</v>
      </c>
    </row>
    <row r="5078" spans="1:4" x14ac:dyDescent="0.4">
      <c r="A5078" s="1" t="s">
        <v>9853</v>
      </c>
      <c r="B5078" t="s">
        <v>9854</v>
      </c>
      <c r="C5078" t="s">
        <v>9652</v>
      </c>
      <c r="D5078">
        <v>30700</v>
      </c>
    </row>
    <row r="5079" spans="1:4" x14ac:dyDescent="0.4">
      <c r="A5079" s="1" t="s">
        <v>9855</v>
      </c>
      <c r="B5079" t="s">
        <v>9856</v>
      </c>
      <c r="C5079" t="s">
        <v>9652</v>
      </c>
      <c r="D5079">
        <v>8600</v>
      </c>
    </row>
    <row r="5080" spans="1:4" x14ac:dyDescent="0.4">
      <c r="A5080" s="1" t="s">
        <v>9857</v>
      </c>
      <c r="B5080" t="s">
        <v>9858</v>
      </c>
      <c r="C5080" t="s">
        <v>9652</v>
      </c>
      <c r="D5080">
        <v>38700</v>
      </c>
    </row>
    <row r="5081" spans="1:4" x14ac:dyDescent="0.4">
      <c r="A5081" s="1" t="s">
        <v>9859</v>
      </c>
      <c r="B5081" t="s">
        <v>9860</v>
      </c>
      <c r="C5081" t="s">
        <v>9652</v>
      </c>
      <c r="D5081">
        <v>29600</v>
      </c>
    </row>
    <row r="5082" spans="1:4" x14ac:dyDescent="0.4">
      <c r="A5082" s="1" t="s">
        <v>9861</v>
      </c>
      <c r="B5082" t="s">
        <v>9862</v>
      </c>
      <c r="C5082" t="s">
        <v>9652</v>
      </c>
      <c r="D5082">
        <v>39600</v>
      </c>
    </row>
    <row r="5083" spans="1:4" x14ac:dyDescent="0.4">
      <c r="A5083" s="1" t="s">
        <v>9863</v>
      </c>
      <c r="B5083" t="s">
        <v>9864</v>
      </c>
      <c r="C5083" t="s">
        <v>9652</v>
      </c>
      <c r="D5083">
        <v>29600</v>
      </c>
    </row>
    <row r="5084" spans="1:4" x14ac:dyDescent="0.4">
      <c r="A5084" s="1" t="s">
        <v>9865</v>
      </c>
      <c r="B5084" t="s">
        <v>9866</v>
      </c>
      <c r="C5084" t="s">
        <v>9652</v>
      </c>
      <c r="D5084">
        <v>20800</v>
      </c>
    </row>
    <row r="5085" spans="1:4" x14ac:dyDescent="0.4">
      <c r="A5085" s="1" t="s">
        <v>9867</v>
      </c>
      <c r="B5085" t="s">
        <v>9868</v>
      </c>
      <c r="C5085" t="s">
        <v>9652</v>
      </c>
      <c r="D5085">
        <v>43900</v>
      </c>
    </row>
    <row r="5086" spans="1:4" x14ac:dyDescent="0.4">
      <c r="A5086" s="1" t="s">
        <v>9869</v>
      </c>
      <c r="B5086" t="s">
        <v>9870</v>
      </c>
      <c r="C5086" t="s">
        <v>9652</v>
      </c>
      <c r="D5086">
        <v>28300</v>
      </c>
    </row>
    <row r="5087" spans="1:4" x14ac:dyDescent="0.4">
      <c r="A5087" s="1" t="s">
        <v>9871</v>
      </c>
      <c r="B5087" t="s">
        <v>9872</v>
      </c>
      <c r="C5087" t="s">
        <v>9652</v>
      </c>
      <c r="D5087">
        <v>39800</v>
      </c>
    </row>
    <row r="5088" spans="1:4" x14ac:dyDescent="0.4">
      <c r="A5088" s="1" t="s">
        <v>9873</v>
      </c>
      <c r="B5088" t="s">
        <v>9874</v>
      </c>
      <c r="C5088" t="s">
        <v>9652</v>
      </c>
      <c r="D5088">
        <v>39800</v>
      </c>
    </row>
    <row r="5089" spans="1:4" x14ac:dyDescent="0.4">
      <c r="A5089" s="1" t="s">
        <v>9875</v>
      </c>
      <c r="B5089" t="s">
        <v>9876</v>
      </c>
      <c r="C5089" t="s">
        <v>9652</v>
      </c>
      <c r="D5089">
        <v>39800</v>
      </c>
    </row>
    <row r="5090" spans="1:4" x14ac:dyDescent="0.4">
      <c r="A5090" s="1" t="s">
        <v>9877</v>
      </c>
      <c r="B5090" t="s">
        <v>9878</v>
      </c>
      <c r="C5090" t="s">
        <v>9652</v>
      </c>
      <c r="D5090">
        <v>37500</v>
      </c>
    </row>
    <row r="5091" spans="1:4" x14ac:dyDescent="0.4">
      <c r="A5091" s="1" t="s">
        <v>9879</v>
      </c>
      <c r="B5091" t="s">
        <v>9880</v>
      </c>
      <c r="C5091" t="s">
        <v>9652</v>
      </c>
      <c r="D5091">
        <v>13800</v>
      </c>
    </row>
    <row r="5092" spans="1:4" x14ac:dyDescent="0.4">
      <c r="A5092" s="1" t="s">
        <v>9881</v>
      </c>
      <c r="B5092" t="s">
        <v>9882</v>
      </c>
      <c r="C5092" t="s">
        <v>9652</v>
      </c>
      <c r="D5092">
        <v>14400</v>
      </c>
    </row>
    <row r="5093" spans="1:4" x14ac:dyDescent="0.4">
      <c r="A5093" s="1" t="s">
        <v>9883</v>
      </c>
      <c r="B5093" t="s">
        <v>9884</v>
      </c>
      <c r="C5093" t="s">
        <v>9652</v>
      </c>
      <c r="D5093">
        <v>14400</v>
      </c>
    </row>
    <row r="5094" spans="1:4" x14ac:dyDescent="0.4">
      <c r="A5094" s="1" t="s">
        <v>9885</v>
      </c>
      <c r="B5094" t="s">
        <v>9886</v>
      </c>
      <c r="C5094" t="s">
        <v>9652</v>
      </c>
      <c r="D5094">
        <v>14400</v>
      </c>
    </row>
    <row r="5095" spans="1:4" x14ac:dyDescent="0.4">
      <c r="A5095" s="1" t="s">
        <v>9887</v>
      </c>
      <c r="B5095" t="s">
        <v>9888</v>
      </c>
      <c r="C5095" t="s">
        <v>9652</v>
      </c>
    </row>
    <row r="5096" spans="1:4" x14ac:dyDescent="0.4">
      <c r="A5096" s="1" t="s">
        <v>9889</v>
      </c>
      <c r="B5096" t="s">
        <v>9890</v>
      </c>
      <c r="C5096" t="s">
        <v>9652</v>
      </c>
    </row>
    <row r="5097" spans="1:4" x14ac:dyDescent="0.4">
      <c r="A5097" s="1" t="s">
        <v>9891</v>
      </c>
      <c r="B5097" t="s">
        <v>9892</v>
      </c>
      <c r="C5097" t="s">
        <v>9652</v>
      </c>
    </row>
    <row r="5098" spans="1:4" x14ac:dyDescent="0.4">
      <c r="A5098" s="1" t="s">
        <v>9893</v>
      </c>
      <c r="B5098" t="s">
        <v>9894</v>
      </c>
      <c r="C5098" t="s">
        <v>9652</v>
      </c>
    </row>
    <row r="5099" spans="1:4" x14ac:dyDescent="0.4">
      <c r="A5099" s="1" t="s">
        <v>9895</v>
      </c>
      <c r="B5099" t="s">
        <v>9896</v>
      </c>
      <c r="C5099" t="s">
        <v>9652</v>
      </c>
      <c r="D5099">
        <v>17900</v>
      </c>
    </row>
    <row r="5100" spans="1:4" x14ac:dyDescent="0.4">
      <c r="A5100" s="1" t="s">
        <v>9897</v>
      </c>
      <c r="B5100" t="s">
        <v>9898</v>
      </c>
      <c r="C5100" t="s">
        <v>9652</v>
      </c>
      <c r="D5100">
        <v>21900</v>
      </c>
    </row>
    <row r="5101" spans="1:4" x14ac:dyDescent="0.4">
      <c r="A5101" s="1" t="s">
        <v>9899</v>
      </c>
      <c r="B5101" t="s">
        <v>9900</v>
      </c>
      <c r="C5101" t="s">
        <v>9652</v>
      </c>
      <c r="D5101">
        <v>21900</v>
      </c>
    </row>
    <row r="5102" spans="1:4" x14ac:dyDescent="0.4">
      <c r="A5102" s="1" t="s">
        <v>9901</v>
      </c>
      <c r="B5102" t="s">
        <v>9902</v>
      </c>
      <c r="C5102" t="s">
        <v>9652</v>
      </c>
      <c r="D5102">
        <v>21900</v>
      </c>
    </row>
    <row r="5103" spans="1:4" x14ac:dyDescent="0.4">
      <c r="A5103" s="1" t="s">
        <v>9903</v>
      </c>
      <c r="B5103" t="s">
        <v>9904</v>
      </c>
      <c r="C5103" t="s">
        <v>9652</v>
      </c>
      <c r="D5103">
        <v>46200</v>
      </c>
    </row>
    <row r="5104" spans="1:4" x14ac:dyDescent="0.4">
      <c r="A5104" s="1" t="s">
        <v>9905</v>
      </c>
      <c r="B5104" t="s">
        <v>9906</v>
      </c>
      <c r="C5104" t="s">
        <v>9652</v>
      </c>
      <c r="D5104">
        <v>37000</v>
      </c>
    </row>
    <row r="5105" spans="1:4" x14ac:dyDescent="0.4">
      <c r="A5105" s="1" t="s">
        <v>9907</v>
      </c>
      <c r="B5105" t="s">
        <v>9908</v>
      </c>
      <c r="C5105" t="s">
        <v>9652</v>
      </c>
      <c r="D5105">
        <v>37000</v>
      </c>
    </row>
    <row r="5106" spans="1:4" x14ac:dyDescent="0.4">
      <c r="A5106" s="1" t="s">
        <v>9909</v>
      </c>
      <c r="B5106" t="s">
        <v>9910</v>
      </c>
      <c r="C5106" t="s">
        <v>9652</v>
      </c>
      <c r="D5106">
        <v>37000</v>
      </c>
    </row>
    <row r="5107" spans="1:4" x14ac:dyDescent="0.4">
      <c r="A5107" s="1" t="s">
        <v>9911</v>
      </c>
      <c r="B5107" t="s">
        <v>9912</v>
      </c>
      <c r="C5107" t="s">
        <v>9652</v>
      </c>
      <c r="D5107">
        <v>41600</v>
      </c>
    </row>
    <row r="5108" spans="1:4" x14ac:dyDescent="0.4">
      <c r="A5108" s="1" t="s">
        <v>9913</v>
      </c>
      <c r="B5108" t="s">
        <v>9914</v>
      </c>
      <c r="C5108" t="s">
        <v>9652</v>
      </c>
      <c r="D5108">
        <v>48500</v>
      </c>
    </row>
    <row r="5109" spans="1:4" x14ac:dyDescent="0.4">
      <c r="A5109" s="1" t="s">
        <v>9915</v>
      </c>
      <c r="B5109" t="s">
        <v>9916</v>
      </c>
      <c r="C5109" t="s">
        <v>9652</v>
      </c>
      <c r="D5109">
        <v>46500</v>
      </c>
    </row>
    <row r="5110" spans="1:4" x14ac:dyDescent="0.4">
      <c r="A5110" s="1" t="s">
        <v>9917</v>
      </c>
      <c r="B5110" t="s">
        <v>9918</v>
      </c>
      <c r="C5110" t="s">
        <v>9652</v>
      </c>
      <c r="D5110">
        <v>30700</v>
      </c>
    </row>
    <row r="5111" spans="1:4" x14ac:dyDescent="0.4">
      <c r="A5111" s="1" t="s">
        <v>9919</v>
      </c>
      <c r="B5111" t="s">
        <v>9920</v>
      </c>
      <c r="C5111" t="s">
        <v>9652</v>
      </c>
      <c r="D5111">
        <v>30700</v>
      </c>
    </row>
    <row r="5112" spans="1:4" x14ac:dyDescent="0.4">
      <c r="A5112" s="1" t="s">
        <v>9921</v>
      </c>
      <c r="B5112" t="s">
        <v>9922</v>
      </c>
      <c r="C5112" t="s">
        <v>9652</v>
      </c>
      <c r="D5112">
        <v>30700</v>
      </c>
    </row>
    <row r="5113" spans="1:4" x14ac:dyDescent="0.4">
      <c r="A5113" s="1" t="s">
        <v>9923</v>
      </c>
      <c r="B5113" t="s">
        <v>9924</v>
      </c>
      <c r="C5113" t="s">
        <v>9652</v>
      </c>
      <c r="D5113">
        <v>38700</v>
      </c>
    </row>
    <row r="5114" spans="1:4" x14ac:dyDescent="0.4">
      <c r="A5114" s="1" t="s">
        <v>9925</v>
      </c>
      <c r="B5114" t="s">
        <v>9926</v>
      </c>
      <c r="C5114" t="s">
        <v>9652</v>
      </c>
      <c r="D5114">
        <v>29600</v>
      </c>
    </row>
    <row r="5115" spans="1:4" x14ac:dyDescent="0.4">
      <c r="A5115" s="1" t="s">
        <v>9927</v>
      </c>
      <c r="B5115" t="s">
        <v>9928</v>
      </c>
      <c r="C5115" t="s">
        <v>9652</v>
      </c>
      <c r="D5115">
        <v>29600</v>
      </c>
    </row>
    <row r="5116" spans="1:4" x14ac:dyDescent="0.4">
      <c r="A5116" s="1" t="s">
        <v>9929</v>
      </c>
      <c r="B5116" t="s">
        <v>9930</v>
      </c>
      <c r="C5116" t="s">
        <v>9652</v>
      </c>
      <c r="D5116">
        <v>32000</v>
      </c>
    </row>
    <row r="5117" spans="1:4" x14ac:dyDescent="0.4">
      <c r="A5117" s="1" t="s">
        <v>9931</v>
      </c>
      <c r="B5117" t="s">
        <v>9932</v>
      </c>
      <c r="C5117" t="s">
        <v>9652</v>
      </c>
      <c r="D5117">
        <v>32000</v>
      </c>
    </row>
    <row r="5118" spans="1:4" x14ac:dyDescent="0.4">
      <c r="A5118" s="1" t="s">
        <v>9933</v>
      </c>
      <c r="B5118" t="s">
        <v>9934</v>
      </c>
      <c r="C5118" t="s">
        <v>9652</v>
      </c>
      <c r="D5118">
        <v>32000</v>
      </c>
    </row>
    <row r="5119" spans="1:4" x14ac:dyDescent="0.4">
      <c r="A5119" s="1" t="s">
        <v>9935</v>
      </c>
      <c r="B5119" t="s">
        <v>9936</v>
      </c>
      <c r="C5119" t="s">
        <v>9652</v>
      </c>
      <c r="D5119">
        <v>32000</v>
      </c>
    </row>
    <row r="5120" spans="1:4" x14ac:dyDescent="0.4">
      <c r="A5120" s="1" t="s">
        <v>9937</v>
      </c>
      <c r="B5120" t="s">
        <v>9938</v>
      </c>
      <c r="C5120" t="s">
        <v>9652</v>
      </c>
      <c r="D5120">
        <v>46200</v>
      </c>
    </row>
    <row r="5121" spans="1:4" x14ac:dyDescent="0.4">
      <c r="A5121" s="1" t="s">
        <v>9939</v>
      </c>
      <c r="B5121" t="s">
        <v>9940</v>
      </c>
      <c r="C5121" t="s">
        <v>9652</v>
      </c>
      <c r="D5121">
        <v>37000</v>
      </c>
    </row>
    <row r="5122" spans="1:4" x14ac:dyDescent="0.4">
      <c r="A5122" s="1" t="s">
        <v>9941</v>
      </c>
      <c r="B5122" t="s">
        <v>9942</v>
      </c>
      <c r="C5122" t="s">
        <v>9652</v>
      </c>
      <c r="D5122">
        <v>37000</v>
      </c>
    </row>
    <row r="5123" spans="1:4" x14ac:dyDescent="0.4">
      <c r="A5123" s="1" t="s">
        <v>9943</v>
      </c>
      <c r="B5123" t="s">
        <v>9944</v>
      </c>
      <c r="C5123" t="s">
        <v>9652</v>
      </c>
      <c r="D5123">
        <v>37000</v>
      </c>
    </row>
    <row r="5124" spans="1:4" x14ac:dyDescent="0.4">
      <c r="A5124" s="1" t="s">
        <v>9945</v>
      </c>
      <c r="B5124" t="s">
        <v>9946</v>
      </c>
      <c r="C5124" t="s">
        <v>9652</v>
      </c>
      <c r="D5124">
        <v>62400</v>
      </c>
    </row>
    <row r="5125" spans="1:4" x14ac:dyDescent="0.4">
      <c r="A5125" s="1" t="s">
        <v>9947</v>
      </c>
      <c r="B5125" t="s">
        <v>9948</v>
      </c>
      <c r="C5125" t="s">
        <v>9652</v>
      </c>
      <c r="D5125">
        <v>59000</v>
      </c>
    </row>
    <row r="5126" spans="1:4" x14ac:dyDescent="0.4">
      <c r="A5126" s="1" t="s">
        <v>9949</v>
      </c>
      <c r="B5126" t="s">
        <v>9950</v>
      </c>
      <c r="C5126" t="s">
        <v>9652</v>
      </c>
      <c r="D5126">
        <v>45100</v>
      </c>
    </row>
    <row r="5127" spans="1:4" x14ac:dyDescent="0.4">
      <c r="A5127" s="1" t="s">
        <v>9951</v>
      </c>
      <c r="B5127" t="s">
        <v>9952</v>
      </c>
      <c r="C5127" t="s">
        <v>9652</v>
      </c>
      <c r="D5127">
        <v>45100</v>
      </c>
    </row>
    <row r="5128" spans="1:4" x14ac:dyDescent="0.4">
      <c r="A5128" s="1" t="s">
        <v>9953</v>
      </c>
      <c r="B5128" t="s">
        <v>9954</v>
      </c>
      <c r="C5128" t="s">
        <v>9652</v>
      </c>
      <c r="D5128">
        <v>45100</v>
      </c>
    </row>
    <row r="5129" spans="1:4" x14ac:dyDescent="0.4">
      <c r="A5129" s="1" t="s">
        <v>9955</v>
      </c>
      <c r="B5129" t="s">
        <v>9956</v>
      </c>
      <c r="C5129" t="s">
        <v>9652</v>
      </c>
    </row>
    <row r="5130" spans="1:4" x14ac:dyDescent="0.4">
      <c r="A5130" s="1" t="s">
        <v>9957</v>
      </c>
      <c r="B5130" t="s">
        <v>9958</v>
      </c>
      <c r="C5130" t="s">
        <v>9652</v>
      </c>
    </row>
    <row r="5131" spans="1:4" x14ac:dyDescent="0.4">
      <c r="A5131" s="1" t="s">
        <v>9959</v>
      </c>
      <c r="B5131" t="s">
        <v>9960</v>
      </c>
      <c r="C5131" t="s">
        <v>9652</v>
      </c>
    </row>
    <row r="5132" spans="1:4" x14ac:dyDescent="0.4">
      <c r="A5132" s="1" t="s">
        <v>9961</v>
      </c>
      <c r="B5132" t="s">
        <v>9962</v>
      </c>
      <c r="C5132" t="s">
        <v>9652</v>
      </c>
    </row>
    <row r="5133" spans="1:4" x14ac:dyDescent="0.4">
      <c r="A5133" s="1" t="s">
        <v>9963</v>
      </c>
      <c r="B5133" t="s">
        <v>9964</v>
      </c>
      <c r="C5133" t="s">
        <v>9652</v>
      </c>
    </row>
    <row r="5134" spans="1:4" x14ac:dyDescent="0.4">
      <c r="A5134" s="1" t="s">
        <v>9965</v>
      </c>
      <c r="B5134" t="s">
        <v>9966</v>
      </c>
      <c r="C5134" t="s">
        <v>9652</v>
      </c>
      <c r="D5134">
        <v>41600</v>
      </c>
    </row>
    <row r="5135" spans="1:4" x14ac:dyDescent="0.4">
      <c r="A5135" s="1" t="s">
        <v>9967</v>
      </c>
      <c r="B5135" t="s">
        <v>9968</v>
      </c>
      <c r="C5135" t="s">
        <v>9652</v>
      </c>
      <c r="D5135">
        <v>48500</v>
      </c>
    </row>
    <row r="5136" spans="1:4" x14ac:dyDescent="0.4">
      <c r="A5136" s="1" t="s">
        <v>9969</v>
      </c>
      <c r="B5136" t="s">
        <v>9970</v>
      </c>
      <c r="C5136" t="s">
        <v>9652</v>
      </c>
      <c r="D5136">
        <v>46200</v>
      </c>
    </row>
    <row r="5137" spans="1:4" x14ac:dyDescent="0.4">
      <c r="A5137" s="1" t="s">
        <v>9971</v>
      </c>
      <c r="B5137" t="s">
        <v>9972</v>
      </c>
      <c r="C5137" t="s">
        <v>9652</v>
      </c>
    </row>
    <row r="5138" spans="1:4" x14ac:dyDescent="0.4">
      <c r="A5138" s="1" t="s">
        <v>9973</v>
      </c>
      <c r="B5138" t="s">
        <v>9974</v>
      </c>
      <c r="C5138" t="s">
        <v>9652</v>
      </c>
      <c r="D5138">
        <v>37000</v>
      </c>
    </row>
    <row r="5139" spans="1:4" x14ac:dyDescent="0.4">
      <c r="A5139" s="1" t="s">
        <v>9975</v>
      </c>
      <c r="B5139" t="s">
        <v>9976</v>
      </c>
      <c r="C5139" t="s">
        <v>9652</v>
      </c>
      <c r="D5139">
        <v>37000</v>
      </c>
    </row>
    <row r="5140" spans="1:4" x14ac:dyDescent="0.4">
      <c r="A5140" s="1" t="s">
        <v>9977</v>
      </c>
      <c r="B5140" t="s">
        <v>9978</v>
      </c>
      <c r="C5140" t="s">
        <v>9652</v>
      </c>
      <c r="D5140">
        <v>62400</v>
      </c>
    </row>
    <row r="5141" spans="1:4" x14ac:dyDescent="0.4">
      <c r="A5141" s="1" t="s">
        <v>9979</v>
      </c>
      <c r="B5141" t="s">
        <v>9980</v>
      </c>
      <c r="C5141" t="s">
        <v>9652</v>
      </c>
      <c r="D5141">
        <v>85000</v>
      </c>
    </row>
    <row r="5142" spans="1:4" x14ac:dyDescent="0.4">
      <c r="A5142" s="1" t="s">
        <v>9981</v>
      </c>
      <c r="B5142" t="s">
        <v>9982</v>
      </c>
      <c r="C5142" t="s">
        <v>9652</v>
      </c>
      <c r="D5142">
        <v>42000</v>
      </c>
    </row>
    <row r="5143" spans="1:4" x14ac:dyDescent="0.4">
      <c r="A5143" s="1" t="s">
        <v>9983</v>
      </c>
      <c r="B5143" t="s">
        <v>9984</v>
      </c>
      <c r="C5143" t="s">
        <v>9652</v>
      </c>
      <c r="D5143">
        <v>31500</v>
      </c>
    </row>
    <row r="5144" spans="1:4" x14ac:dyDescent="0.4">
      <c r="A5144" s="1" t="s">
        <v>9985</v>
      </c>
      <c r="B5144" t="s">
        <v>9986</v>
      </c>
      <c r="C5144" t="s">
        <v>9652</v>
      </c>
      <c r="D5144">
        <v>52000</v>
      </c>
    </row>
    <row r="5145" spans="1:4" x14ac:dyDescent="0.4">
      <c r="A5145" s="1" t="s">
        <v>9987</v>
      </c>
      <c r="B5145" t="s">
        <v>9988</v>
      </c>
      <c r="C5145" t="s">
        <v>9652</v>
      </c>
      <c r="D5145">
        <v>82000</v>
      </c>
    </row>
    <row r="5146" spans="1:4" x14ac:dyDescent="0.4">
      <c r="A5146" s="1" t="s">
        <v>9989</v>
      </c>
      <c r="B5146" t="s">
        <v>9990</v>
      </c>
      <c r="C5146" t="s">
        <v>9652</v>
      </c>
      <c r="D5146">
        <v>13900</v>
      </c>
    </row>
    <row r="5147" spans="1:4" x14ac:dyDescent="0.4">
      <c r="A5147" s="1" t="s">
        <v>9991</v>
      </c>
      <c r="B5147" t="s">
        <v>9992</v>
      </c>
      <c r="C5147" t="s">
        <v>9652</v>
      </c>
      <c r="D5147">
        <v>13900</v>
      </c>
    </row>
    <row r="5148" spans="1:4" x14ac:dyDescent="0.4">
      <c r="A5148" s="1" t="s">
        <v>9993</v>
      </c>
      <c r="B5148" t="s">
        <v>9994</v>
      </c>
      <c r="C5148" t="s">
        <v>9652</v>
      </c>
      <c r="D5148">
        <v>46200</v>
      </c>
    </row>
    <row r="5149" spans="1:4" x14ac:dyDescent="0.4">
      <c r="A5149" s="1" t="s">
        <v>9995</v>
      </c>
      <c r="B5149" t="s">
        <v>9996</v>
      </c>
      <c r="C5149" t="s">
        <v>9652</v>
      </c>
      <c r="D5149">
        <v>55000</v>
      </c>
    </row>
    <row r="5150" spans="1:4" x14ac:dyDescent="0.4">
      <c r="A5150" s="1" t="s">
        <v>9997</v>
      </c>
      <c r="B5150" t="s">
        <v>9998</v>
      </c>
      <c r="C5150" t="s">
        <v>9652</v>
      </c>
      <c r="D5150">
        <v>42800</v>
      </c>
    </row>
    <row r="5151" spans="1:4" x14ac:dyDescent="0.4">
      <c r="A5151" s="1" t="s">
        <v>9999</v>
      </c>
      <c r="B5151" t="s">
        <v>10000</v>
      </c>
      <c r="C5151" t="s">
        <v>9652</v>
      </c>
      <c r="D5151">
        <v>94700</v>
      </c>
    </row>
    <row r="5152" spans="1:4" x14ac:dyDescent="0.4">
      <c r="A5152" s="1" t="s">
        <v>10001</v>
      </c>
      <c r="B5152" t="s">
        <v>10002</v>
      </c>
      <c r="C5152" t="s">
        <v>9652</v>
      </c>
      <c r="D5152">
        <v>52700</v>
      </c>
    </row>
    <row r="5153" spans="1:4" x14ac:dyDescent="0.4">
      <c r="A5153" s="1" t="s">
        <v>10003</v>
      </c>
      <c r="B5153" t="s">
        <v>10004</v>
      </c>
      <c r="C5153" t="s">
        <v>9652</v>
      </c>
    </row>
    <row r="5154" spans="1:4" x14ac:dyDescent="0.4">
      <c r="A5154" s="1" t="s">
        <v>10005</v>
      </c>
      <c r="B5154" t="s">
        <v>10006</v>
      </c>
      <c r="C5154" t="s">
        <v>9652</v>
      </c>
    </row>
    <row r="5155" spans="1:4" x14ac:dyDescent="0.4">
      <c r="A5155" s="1" t="s">
        <v>10007</v>
      </c>
      <c r="B5155" t="s">
        <v>10008</v>
      </c>
      <c r="C5155" t="s">
        <v>5</v>
      </c>
      <c r="D5155">
        <v>2500</v>
      </c>
    </row>
    <row r="5156" spans="1:4" x14ac:dyDescent="0.4">
      <c r="A5156" s="1" t="s">
        <v>10009</v>
      </c>
      <c r="B5156" t="s">
        <v>10010</v>
      </c>
      <c r="C5156" t="s">
        <v>9652</v>
      </c>
      <c r="D5156">
        <v>70800</v>
      </c>
    </row>
    <row r="5157" spans="1:4" x14ac:dyDescent="0.4">
      <c r="A5157" s="1" t="s">
        <v>10011</v>
      </c>
      <c r="B5157" t="s">
        <v>10012</v>
      </c>
      <c r="C5157" t="s">
        <v>9652</v>
      </c>
      <c r="D5157">
        <v>85000</v>
      </c>
    </row>
    <row r="5158" spans="1:4" x14ac:dyDescent="0.4">
      <c r="A5158" s="1" t="s">
        <v>10013</v>
      </c>
      <c r="B5158" t="s">
        <v>10014</v>
      </c>
      <c r="C5158" t="s">
        <v>9652</v>
      </c>
      <c r="D5158">
        <v>93500</v>
      </c>
    </row>
    <row r="5159" spans="1:4" x14ac:dyDescent="0.4">
      <c r="A5159" s="1" t="s">
        <v>10015</v>
      </c>
      <c r="B5159" t="s">
        <v>10016</v>
      </c>
      <c r="C5159" t="s">
        <v>9652</v>
      </c>
      <c r="D5159">
        <v>31800</v>
      </c>
    </row>
    <row r="5160" spans="1:4" x14ac:dyDescent="0.4">
      <c r="A5160" s="1" t="s">
        <v>10017</v>
      </c>
      <c r="B5160" t="s">
        <v>10018</v>
      </c>
      <c r="C5160" t="s">
        <v>9652</v>
      </c>
      <c r="D5160">
        <v>43000</v>
      </c>
    </row>
    <row r="5161" spans="1:4" x14ac:dyDescent="0.4">
      <c r="A5161" s="1" t="s">
        <v>10019</v>
      </c>
      <c r="B5161" t="s">
        <v>10020</v>
      </c>
      <c r="C5161" t="s">
        <v>9652</v>
      </c>
      <c r="D5161">
        <v>55000</v>
      </c>
    </row>
    <row r="5162" spans="1:4" x14ac:dyDescent="0.4">
      <c r="A5162" s="1" t="s">
        <v>10021</v>
      </c>
      <c r="B5162" t="s">
        <v>10022</v>
      </c>
      <c r="C5162" t="s">
        <v>9652</v>
      </c>
      <c r="D5162">
        <v>21000</v>
      </c>
    </row>
    <row r="5163" spans="1:4" x14ac:dyDescent="0.4">
      <c r="A5163" s="1" t="s">
        <v>10023</v>
      </c>
      <c r="B5163" t="s">
        <v>10024</v>
      </c>
      <c r="C5163" t="s">
        <v>9652</v>
      </c>
      <c r="D5163">
        <v>60000</v>
      </c>
    </row>
    <row r="5164" spans="1:4" x14ac:dyDescent="0.4">
      <c r="A5164" s="1" t="s">
        <v>10025</v>
      </c>
      <c r="B5164" t="s">
        <v>10026</v>
      </c>
      <c r="C5164" t="s">
        <v>9652</v>
      </c>
      <c r="D5164">
        <v>71400</v>
      </c>
    </row>
    <row r="5165" spans="1:4" x14ac:dyDescent="0.4">
      <c r="A5165" s="1" t="s">
        <v>10027</v>
      </c>
      <c r="B5165" t="s">
        <v>10028</v>
      </c>
      <c r="C5165" t="s">
        <v>9652</v>
      </c>
    </row>
    <row r="5166" spans="1:4" x14ac:dyDescent="0.4">
      <c r="A5166" s="1" t="s">
        <v>10029</v>
      </c>
      <c r="B5166" t="s">
        <v>10030</v>
      </c>
      <c r="C5166" t="s">
        <v>9652</v>
      </c>
    </row>
    <row r="5167" spans="1:4" x14ac:dyDescent="0.4">
      <c r="A5167" s="1" t="s">
        <v>10031</v>
      </c>
      <c r="B5167" t="s">
        <v>10032</v>
      </c>
      <c r="C5167" t="s">
        <v>144</v>
      </c>
    </row>
    <row r="5168" spans="1:4" x14ac:dyDescent="0.4">
      <c r="A5168" s="1" t="s">
        <v>10033</v>
      </c>
      <c r="B5168" t="s">
        <v>10034</v>
      </c>
      <c r="C5168" t="s">
        <v>9652</v>
      </c>
    </row>
    <row r="5169" spans="1:4" x14ac:dyDescent="0.4">
      <c r="A5169" s="1" t="s">
        <v>10035</v>
      </c>
      <c r="B5169" t="s">
        <v>10036</v>
      </c>
      <c r="C5169" t="s">
        <v>144</v>
      </c>
    </row>
    <row r="5170" spans="1:4" x14ac:dyDescent="0.4">
      <c r="A5170" s="1" t="s">
        <v>10037</v>
      </c>
      <c r="B5170" t="s">
        <v>10038</v>
      </c>
      <c r="C5170" t="s">
        <v>9652</v>
      </c>
    </row>
    <row r="5171" spans="1:4" x14ac:dyDescent="0.4">
      <c r="A5171" s="1" t="s">
        <v>10039</v>
      </c>
      <c r="B5171" t="s">
        <v>10040</v>
      </c>
      <c r="C5171" t="s">
        <v>144</v>
      </c>
    </row>
    <row r="5172" spans="1:4" x14ac:dyDescent="0.4">
      <c r="A5172" s="1" t="s">
        <v>10041</v>
      </c>
      <c r="B5172" t="s">
        <v>10042</v>
      </c>
      <c r="C5172" t="s">
        <v>9652</v>
      </c>
    </row>
    <row r="5173" spans="1:4" x14ac:dyDescent="0.4">
      <c r="A5173" s="1" t="s">
        <v>10043</v>
      </c>
      <c r="B5173" t="s">
        <v>10044</v>
      </c>
      <c r="C5173" t="s">
        <v>144</v>
      </c>
    </row>
    <row r="5174" spans="1:4" x14ac:dyDescent="0.4">
      <c r="A5174" s="1" t="s">
        <v>10045</v>
      </c>
      <c r="B5174" t="s">
        <v>10046</v>
      </c>
      <c r="C5174" t="s">
        <v>144</v>
      </c>
    </row>
    <row r="5175" spans="1:4" x14ac:dyDescent="0.4">
      <c r="A5175" s="1" t="s">
        <v>10047</v>
      </c>
      <c r="B5175" t="s">
        <v>10048</v>
      </c>
      <c r="C5175" t="s">
        <v>144</v>
      </c>
    </row>
    <row r="5176" spans="1:4" x14ac:dyDescent="0.4">
      <c r="A5176" s="1" t="s">
        <v>10049</v>
      </c>
      <c r="B5176" t="s">
        <v>10050</v>
      </c>
      <c r="C5176" t="s">
        <v>144</v>
      </c>
    </row>
    <row r="5177" spans="1:4" x14ac:dyDescent="0.4">
      <c r="A5177" s="1" t="s">
        <v>10051</v>
      </c>
      <c r="B5177" t="s">
        <v>10052</v>
      </c>
      <c r="C5177" t="s">
        <v>144</v>
      </c>
    </row>
    <row r="5178" spans="1:4" x14ac:dyDescent="0.4">
      <c r="A5178" s="1" t="s">
        <v>10053</v>
      </c>
      <c r="B5178" t="s">
        <v>10054</v>
      </c>
      <c r="C5178" t="s">
        <v>9652</v>
      </c>
    </row>
    <row r="5179" spans="1:4" x14ac:dyDescent="0.4">
      <c r="A5179" s="1" t="s">
        <v>10055</v>
      </c>
      <c r="B5179" t="s">
        <v>10056</v>
      </c>
      <c r="C5179" t="s">
        <v>9652</v>
      </c>
    </row>
    <row r="5180" spans="1:4" x14ac:dyDescent="0.4">
      <c r="A5180" s="1" t="s">
        <v>10057</v>
      </c>
      <c r="B5180" t="s">
        <v>10058</v>
      </c>
      <c r="C5180" t="s">
        <v>9652</v>
      </c>
    </row>
    <row r="5181" spans="1:4" x14ac:dyDescent="0.4">
      <c r="A5181" s="1" t="s">
        <v>10059</v>
      </c>
      <c r="B5181" t="s">
        <v>10060</v>
      </c>
      <c r="C5181" t="s">
        <v>9652</v>
      </c>
    </row>
    <row r="5182" spans="1:4" x14ac:dyDescent="0.4">
      <c r="A5182" s="1" t="s">
        <v>10061</v>
      </c>
      <c r="B5182" t="s">
        <v>10062</v>
      </c>
      <c r="C5182" t="s">
        <v>9652</v>
      </c>
      <c r="D5182">
        <v>21000</v>
      </c>
    </row>
    <row r="5183" spans="1:4" x14ac:dyDescent="0.4">
      <c r="A5183" s="1" t="s">
        <v>10063</v>
      </c>
      <c r="B5183" t="s">
        <v>10064</v>
      </c>
      <c r="C5183" t="s">
        <v>9652</v>
      </c>
    </row>
    <row r="5184" spans="1:4" x14ac:dyDescent="0.4">
      <c r="A5184" s="1" t="s">
        <v>10065</v>
      </c>
      <c r="B5184" t="s">
        <v>10066</v>
      </c>
      <c r="C5184" t="s">
        <v>9652</v>
      </c>
    </row>
    <row r="5185" spans="1:3" x14ac:dyDescent="0.4">
      <c r="A5185" s="1" t="s">
        <v>10067</v>
      </c>
      <c r="B5185" t="s">
        <v>10068</v>
      </c>
      <c r="C5185" t="s">
        <v>9652</v>
      </c>
    </row>
    <row r="5186" spans="1:3" x14ac:dyDescent="0.4">
      <c r="A5186" s="1" t="s">
        <v>10069</v>
      </c>
      <c r="B5186" t="s">
        <v>10070</v>
      </c>
      <c r="C5186" t="s">
        <v>9652</v>
      </c>
    </row>
    <row r="5187" spans="1:3" x14ac:dyDescent="0.4">
      <c r="A5187" s="1" t="s">
        <v>10071</v>
      </c>
      <c r="B5187" t="s">
        <v>10072</v>
      </c>
      <c r="C5187" t="s">
        <v>9652</v>
      </c>
    </row>
    <row r="5188" spans="1:3" x14ac:dyDescent="0.4">
      <c r="A5188" s="1" t="s">
        <v>10073</v>
      </c>
      <c r="B5188" t="s">
        <v>10074</v>
      </c>
      <c r="C5188" t="s">
        <v>9652</v>
      </c>
    </row>
    <row r="5189" spans="1:3" x14ac:dyDescent="0.4">
      <c r="A5189" s="1" t="s">
        <v>10075</v>
      </c>
      <c r="B5189" t="s">
        <v>10076</v>
      </c>
      <c r="C5189" t="s">
        <v>9652</v>
      </c>
    </row>
    <row r="5190" spans="1:3" x14ac:dyDescent="0.4">
      <c r="A5190" s="1" t="s">
        <v>10077</v>
      </c>
      <c r="B5190" t="s">
        <v>10078</v>
      </c>
      <c r="C5190" t="s">
        <v>9652</v>
      </c>
    </row>
    <row r="5191" spans="1:3" x14ac:dyDescent="0.4">
      <c r="A5191" s="1" t="s">
        <v>10079</v>
      </c>
      <c r="B5191" t="s">
        <v>10080</v>
      </c>
      <c r="C5191" t="s">
        <v>9652</v>
      </c>
    </row>
    <row r="5192" spans="1:3" x14ac:dyDescent="0.4">
      <c r="A5192" s="1" t="s">
        <v>10081</v>
      </c>
      <c r="B5192" t="s">
        <v>10082</v>
      </c>
      <c r="C5192" t="s">
        <v>9652</v>
      </c>
    </row>
    <row r="5193" spans="1:3" x14ac:dyDescent="0.4">
      <c r="A5193" s="1" t="s">
        <v>10083</v>
      </c>
      <c r="B5193" t="s">
        <v>10084</v>
      </c>
      <c r="C5193" t="s">
        <v>9652</v>
      </c>
    </row>
    <row r="5194" spans="1:3" x14ac:dyDescent="0.4">
      <c r="A5194" s="1" t="s">
        <v>10085</v>
      </c>
      <c r="B5194" t="s">
        <v>10086</v>
      </c>
      <c r="C5194" t="s">
        <v>9652</v>
      </c>
    </row>
    <row r="5195" spans="1:3" x14ac:dyDescent="0.4">
      <c r="A5195" s="1" t="s">
        <v>10087</v>
      </c>
      <c r="B5195" t="s">
        <v>10088</v>
      </c>
      <c r="C5195" t="s">
        <v>9652</v>
      </c>
    </row>
    <row r="5196" spans="1:3" x14ac:dyDescent="0.4">
      <c r="A5196" s="1" t="s">
        <v>10089</v>
      </c>
      <c r="B5196" t="s">
        <v>10090</v>
      </c>
      <c r="C5196" t="s">
        <v>9652</v>
      </c>
    </row>
    <row r="5197" spans="1:3" x14ac:dyDescent="0.4">
      <c r="A5197" s="1" t="s">
        <v>10091</v>
      </c>
      <c r="B5197" t="s">
        <v>10092</v>
      </c>
      <c r="C5197" t="s">
        <v>9652</v>
      </c>
    </row>
    <row r="5198" spans="1:3" x14ac:dyDescent="0.4">
      <c r="A5198" s="1" t="s">
        <v>10093</v>
      </c>
      <c r="B5198" t="s">
        <v>10094</v>
      </c>
      <c r="C5198" t="s">
        <v>9652</v>
      </c>
    </row>
    <row r="5199" spans="1:3" x14ac:dyDescent="0.4">
      <c r="A5199" s="1" t="s">
        <v>10095</v>
      </c>
      <c r="B5199" t="s">
        <v>10096</v>
      </c>
      <c r="C5199" t="s">
        <v>9652</v>
      </c>
    </row>
    <row r="5200" spans="1:3" x14ac:dyDescent="0.4">
      <c r="A5200" s="1" t="s">
        <v>10097</v>
      </c>
      <c r="B5200" t="s">
        <v>10098</v>
      </c>
      <c r="C5200" t="s">
        <v>9652</v>
      </c>
    </row>
    <row r="5201" spans="1:4" x14ac:dyDescent="0.4">
      <c r="A5201" s="1" t="s">
        <v>10099</v>
      </c>
      <c r="B5201" t="s">
        <v>10100</v>
      </c>
      <c r="C5201" t="s">
        <v>9652</v>
      </c>
    </row>
    <row r="5202" spans="1:4" x14ac:dyDescent="0.4">
      <c r="A5202" s="1" t="s">
        <v>10101</v>
      </c>
      <c r="B5202" t="s">
        <v>10102</v>
      </c>
      <c r="C5202" t="s">
        <v>9652</v>
      </c>
    </row>
    <row r="5203" spans="1:4" x14ac:dyDescent="0.4">
      <c r="A5203" s="1" t="s">
        <v>10103</v>
      </c>
      <c r="B5203" t="s">
        <v>10104</v>
      </c>
      <c r="C5203" t="s">
        <v>9652</v>
      </c>
    </row>
    <row r="5204" spans="1:4" x14ac:dyDescent="0.4">
      <c r="A5204" s="1" t="s">
        <v>10105</v>
      </c>
      <c r="B5204" t="s">
        <v>10106</v>
      </c>
      <c r="C5204" t="s">
        <v>9652</v>
      </c>
    </row>
    <row r="5205" spans="1:4" x14ac:dyDescent="0.4">
      <c r="A5205" s="1" t="s">
        <v>10107</v>
      </c>
      <c r="B5205" t="s">
        <v>10108</v>
      </c>
      <c r="C5205" t="s">
        <v>9652</v>
      </c>
    </row>
    <row r="5206" spans="1:4" x14ac:dyDescent="0.4">
      <c r="A5206" s="1" t="s">
        <v>10109</v>
      </c>
      <c r="B5206" t="s">
        <v>10110</v>
      </c>
      <c r="C5206" t="s">
        <v>9652</v>
      </c>
    </row>
    <row r="5207" spans="1:4" x14ac:dyDescent="0.4">
      <c r="A5207" s="1" t="s">
        <v>10111</v>
      </c>
      <c r="B5207" t="s">
        <v>10112</v>
      </c>
      <c r="C5207" t="s">
        <v>9652</v>
      </c>
    </row>
    <row r="5208" spans="1:4" x14ac:dyDescent="0.4">
      <c r="A5208" s="1" t="s">
        <v>10113</v>
      </c>
      <c r="B5208" t="s">
        <v>10114</v>
      </c>
      <c r="C5208" t="s">
        <v>9652</v>
      </c>
    </row>
    <row r="5209" spans="1:4" x14ac:dyDescent="0.4">
      <c r="A5209" s="1" t="s">
        <v>10115</v>
      </c>
      <c r="B5209" t="s">
        <v>10116</v>
      </c>
      <c r="C5209" t="s">
        <v>9652</v>
      </c>
    </row>
    <row r="5210" spans="1:4" x14ac:dyDescent="0.4">
      <c r="A5210" s="1" t="s">
        <v>10117</v>
      </c>
      <c r="B5210" t="s">
        <v>10118</v>
      </c>
      <c r="C5210" t="s">
        <v>9652</v>
      </c>
    </row>
    <row r="5211" spans="1:4" x14ac:dyDescent="0.4">
      <c r="A5211" s="1" t="s">
        <v>10119</v>
      </c>
      <c r="B5211" t="s">
        <v>10120</v>
      </c>
      <c r="C5211" t="s">
        <v>9652</v>
      </c>
    </row>
    <row r="5212" spans="1:4" x14ac:dyDescent="0.4">
      <c r="A5212" s="1" t="s">
        <v>10121</v>
      </c>
      <c r="B5212" t="s">
        <v>10122</v>
      </c>
      <c r="C5212" t="s">
        <v>9652</v>
      </c>
    </row>
    <row r="5213" spans="1:4" x14ac:dyDescent="0.4">
      <c r="A5213" s="1" t="s">
        <v>10123</v>
      </c>
      <c r="B5213" t="s">
        <v>10124</v>
      </c>
      <c r="C5213" t="s">
        <v>9652</v>
      </c>
    </row>
    <row r="5214" spans="1:4" x14ac:dyDescent="0.4">
      <c r="A5214" s="1" t="s">
        <v>10125</v>
      </c>
      <c r="B5214" t="s">
        <v>10126</v>
      </c>
      <c r="C5214" t="s">
        <v>9652</v>
      </c>
    </row>
    <row r="5215" spans="1:4" x14ac:dyDescent="0.4">
      <c r="A5215" s="1" t="s">
        <v>10127</v>
      </c>
      <c r="B5215" t="s">
        <v>10128</v>
      </c>
      <c r="C5215" t="s">
        <v>9652</v>
      </c>
      <c r="D5215">
        <v>52800</v>
      </c>
    </row>
    <row r="5216" spans="1:4" x14ac:dyDescent="0.4">
      <c r="A5216" s="1" t="s">
        <v>10129</v>
      </c>
      <c r="B5216" t="s">
        <v>10130</v>
      </c>
      <c r="C5216" t="s">
        <v>9652</v>
      </c>
      <c r="D5216">
        <v>45400</v>
      </c>
    </row>
    <row r="5217" spans="1:4" x14ac:dyDescent="0.4">
      <c r="A5217" s="1" t="s">
        <v>10131</v>
      </c>
      <c r="B5217" t="s">
        <v>10132</v>
      </c>
      <c r="C5217" t="s">
        <v>9652</v>
      </c>
      <c r="D5217">
        <v>35750</v>
      </c>
    </row>
    <row r="5218" spans="1:4" x14ac:dyDescent="0.4">
      <c r="A5218" s="1" t="s">
        <v>10133</v>
      </c>
      <c r="B5218" t="s">
        <v>10134</v>
      </c>
      <c r="C5218" t="s">
        <v>9652</v>
      </c>
      <c r="D5218">
        <v>44000</v>
      </c>
    </row>
    <row r="5219" spans="1:4" x14ac:dyDescent="0.4">
      <c r="A5219" s="1" t="s">
        <v>10135</v>
      </c>
      <c r="B5219" t="s">
        <v>10136</v>
      </c>
      <c r="C5219" t="s">
        <v>9652</v>
      </c>
      <c r="D5219">
        <v>50500</v>
      </c>
    </row>
    <row r="5220" spans="1:4" x14ac:dyDescent="0.4">
      <c r="A5220" s="1" t="s">
        <v>10137</v>
      </c>
      <c r="B5220" t="s">
        <v>10138</v>
      </c>
      <c r="C5220" t="s">
        <v>9652</v>
      </c>
      <c r="D5220">
        <v>51700</v>
      </c>
    </row>
    <row r="5221" spans="1:4" x14ac:dyDescent="0.4">
      <c r="A5221" s="1" t="s">
        <v>10139</v>
      </c>
      <c r="B5221" t="s">
        <v>10140</v>
      </c>
      <c r="C5221" t="s">
        <v>9652</v>
      </c>
      <c r="D5221">
        <v>35400</v>
      </c>
    </row>
    <row r="5222" spans="1:4" x14ac:dyDescent="0.4">
      <c r="A5222" s="1" t="s">
        <v>10141</v>
      </c>
      <c r="B5222" t="s">
        <v>10142</v>
      </c>
      <c r="C5222" t="s">
        <v>9652</v>
      </c>
      <c r="D5222">
        <v>32500</v>
      </c>
    </row>
    <row r="5223" spans="1:4" x14ac:dyDescent="0.4">
      <c r="A5223" s="1" t="s">
        <v>10143</v>
      </c>
      <c r="B5223" t="s">
        <v>10144</v>
      </c>
      <c r="C5223" t="s">
        <v>9652</v>
      </c>
      <c r="D5223">
        <v>46320</v>
      </c>
    </row>
    <row r="5224" spans="1:4" x14ac:dyDescent="0.4">
      <c r="A5224" s="1" t="s">
        <v>10145</v>
      </c>
      <c r="B5224" t="s">
        <v>10146</v>
      </c>
      <c r="C5224" t="s">
        <v>9652</v>
      </c>
      <c r="D5224">
        <v>42500</v>
      </c>
    </row>
    <row r="5225" spans="1:4" x14ac:dyDescent="0.4">
      <c r="A5225" s="1" t="s">
        <v>10147</v>
      </c>
      <c r="B5225" t="s">
        <v>10148</v>
      </c>
      <c r="C5225" t="s">
        <v>9652</v>
      </c>
    </row>
    <row r="5226" spans="1:4" x14ac:dyDescent="0.4">
      <c r="A5226" s="1" t="s">
        <v>10149</v>
      </c>
      <c r="B5226" t="s">
        <v>10150</v>
      </c>
      <c r="C5226" t="s">
        <v>9652</v>
      </c>
      <c r="D5226">
        <v>31700</v>
      </c>
    </row>
    <row r="5227" spans="1:4" x14ac:dyDescent="0.4">
      <c r="A5227" s="1" t="s">
        <v>10151</v>
      </c>
      <c r="B5227" t="s">
        <v>10152</v>
      </c>
      <c r="C5227" t="s">
        <v>9652</v>
      </c>
      <c r="D5227">
        <v>43800</v>
      </c>
    </row>
    <row r="5228" spans="1:4" x14ac:dyDescent="0.4">
      <c r="A5228" s="1" t="s">
        <v>10153</v>
      </c>
      <c r="B5228" t="s">
        <v>10154</v>
      </c>
      <c r="C5228" t="s">
        <v>9652</v>
      </c>
    </row>
    <row r="5229" spans="1:4" x14ac:dyDescent="0.4">
      <c r="A5229" s="1" t="s">
        <v>10155</v>
      </c>
      <c r="B5229" t="s">
        <v>10156</v>
      </c>
      <c r="C5229" t="s">
        <v>9652</v>
      </c>
    </row>
    <row r="5230" spans="1:4" x14ac:dyDescent="0.4">
      <c r="A5230" s="1" t="s">
        <v>10157</v>
      </c>
      <c r="B5230" t="s">
        <v>10158</v>
      </c>
      <c r="C5230" t="s">
        <v>9652</v>
      </c>
    </row>
    <row r="5231" spans="1:4" x14ac:dyDescent="0.4">
      <c r="A5231" s="1" t="s">
        <v>10159</v>
      </c>
      <c r="B5231" t="s">
        <v>10160</v>
      </c>
      <c r="C5231" t="s">
        <v>9652</v>
      </c>
    </row>
    <row r="5232" spans="1:4" x14ac:dyDescent="0.4">
      <c r="A5232" s="1" t="s">
        <v>10161</v>
      </c>
      <c r="B5232" t="s">
        <v>10162</v>
      </c>
      <c r="C5232" t="s">
        <v>9652</v>
      </c>
    </row>
    <row r="5233" spans="1:4" x14ac:dyDescent="0.4">
      <c r="A5233" s="1" t="s">
        <v>10163</v>
      </c>
      <c r="B5233" t="s">
        <v>10164</v>
      </c>
      <c r="C5233" t="s">
        <v>9652</v>
      </c>
    </row>
    <row r="5234" spans="1:4" x14ac:dyDescent="0.4">
      <c r="A5234" s="1" t="s">
        <v>10165</v>
      </c>
      <c r="B5234" t="s">
        <v>10166</v>
      </c>
      <c r="C5234" t="s">
        <v>9652</v>
      </c>
    </row>
    <row r="5235" spans="1:4" x14ac:dyDescent="0.4">
      <c r="A5235" s="1" t="s">
        <v>10167</v>
      </c>
      <c r="B5235" t="s">
        <v>10168</v>
      </c>
      <c r="C5235" t="s">
        <v>9652</v>
      </c>
    </row>
    <row r="5236" spans="1:4" x14ac:dyDescent="0.4">
      <c r="A5236" s="1" t="s">
        <v>10169</v>
      </c>
      <c r="B5236" t="s">
        <v>10170</v>
      </c>
      <c r="C5236" t="s">
        <v>9652</v>
      </c>
    </row>
    <row r="5237" spans="1:4" x14ac:dyDescent="0.4">
      <c r="A5237" s="1" t="s">
        <v>10171</v>
      </c>
      <c r="B5237" t="s">
        <v>10172</v>
      </c>
      <c r="C5237" t="s">
        <v>9652</v>
      </c>
      <c r="D5237">
        <v>53000</v>
      </c>
    </row>
    <row r="5238" spans="1:4" x14ac:dyDescent="0.4">
      <c r="A5238" s="1" t="s">
        <v>10173</v>
      </c>
      <c r="B5238" t="s">
        <v>10174</v>
      </c>
      <c r="C5238" t="s">
        <v>9652</v>
      </c>
      <c r="D5238">
        <v>38000</v>
      </c>
    </row>
    <row r="5239" spans="1:4" x14ac:dyDescent="0.4">
      <c r="A5239" s="1" t="s">
        <v>10175</v>
      </c>
      <c r="B5239" t="s">
        <v>10176</v>
      </c>
      <c r="C5239" t="s">
        <v>9652</v>
      </c>
    </row>
    <row r="5240" spans="1:4" x14ac:dyDescent="0.4">
      <c r="A5240" s="1" t="s">
        <v>10177</v>
      </c>
      <c r="B5240" t="s">
        <v>10178</v>
      </c>
      <c r="C5240" t="s">
        <v>9652</v>
      </c>
      <c r="D5240">
        <v>51800</v>
      </c>
    </row>
    <row r="5241" spans="1:4" x14ac:dyDescent="0.4">
      <c r="A5241" s="1" t="s">
        <v>10179</v>
      </c>
      <c r="B5241" t="s">
        <v>10180</v>
      </c>
      <c r="C5241" t="s">
        <v>9652</v>
      </c>
      <c r="D5241">
        <v>49900</v>
      </c>
    </row>
    <row r="5242" spans="1:4" x14ac:dyDescent="0.4">
      <c r="A5242" s="1" t="s">
        <v>10181</v>
      </c>
      <c r="B5242" t="s">
        <v>10182</v>
      </c>
      <c r="C5242" t="s">
        <v>9652</v>
      </c>
    </row>
    <row r="5243" spans="1:4" x14ac:dyDescent="0.4">
      <c r="A5243" s="1" t="s">
        <v>10183</v>
      </c>
      <c r="B5243" t="s">
        <v>10184</v>
      </c>
      <c r="C5243" t="s">
        <v>9652</v>
      </c>
    </row>
    <row r="5244" spans="1:4" x14ac:dyDescent="0.4">
      <c r="A5244" s="1" t="s">
        <v>10185</v>
      </c>
      <c r="B5244" t="s">
        <v>10186</v>
      </c>
      <c r="C5244" t="s">
        <v>9652</v>
      </c>
    </row>
    <row r="5245" spans="1:4" x14ac:dyDescent="0.4">
      <c r="A5245" s="1" t="s">
        <v>10187</v>
      </c>
      <c r="B5245" t="s">
        <v>10188</v>
      </c>
      <c r="C5245" t="s">
        <v>9652</v>
      </c>
    </row>
    <row r="5246" spans="1:4" x14ac:dyDescent="0.4">
      <c r="A5246" s="1" t="s">
        <v>10189</v>
      </c>
      <c r="B5246" t="s">
        <v>10190</v>
      </c>
      <c r="C5246" t="s">
        <v>9652</v>
      </c>
      <c r="D5246">
        <v>10880</v>
      </c>
    </row>
    <row r="5247" spans="1:4" x14ac:dyDescent="0.4">
      <c r="A5247" s="1" t="s">
        <v>10191</v>
      </c>
      <c r="B5247" t="s">
        <v>10192</v>
      </c>
      <c r="C5247" t="s">
        <v>9652</v>
      </c>
      <c r="D5247">
        <v>12350</v>
      </c>
    </row>
    <row r="5248" spans="1:4" x14ac:dyDescent="0.4">
      <c r="A5248" s="1" t="s">
        <v>10193</v>
      </c>
      <c r="B5248" t="s">
        <v>10194</v>
      </c>
      <c r="C5248" t="s">
        <v>9652</v>
      </c>
      <c r="D5248">
        <v>47700</v>
      </c>
    </row>
    <row r="5249" spans="1:4" x14ac:dyDescent="0.4">
      <c r="A5249" s="1" t="s">
        <v>10195</v>
      </c>
      <c r="B5249" t="s">
        <v>10196</v>
      </c>
      <c r="C5249" t="s">
        <v>9652</v>
      </c>
      <c r="D5249">
        <v>49700</v>
      </c>
    </row>
    <row r="5250" spans="1:4" x14ac:dyDescent="0.4">
      <c r="A5250" s="1" t="s">
        <v>10197</v>
      </c>
      <c r="B5250" t="s">
        <v>10198</v>
      </c>
      <c r="C5250" t="s">
        <v>9652</v>
      </c>
      <c r="D5250">
        <v>57700</v>
      </c>
    </row>
    <row r="5251" spans="1:4" x14ac:dyDescent="0.4">
      <c r="A5251" s="1" t="s">
        <v>10199</v>
      </c>
      <c r="B5251" t="s">
        <v>10200</v>
      </c>
      <c r="C5251" t="s">
        <v>9652</v>
      </c>
      <c r="D5251">
        <v>28600</v>
      </c>
    </row>
    <row r="5252" spans="1:4" x14ac:dyDescent="0.4">
      <c r="A5252" s="1" t="s">
        <v>10201</v>
      </c>
      <c r="B5252" t="s">
        <v>10202</v>
      </c>
      <c r="C5252" t="s">
        <v>9652</v>
      </c>
      <c r="D5252">
        <v>12800</v>
      </c>
    </row>
    <row r="5253" spans="1:4" x14ac:dyDescent="0.4">
      <c r="A5253" s="1" t="s">
        <v>10203</v>
      </c>
      <c r="B5253" t="s">
        <v>10204</v>
      </c>
      <c r="C5253" t="s">
        <v>9652</v>
      </c>
      <c r="D5253">
        <v>12800</v>
      </c>
    </row>
    <row r="5254" spans="1:4" x14ac:dyDescent="0.4">
      <c r="A5254" s="1" t="s">
        <v>10205</v>
      </c>
      <c r="B5254" t="s">
        <v>10206</v>
      </c>
      <c r="C5254" t="s">
        <v>9652</v>
      </c>
      <c r="D5254">
        <v>38000</v>
      </c>
    </row>
    <row r="5255" spans="1:4" x14ac:dyDescent="0.4">
      <c r="A5255" s="1" t="s">
        <v>10207</v>
      </c>
      <c r="B5255" t="s">
        <v>10208</v>
      </c>
      <c r="C5255" t="s">
        <v>9652</v>
      </c>
      <c r="D5255">
        <v>38000</v>
      </c>
    </row>
    <row r="5256" spans="1:4" x14ac:dyDescent="0.4">
      <c r="A5256" s="1" t="s">
        <v>10209</v>
      </c>
      <c r="B5256" t="s">
        <v>10210</v>
      </c>
      <c r="C5256" t="s">
        <v>9652</v>
      </c>
      <c r="D5256">
        <v>46700</v>
      </c>
    </row>
    <row r="5257" spans="1:4" x14ac:dyDescent="0.4">
      <c r="A5257" s="1" t="s">
        <v>10211</v>
      </c>
      <c r="B5257" t="s">
        <v>10212</v>
      </c>
      <c r="C5257" t="s">
        <v>9652</v>
      </c>
      <c r="D5257">
        <v>54900</v>
      </c>
    </row>
    <row r="5258" spans="1:4" x14ac:dyDescent="0.4">
      <c r="A5258" s="1" t="s">
        <v>10213</v>
      </c>
      <c r="B5258" t="s">
        <v>10214</v>
      </c>
      <c r="C5258" t="s">
        <v>9652</v>
      </c>
      <c r="D5258">
        <v>46700</v>
      </c>
    </row>
    <row r="5259" spans="1:4" x14ac:dyDescent="0.4">
      <c r="A5259" s="1" t="s">
        <v>10215</v>
      </c>
      <c r="B5259" t="s">
        <v>10216</v>
      </c>
      <c r="C5259" t="s">
        <v>9652</v>
      </c>
      <c r="D5259">
        <v>46700</v>
      </c>
    </row>
    <row r="5260" spans="1:4" x14ac:dyDescent="0.4">
      <c r="A5260" s="1" t="s">
        <v>10217</v>
      </c>
      <c r="B5260" t="s">
        <v>10218</v>
      </c>
      <c r="C5260" t="s">
        <v>9652</v>
      </c>
      <c r="D5260">
        <v>24800</v>
      </c>
    </row>
    <row r="5261" spans="1:4" x14ac:dyDescent="0.4">
      <c r="A5261" s="1" t="s">
        <v>10219</v>
      </c>
      <c r="B5261" t="s">
        <v>10220</v>
      </c>
      <c r="C5261" t="s">
        <v>9652</v>
      </c>
      <c r="D5261">
        <v>18600</v>
      </c>
    </row>
    <row r="5262" spans="1:4" x14ac:dyDescent="0.4">
      <c r="A5262" s="1" t="s">
        <v>10221</v>
      </c>
      <c r="B5262" t="s">
        <v>10222</v>
      </c>
      <c r="C5262" t="s">
        <v>9652</v>
      </c>
      <c r="D5262">
        <v>24800</v>
      </c>
    </row>
    <row r="5263" spans="1:4" x14ac:dyDescent="0.4">
      <c r="A5263" s="1" t="s">
        <v>10223</v>
      </c>
      <c r="B5263" t="s">
        <v>10224</v>
      </c>
      <c r="C5263" t="s">
        <v>9652</v>
      </c>
      <c r="D5263">
        <v>24800</v>
      </c>
    </row>
    <row r="5264" spans="1:4" x14ac:dyDescent="0.4">
      <c r="A5264" s="1" t="s">
        <v>10225</v>
      </c>
      <c r="B5264" t="s">
        <v>10226</v>
      </c>
      <c r="C5264" t="s">
        <v>9652</v>
      </c>
      <c r="D5264">
        <v>28600</v>
      </c>
    </row>
    <row r="5265" spans="1:4" x14ac:dyDescent="0.4">
      <c r="A5265" s="1" t="s">
        <v>10227</v>
      </c>
      <c r="B5265" t="s">
        <v>10228</v>
      </c>
      <c r="C5265" t="s">
        <v>9652</v>
      </c>
      <c r="D5265">
        <v>13400</v>
      </c>
    </row>
    <row r="5266" spans="1:4" x14ac:dyDescent="0.4">
      <c r="A5266" s="1" t="s">
        <v>10229</v>
      </c>
      <c r="B5266" t="s">
        <v>10230</v>
      </c>
      <c r="C5266" t="s">
        <v>9652</v>
      </c>
      <c r="D5266">
        <v>28600</v>
      </c>
    </row>
    <row r="5267" spans="1:4" x14ac:dyDescent="0.4">
      <c r="A5267" s="1" t="s">
        <v>10231</v>
      </c>
      <c r="B5267" t="s">
        <v>10232</v>
      </c>
      <c r="C5267" t="s">
        <v>9652</v>
      </c>
      <c r="D5267">
        <v>28600</v>
      </c>
    </row>
    <row r="5268" spans="1:4" x14ac:dyDescent="0.4">
      <c r="A5268" s="1" t="s">
        <v>10233</v>
      </c>
      <c r="B5268" t="s">
        <v>10234</v>
      </c>
      <c r="C5268" t="s">
        <v>9652</v>
      </c>
      <c r="D5268">
        <v>24800</v>
      </c>
    </row>
    <row r="5269" spans="1:4" x14ac:dyDescent="0.4">
      <c r="A5269" s="1" t="s">
        <v>10235</v>
      </c>
      <c r="B5269" t="s">
        <v>10236</v>
      </c>
      <c r="C5269" t="s">
        <v>9652</v>
      </c>
      <c r="D5269">
        <v>16600</v>
      </c>
    </row>
    <row r="5270" spans="1:4" x14ac:dyDescent="0.4">
      <c r="A5270" s="1" t="s">
        <v>10237</v>
      </c>
      <c r="B5270" t="s">
        <v>10238</v>
      </c>
      <c r="C5270" t="s">
        <v>9652</v>
      </c>
      <c r="D5270">
        <v>24800</v>
      </c>
    </row>
    <row r="5271" spans="1:4" x14ac:dyDescent="0.4">
      <c r="A5271" s="1" t="s">
        <v>10239</v>
      </c>
      <c r="B5271" t="s">
        <v>10240</v>
      </c>
      <c r="C5271" t="s">
        <v>9652</v>
      </c>
      <c r="D5271">
        <v>24800</v>
      </c>
    </row>
    <row r="5272" spans="1:4" x14ac:dyDescent="0.4">
      <c r="A5272" s="1" t="s">
        <v>10241</v>
      </c>
      <c r="B5272" t="s">
        <v>10242</v>
      </c>
      <c r="C5272" t="s">
        <v>9652</v>
      </c>
      <c r="D5272">
        <v>22400</v>
      </c>
    </row>
    <row r="5273" spans="1:4" x14ac:dyDescent="0.4">
      <c r="A5273" s="1" t="s">
        <v>10243</v>
      </c>
      <c r="B5273" t="s">
        <v>10244</v>
      </c>
      <c r="C5273" t="s">
        <v>9652</v>
      </c>
      <c r="D5273">
        <v>16700</v>
      </c>
    </row>
    <row r="5274" spans="1:4" x14ac:dyDescent="0.4">
      <c r="A5274" s="1" t="s">
        <v>10245</v>
      </c>
      <c r="B5274" t="s">
        <v>10246</v>
      </c>
      <c r="C5274" t="s">
        <v>9652</v>
      </c>
      <c r="D5274">
        <v>22400</v>
      </c>
    </row>
    <row r="5275" spans="1:4" x14ac:dyDescent="0.4">
      <c r="A5275" s="1" t="s">
        <v>10247</v>
      </c>
      <c r="B5275" t="s">
        <v>10248</v>
      </c>
      <c r="C5275" t="s">
        <v>9652</v>
      </c>
      <c r="D5275">
        <v>22400</v>
      </c>
    </row>
    <row r="5276" spans="1:4" x14ac:dyDescent="0.4">
      <c r="A5276" s="1" t="s">
        <v>10249</v>
      </c>
      <c r="B5276" t="s">
        <v>10250</v>
      </c>
      <c r="C5276" t="s">
        <v>9652</v>
      </c>
      <c r="D5276">
        <v>18500</v>
      </c>
    </row>
    <row r="5277" spans="1:4" x14ac:dyDescent="0.4">
      <c r="A5277" s="1" t="s">
        <v>10251</v>
      </c>
      <c r="B5277" t="s">
        <v>10252</v>
      </c>
      <c r="C5277" t="s">
        <v>9652</v>
      </c>
      <c r="D5277">
        <v>16800</v>
      </c>
    </row>
    <row r="5278" spans="1:4" x14ac:dyDescent="0.4">
      <c r="A5278" s="1" t="s">
        <v>10253</v>
      </c>
      <c r="B5278" t="s">
        <v>10254</v>
      </c>
      <c r="C5278" t="s">
        <v>9652</v>
      </c>
      <c r="D5278">
        <v>18500</v>
      </c>
    </row>
    <row r="5279" spans="1:4" x14ac:dyDescent="0.4">
      <c r="A5279" s="1" t="s">
        <v>10255</v>
      </c>
      <c r="B5279" t="s">
        <v>10256</v>
      </c>
      <c r="C5279" t="s">
        <v>9652</v>
      </c>
      <c r="D5279">
        <v>18500</v>
      </c>
    </row>
    <row r="5280" spans="1:4" x14ac:dyDescent="0.4">
      <c r="A5280" s="1" t="s">
        <v>10257</v>
      </c>
      <c r="B5280" t="s">
        <v>10258</v>
      </c>
      <c r="C5280" t="s">
        <v>9652</v>
      </c>
      <c r="D5280">
        <v>49800</v>
      </c>
    </row>
    <row r="5281" spans="1:4" x14ac:dyDescent="0.4">
      <c r="A5281" s="1" t="s">
        <v>10259</v>
      </c>
      <c r="B5281" t="s">
        <v>10260</v>
      </c>
      <c r="C5281" t="s">
        <v>9652</v>
      </c>
      <c r="D5281">
        <v>57300</v>
      </c>
    </row>
    <row r="5282" spans="1:4" x14ac:dyDescent="0.4">
      <c r="A5282" s="1" t="s">
        <v>10261</v>
      </c>
      <c r="B5282" t="s">
        <v>10262</v>
      </c>
      <c r="C5282" t="s">
        <v>9652</v>
      </c>
      <c r="D5282">
        <v>49800</v>
      </c>
    </row>
    <row r="5283" spans="1:4" x14ac:dyDescent="0.4">
      <c r="A5283" s="1" t="s">
        <v>10263</v>
      </c>
      <c r="B5283" t="s">
        <v>10264</v>
      </c>
      <c r="C5283" t="s">
        <v>9652</v>
      </c>
      <c r="D5283">
        <v>49800</v>
      </c>
    </row>
    <row r="5284" spans="1:4" x14ac:dyDescent="0.4">
      <c r="A5284" s="1" t="s">
        <v>10265</v>
      </c>
      <c r="B5284" t="s">
        <v>10266</v>
      </c>
      <c r="C5284" t="s">
        <v>9652</v>
      </c>
      <c r="D5284">
        <v>27000</v>
      </c>
    </row>
    <row r="5285" spans="1:4" x14ac:dyDescent="0.4">
      <c r="A5285" s="1" t="s">
        <v>10267</v>
      </c>
      <c r="B5285" t="s">
        <v>10268</v>
      </c>
      <c r="C5285" t="s">
        <v>9652</v>
      </c>
      <c r="D5285">
        <v>32500</v>
      </c>
    </row>
    <row r="5286" spans="1:4" x14ac:dyDescent="0.4">
      <c r="A5286" s="1" t="s">
        <v>10269</v>
      </c>
      <c r="B5286" t="s">
        <v>10270</v>
      </c>
      <c r="C5286" t="s">
        <v>9652</v>
      </c>
      <c r="D5286">
        <v>27000</v>
      </c>
    </row>
    <row r="5287" spans="1:4" x14ac:dyDescent="0.4">
      <c r="A5287" s="1" t="s">
        <v>10271</v>
      </c>
      <c r="B5287" t="s">
        <v>10272</v>
      </c>
      <c r="C5287" t="s">
        <v>9652</v>
      </c>
      <c r="D5287">
        <v>27000</v>
      </c>
    </row>
    <row r="5288" spans="1:4" x14ac:dyDescent="0.4">
      <c r="A5288" s="1" t="s">
        <v>10273</v>
      </c>
      <c r="B5288" t="s">
        <v>10274</v>
      </c>
      <c r="C5288" t="s">
        <v>9652</v>
      </c>
      <c r="D5288">
        <v>24500</v>
      </c>
    </row>
    <row r="5289" spans="1:4" x14ac:dyDescent="0.4">
      <c r="A5289" s="1" t="s">
        <v>10275</v>
      </c>
      <c r="B5289" t="s">
        <v>10276</v>
      </c>
      <c r="C5289" t="s">
        <v>9652</v>
      </c>
      <c r="D5289">
        <v>14000</v>
      </c>
    </row>
    <row r="5290" spans="1:4" x14ac:dyDescent="0.4">
      <c r="A5290" s="1" t="s">
        <v>10277</v>
      </c>
      <c r="B5290" t="s">
        <v>10278</v>
      </c>
      <c r="C5290" t="s">
        <v>9652</v>
      </c>
      <c r="D5290">
        <v>24500</v>
      </c>
    </row>
    <row r="5291" spans="1:4" x14ac:dyDescent="0.4">
      <c r="A5291" s="1" t="s">
        <v>10279</v>
      </c>
      <c r="B5291" t="s">
        <v>10280</v>
      </c>
      <c r="C5291" t="s">
        <v>9652</v>
      </c>
      <c r="D5291">
        <v>24500</v>
      </c>
    </row>
    <row r="5292" spans="1:4" x14ac:dyDescent="0.4">
      <c r="A5292" s="1" t="s">
        <v>10281</v>
      </c>
      <c r="B5292" t="s">
        <v>10282</v>
      </c>
      <c r="C5292" t="s">
        <v>9652</v>
      </c>
    </row>
    <row r="5293" spans="1:4" x14ac:dyDescent="0.4">
      <c r="A5293" s="1" t="s">
        <v>10283</v>
      </c>
      <c r="B5293" t="s">
        <v>10284</v>
      </c>
      <c r="C5293" t="s">
        <v>9652</v>
      </c>
    </row>
    <row r="5294" spans="1:4" x14ac:dyDescent="0.4">
      <c r="A5294" s="1" t="s">
        <v>10285</v>
      </c>
      <c r="B5294" t="s">
        <v>10286</v>
      </c>
      <c r="C5294" t="s">
        <v>9652</v>
      </c>
    </row>
    <row r="5295" spans="1:4" x14ac:dyDescent="0.4">
      <c r="A5295" s="1" t="s">
        <v>10287</v>
      </c>
      <c r="B5295" t="s">
        <v>10288</v>
      </c>
      <c r="C5295" t="s">
        <v>9652</v>
      </c>
    </row>
    <row r="5296" spans="1:4" x14ac:dyDescent="0.4">
      <c r="A5296" s="1" t="s">
        <v>10289</v>
      </c>
      <c r="B5296" t="s">
        <v>10290</v>
      </c>
      <c r="C5296" t="s">
        <v>9652</v>
      </c>
    </row>
    <row r="5297" spans="1:4" x14ac:dyDescent="0.4">
      <c r="A5297" s="1" t="s">
        <v>10291</v>
      </c>
      <c r="B5297" t="s">
        <v>10292</v>
      </c>
      <c r="C5297" t="s">
        <v>9652</v>
      </c>
    </row>
    <row r="5298" spans="1:4" x14ac:dyDescent="0.4">
      <c r="A5298" s="1" t="s">
        <v>10293</v>
      </c>
      <c r="B5298" t="s">
        <v>10294</v>
      </c>
      <c r="C5298" t="s">
        <v>9652</v>
      </c>
    </row>
    <row r="5299" spans="1:4" x14ac:dyDescent="0.4">
      <c r="A5299" s="1" t="s">
        <v>10295</v>
      </c>
      <c r="B5299" t="s">
        <v>10296</v>
      </c>
      <c r="C5299" t="s">
        <v>9652</v>
      </c>
      <c r="D5299">
        <v>38000</v>
      </c>
    </row>
    <row r="5300" spans="1:4" x14ac:dyDescent="0.4">
      <c r="A5300" s="1" t="s">
        <v>10297</v>
      </c>
      <c r="B5300" t="s">
        <v>10298</v>
      </c>
      <c r="C5300" t="s">
        <v>9652</v>
      </c>
    </row>
    <row r="5301" spans="1:4" x14ac:dyDescent="0.4">
      <c r="A5301" s="1" t="s">
        <v>10299</v>
      </c>
      <c r="B5301" t="s">
        <v>10300</v>
      </c>
      <c r="C5301" t="s">
        <v>9652</v>
      </c>
      <c r="D5301">
        <v>47000</v>
      </c>
    </row>
    <row r="5302" spans="1:4" x14ac:dyDescent="0.4">
      <c r="A5302" s="1" t="s">
        <v>10301</v>
      </c>
      <c r="B5302" t="s">
        <v>10302</v>
      </c>
      <c r="C5302" t="s">
        <v>9652</v>
      </c>
    </row>
    <row r="5303" spans="1:4" x14ac:dyDescent="0.4">
      <c r="A5303" s="1" t="s">
        <v>10303</v>
      </c>
      <c r="B5303" t="s">
        <v>10304</v>
      </c>
      <c r="C5303" t="s">
        <v>9652</v>
      </c>
      <c r="D5303">
        <v>60000</v>
      </c>
    </row>
    <row r="5304" spans="1:4" x14ac:dyDescent="0.4">
      <c r="A5304" s="1" t="s">
        <v>10305</v>
      </c>
      <c r="B5304" t="s">
        <v>10306</v>
      </c>
      <c r="C5304" t="s">
        <v>9652</v>
      </c>
      <c r="D5304">
        <v>60000</v>
      </c>
    </row>
    <row r="5305" spans="1:4" x14ac:dyDescent="0.4">
      <c r="A5305" s="1" t="s">
        <v>10307</v>
      </c>
      <c r="B5305" t="s">
        <v>10308</v>
      </c>
      <c r="C5305" t="s">
        <v>144</v>
      </c>
    </row>
    <row r="5306" spans="1:4" x14ac:dyDescent="0.4">
      <c r="A5306" s="1" t="s">
        <v>10309</v>
      </c>
      <c r="B5306" t="s">
        <v>10310</v>
      </c>
      <c r="C5306" t="s">
        <v>144</v>
      </c>
    </row>
    <row r="5307" spans="1:4" x14ac:dyDescent="0.4">
      <c r="A5307" s="1" t="s">
        <v>10311</v>
      </c>
      <c r="B5307" t="s">
        <v>10312</v>
      </c>
      <c r="C5307" t="s">
        <v>144</v>
      </c>
    </row>
    <row r="5308" spans="1:4" x14ac:dyDescent="0.4">
      <c r="A5308" s="1" t="s">
        <v>10313</v>
      </c>
      <c r="B5308" t="s">
        <v>10314</v>
      </c>
      <c r="C5308" t="s">
        <v>144</v>
      </c>
    </row>
    <row r="5309" spans="1:4" x14ac:dyDescent="0.4">
      <c r="A5309" s="1" t="s">
        <v>10315</v>
      </c>
      <c r="B5309" t="s">
        <v>10316</v>
      </c>
      <c r="C5309" t="s">
        <v>144</v>
      </c>
    </row>
    <row r="5310" spans="1:4" x14ac:dyDescent="0.4">
      <c r="A5310" s="1" t="s">
        <v>10317</v>
      </c>
      <c r="B5310" t="s">
        <v>10318</v>
      </c>
      <c r="C5310" t="s">
        <v>9652</v>
      </c>
    </row>
    <row r="5311" spans="1:4" x14ac:dyDescent="0.4">
      <c r="A5311" s="1" t="s">
        <v>10319</v>
      </c>
      <c r="B5311" t="s">
        <v>10320</v>
      </c>
      <c r="C5311" t="s">
        <v>9652</v>
      </c>
    </row>
    <row r="5312" spans="1:4" x14ac:dyDescent="0.4">
      <c r="A5312" s="1" t="s">
        <v>10321</v>
      </c>
      <c r="B5312" t="s">
        <v>10322</v>
      </c>
      <c r="C5312" t="s">
        <v>9652</v>
      </c>
      <c r="D5312">
        <v>36600</v>
      </c>
    </row>
    <row r="5313" spans="1:4" x14ac:dyDescent="0.4">
      <c r="A5313" s="1" t="s">
        <v>10323</v>
      </c>
      <c r="B5313" t="s">
        <v>10324</v>
      </c>
      <c r="C5313" t="s">
        <v>9652</v>
      </c>
      <c r="D5313">
        <v>36600</v>
      </c>
    </row>
    <row r="5314" spans="1:4" x14ac:dyDescent="0.4">
      <c r="A5314" s="1" t="s">
        <v>10325</v>
      </c>
      <c r="B5314" t="s">
        <v>10326</v>
      </c>
      <c r="C5314" t="s">
        <v>9652</v>
      </c>
      <c r="D5314">
        <v>36600</v>
      </c>
    </row>
    <row r="5315" spans="1:4" x14ac:dyDescent="0.4">
      <c r="A5315" s="1" t="s">
        <v>10327</v>
      </c>
      <c r="B5315" t="s">
        <v>10328</v>
      </c>
      <c r="C5315" t="s">
        <v>9652</v>
      </c>
    </row>
    <row r="5316" spans="1:4" x14ac:dyDescent="0.4">
      <c r="A5316" s="1" t="s">
        <v>10329</v>
      </c>
      <c r="B5316" t="s">
        <v>10330</v>
      </c>
      <c r="C5316" t="s">
        <v>9652</v>
      </c>
      <c r="D5316">
        <v>22000</v>
      </c>
    </row>
    <row r="5317" spans="1:4" x14ac:dyDescent="0.4">
      <c r="A5317" s="1" t="s">
        <v>10331</v>
      </c>
      <c r="B5317" t="s">
        <v>10332</v>
      </c>
      <c r="C5317" t="s">
        <v>9652</v>
      </c>
      <c r="D5317">
        <v>22000</v>
      </c>
    </row>
    <row r="5318" spans="1:4" x14ac:dyDescent="0.4">
      <c r="A5318" s="1" t="s">
        <v>10333</v>
      </c>
      <c r="B5318" t="s">
        <v>10334</v>
      </c>
      <c r="C5318" t="s">
        <v>9652</v>
      </c>
      <c r="D5318">
        <v>22000</v>
      </c>
    </row>
    <row r="5319" spans="1:4" x14ac:dyDescent="0.4">
      <c r="A5319" s="1" t="s">
        <v>10335</v>
      </c>
      <c r="B5319" t="s">
        <v>10336</v>
      </c>
      <c r="C5319" t="s">
        <v>9652</v>
      </c>
      <c r="D5319">
        <v>14000</v>
      </c>
    </row>
    <row r="5320" spans="1:4" x14ac:dyDescent="0.4">
      <c r="A5320" s="1" t="s">
        <v>10337</v>
      </c>
      <c r="B5320" t="s">
        <v>10338</v>
      </c>
      <c r="C5320" t="s">
        <v>9652</v>
      </c>
      <c r="D5320">
        <v>46800</v>
      </c>
    </row>
    <row r="5321" spans="1:4" x14ac:dyDescent="0.4">
      <c r="A5321" s="1" t="s">
        <v>10339</v>
      </c>
      <c r="B5321" t="s">
        <v>10340</v>
      </c>
      <c r="C5321" t="s">
        <v>9652</v>
      </c>
      <c r="D5321">
        <v>47200</v>
      </c>
    </row>
    <row r="5322" spans="1:4" x14ac:dyDescent="0.4">
      <c r="A5322" s="1" t="s">
        <v>10341</v>
      </c>
      <c r="B5322" t="s">
        <v>10342</v>
      </c>
      <c r="C5322" t="s">
        <v>9652</v>
      </c>
      <c r="D5322">
        <v>47200</v>
      </c>
    </row>
    <row r="5323" spans="1:4" x14ac:dyDescent="0.4">
      <c r="A5323" s="1" t="s">
        <v>10343</v>
      </c>
      <c r="B5323" t="s">
        <v>10344</v>
      </c>
      <c r="C5323" t="s">
        <v>9652</v>
      </c>
      <c r="D5323">
        <v>47200</v>
      </c>
    </row>
    <row r="5324" spans="1:4" x14ac:dyDescent="0.4">
      <c r="A5324" s="1" t="s">
        <v>10345</v>
      </c>
      <c r="B5324" t="s">
        <v>10346</v>
      </c>
      <c r="C5324" t="s">
        <v>9652</v>
      </c>
      <c r="D5324">
        <v>46800</v>
      </c>
    </row>
    <row r="5325" spans="1:4" x14ac:dyDescent="0.4">
      <c r="A5325" s="1" t="s">
        <v>10347</v>
      </c>
      <c r="B5325" t="s">
        <v>10348</v>
      </c>
      <c r="C5325" t="s">
        <v>9652</v>
      </c>
      <c r="D5325">
        <v>52600</v>
      </c>
    </row>
    <row r="5326" spans="1:4" x14ac:dyDescent="0.4">
      <c r="A5326" s="1" t="s">
        <v>10349</v>
      </c>
      <c r="B5326" t="s">
        <v>10350</v>
      </c>
      <c r="C5326" t="s">
        <v>9652</v>
      </c>
      <c r="D5326">
        <v>30000</v>
      </c>
    </row>
    <row r="5327" spans="1:4" x14ac:dyDescent="0.4">
      <c r="A5327" s="1" t="s">
        <v>10351</v>
      </c>
      <c r="B5327" t="s">
        <v>10352</v>
      </c>
      <c r="C5327" t="s">
        <v>9652</v>
      </c>
      <c r="D5327">
        <v>70000</v>
      </c>
    </row>
    <row r="5328" spans="1:4" x14ac:dyDescent="0.4">
      <c r="A5328" s="1" t="s">
        <v>10353</v>
      </c>
      <c r="B5328" t="s">
        <v>10354</v>
      </c>
      <c r="C5328" t="s">
        <v>9652</v>
      </c>
      <c r="D5328">
        <v>34800</v>
      </c>
    </row>
    <row r="5329" spans="1:4" x14ac:dyDescent="0.4">
      <c r="A5329" s="1" t="s">
        <v>10355</v>
      </c>
      <c r="B5329" t="s">
        <v>10356</v>
      </c>
      <c r="C5329" t="s">
        <v>9652</v>
      </c>
      <c r="D5329">
        <v>78600</v>
      </c>
    </row>
    <row r="5330" spans="1:4" x14ac:dyDescent="0.4">
      <c r="A5330" s="1" t="s">
        <v>10357</v>
      </c>
      <c r="B5330" t="s">
        <v>10358</v>
      </c>
      <c r="C5330" t="s">
        <v>9652</v>
      </c>
      <c r="D5330">
        <v>8100</v>
      </c>
    </row>
    <row r="5331" spans="1:4" x14ac:dyDescent="0.4">
      <c r="A5331" s="1" t="s">
        <v>10359</v>
      </c>
      <c r="B5331" t="s">
        <v>10360</v>
      </c>
      <c r="C5331" t="s">
        <v>9652</v>
      </c>
      <c r="D5331">
        <v>8500</v>
      </c>
    </row>
    <row r="5332" spans="1:4" x14ac:dyDescent="0.4">
      <c r="A5332" s="1" t="s">
        <v>10361</v>
      </c>
      <c r="B5332" t="e">
        <f>-終息-NEC 汎用品 PR-#REF!-12</f>
        <v>#NAME?</v>
      </c>
      <c r="C5332" t="s">
        <v>9652</v>
      </c>
      <c r="D5332">
        <v>16000</v>
      </c>
    </row>
    <row r="5333" spans="1:4" x14ac:dyDescent="0.4">
      <c r="A5333" s="1" t="s">
        <v>10362</v>
      </c>
      <c r="B5333" t="s">
        <v>10363</v>
      </c>
      <c r="C5333" t="s">
        <v>9652</v>
      </c>
      <c r="D5333">
        <v>25000</v>
      </c>
    </row>
    <row r="5334" spans="1:4" x14ac:dyDescent="0.4">
      <c r="A5334" s="1" t="s">
        <v>10364</v>
      </c>
      <c r="B5334" t="s">
        <v>10365</v>
      </c>
      <c r="C5334" t="s">
        <v>9652</v>
      </c>
      <c r="D5334">
        <v>21000</v>
      </c>
    </row>
    <row r="5335" spans="1:4" x14ac:dyDescent="0.4">
      <c r="A5335" s="1" t="s">
        <v>10366</v>
      </c>
      <c r="B5335" t="s">
        <v>10367</v>
      </c>
      <c r="C5335" t="s">
        <v>9652</v>
      </c>
      <c r="D5335">
        <v>44000</v>
      </c>
    </row>
    <row r="5336" spans="1:4" x14ac:dyDescent="0.4">
      <c r="A5336" s="1" t="s">
        <v>10368</v>
      </c>
      <c r="B5336" t="s">
        <v>10369</v>
      </c>
      <c r="C5336" t="s">
        <v>9652</v>
      </c>
      <c r="D5336">
        <v>40200</v>
      </c>
    </row>
    <row r="5337" spans="1:4" x14ac:dyDescent="0.4">
      <c r="A5337" s="1" t="s">
        <v>10370</v>
      </c>
      <c r="B5337" t="s">
        <v>10371</v>
      </c>
      <c r="C5337" t="s">
        <v>9652</v>
      </c>
      <c r="D5337">
        <v>40200</v>
      </c>
    </row>
    <row r="5338" spans="1:4" x14ac:dyDescent="0.4">
      <c r="A5338" s="1" t="s">
        <v>10372</v>
      </c>
      <c r="B5338" t="s">
        <v>10373</v>
      </c>
      <c r="C5338" t="s">
        <v>9652</v>
      </c>
      <c r="D5338">
        <v>40200</v>
      </c>
    </row>
    <row r="5339" spans="1:4" x14ac:dyDescent="0.4">
      <c r="A5339" s="1" t="s">
        <v>10374</v>
      </c>
      <c r="B5339" t="s">
        <v>10375</v>
      </c>
      <c r="C5339" t="s">
        <v>9652</v>
      </c>
      <c r="D5339">
        <v>28600</v>
      </c>
    </row>
    <row r="5340" spans="1:4" x14ac:dyDescent="0.4">
      <c r="A5340" s="1" t="s">
        <v>10376</v>
      </c>
      <c r="B5340" t="s">
        <v>10377</v>
      </c>
      <c r="C5340" t="s">
        <v>9652</v>
      </c>
      <c r="D5340">
        <v>51200</v>
      </c>
    </row>
    <row r="5341" spans="1:4" x14ac:dyDescent="0.4">
      <c r="A5341" s="1" t="s">
        <v>10378</v>
      </c>
      <c r="B5341" t="s">
        <v>10379</v>
      </c>
      <c r="C5341" t="s">
        <v>9652</v>
      </c>
      <c r="D5341">
        <v>37800</v>
      </c>
    </row>
    <row r="5342" spans="1:4" x14ac:dyDescent="0.4">
      <c r="A5342" s="1" t="s">
        <v>10380</v>
      </c>
      <c r="B5342" t="s">
        <v>10381</v>
      </c>
      <c r="C5342" t="s">
        <v>9652</v>
      </c>
      <c r="D5342">
        <v>37800</v>
      </c>
    </row>
    <row r="5343" spans="1:4" x14ac:dyDescent="0.4">
      <c r="A5343" s="1" t="s">
        <v>10382</v>
      </c>
      <c r="B5343" t="s">
        <v>10383</v>
      </c>
      <c r="C5343" t="s">
        <v>9652</v>
      </c>
      <c r="D5343">
        <v>37800</v>
      </c>
    </row>
    <row r="5344" spans="1:4" x14ac:dyDescent="0.4">
      <c r="A5344" s="1" t="s">
        <v>10384</v>
      </c>
      <c r="B5344" t="s">
        <v>10385</v>
      </c>
      <c r="C5344" t="s">
        <v>9652</v>
      </c>
      <c r="D5344">
        <v>35600</v>
      </c>
    </row>
    <row r="5345" spans="1:4" x14ac:dyDescent="0.4">
      <c r="A5345" s="1" t="s">
        <v>10386</v>
      </c>
      <c r="B5345" t="s">
        <v>10387</v>
      </c>
      <c r="C5345" t="s">
        <v>9652</v>
      </c>
      <c r="D5345">
        <v>40000</v>
      </c>
    </row>
    <row r="5346" spans="1:4" x14ac:dyDescent="0.4">
      <c r="A5346" s="1" t="s">
        <v>10388</v>
      </c>
      <c r="B5346" t="s">
        <v>10389</v>
      </c>
      <c r="C5346" t="s">
        <v>9652</v>
      </c>
      <c r="D5346">
        <v>48800</v>
      </c>
    </row>
    <row r="5347" spans="1:4" x14ac:dyDescent="0.4">
      <c r="A5347" s="1" t="s">
        <v>10390</v>
      </c>
      <c r="B5347" t="s">
        <v>10391</v>
      </c>
      <c r="C5347" t="s">
        <v>9652</v>
      </c>
      <c r="D5347">
        <v>43600</v>
      </c>
    </row>
    <row r="5348" spans="1:4" x14ac:dyDescent="0.4">
      <c r="A5348" s="1" t="s">
        <v>10392</v>
      </c>
      <c r="B5348" t="s">
        <v>10393</v>
      </c>
      <c r="C5348" t="s">
        <v>9652</v>
      </c>
      <c r="D5348">
        <v>47000</v>
      </c>
    </row>
    <row r="5349" spans="1:4" x14ac:dyDescent="0.4">
      <c r="A5349" s="1" t="s">
        <v>10394</v>
      </c>
      <c r="B5349" t="s">
        <v>10395</v>
      </c>
      <c r="C5349" t="s">
        <v>9652</v>
      </c>
      <c r="D5349">
        <v>14400</v>
      </c>
    </row>
    <row r="5350" spans="1:4" x14ac:dyDescent="0.4">
      <c r="A5350" s="1" t="s">
        <v>10396</v>
      </c>
      <c r="B5350" t="s">
        <v>10397</v>
      </c>
      <c r="C5350" t="s">
        <v>9652</v>
      </c>
      <c r="D5350">
        <v>14400</v>
      </c>
    </row>
    <row r="5351" spans="1:4" x14ac:dyDescent="0.4">
      <c r="A5351" s="1" t="s">
        <v>10398</v>
      </c>
      <c r="B5351" t="s">
        <v>10399</v>
      </c>
      <c r="C5351" t="s">
        <v>9652</v>
      </c>
      <c r="D5351">
        <v>14400</v>
      </c>
    </row>
    <row r="5352" spans="1:4" x14ac:dyDescent="0.4">
      <c r="A5352" s="1" t="s">
        <v>10400</v>
      </c>
      <c r="B5352" t="s">
        <v>10401</v>
      </c>
      <c r="C5352" t="s">
        <v>9652</v>
      </c>
      <c r="D5352">
        <v>13800</v>
      </c>
    </row>
    <row r="5353" spans="1:4" x14ac:dyDescent="0.4">
      <c r="A5353" s="1" t="s">
        <v>10402</v>
      </c>
      <c r="B5353" t="s">
        <v>10403</v>
      </c>
      <c r="C5353" t="s">
        <v>9652</v>
      </c>
      <c r="D5353">
        <v>14400</v>
      </c>
    </row>
    <row r="5354" spans="1:4" x14ac:dyDescent="0.4">
      <c r="A5354" s="1" t="s">
        <v>10404</v>
      </c>
      <c r="B5354" t="s">
        <v>10405</v>
      </c>
      <c r="C5354" t="s">
        <v>9652</v>
      </c>
      <c r="D5354">
        <v>14400</v>
      </c>
    </row>
    <row r="5355" spans="1:4" x14ac:dyDescent="0.4">
      <c r="A5355" s="1" t="s">
        <v>10406</v>
      </c>
      <c r="B5355" t="s">
        <v>10407</v>
      </c>
      <c r="C5355" t="s">
        <v>9652</v>
      </c>
      <c r="D5355">
        <v>14400</v>
      </c>
    </row>
    <row r="5356" spans="1:4" x14ac:dyDescent="0.4">
      <c r="A5356" s="1" t="s">
        <v>10408</v>
      </c>
      <c r="B5356" t="s">
        <v>10409</v>
      </c>
      <c r="C5356" t="s">
        <v>9652</v>
      </c>
      <c r="D5356">
        <v>13800</v>
      </c>
    </row>
    <row r="5357" spans="1:4" x14ac:dyDescent="0.4">
      <c r="A5357" s="1" t="s">
        <v>10410</v>
      </c>
      <c r="B5357" t="s">
        <v>10411</v>
      </c>
      <c r="C5357" t="s">
        <v>9652</v>
      </c>
      <c r="D5357">
        <v>13600</v>
      </c>
    </row>
    <row r="5358" spans="1:4" x14ac:dyDescent="0.4">
      <c r="A5358" s="1" t="s">
        <v>10412</v>
      </c>
      <c r="B5358" t="s">
        <v>10413</v>
      </c>
      <c r="C5358" t="s">
        <v>9652</v>
      </c>
      <c r="D5358">
        <v>13600</v>
      </c>
    </row>
    <row r="5359" spans="1:4" x14ac:dyDescent="0.4">
      <c r="A5359" s="1" t="s">
        <v>10414</v>
      </c>
      <c r="B5359" t="s">
        <v>10415</v>
      </c>
      <c r="C5359" t="s">
        <v>9652</v>
      </c>
      <c r="D5359">
        <v>18000</v>
      </c>
    </row>
    <row r="5360" spans="1:4" x14ac:dyDescent="0.4">
      <c r="A5360" s="1" t="s">
        <v>10416</v>
      </c>
      <c r="B5360" t="s">
        <v>10417</v>
      </c>
      <c r="C5360" t="s">
        <v>9652</v>
      </c>
      <c r="D5360">
        <v>18000</v>
      </c>
    </row>
    <row r="5361" spans="1:4" x14ac:dyDescent="0.4">
      <c r="A5361" s="1" t="s">
        <v>10418</v>
      </c>
      <c r="B5361" t="s">
        <v>10419</v>
      </c>
      <c r="C5361" t="s">
        <v>9652</v>
      </c>
      <c r="D5361">
        <v>18000</v>
      </c>
    </row>
    <row r="5362" spans="1:4" x14ac:dyDescent="0.4">
      <c r="A5362" s="1" t="s">
        <v>10420</v>
      </c>
      <c r="B5362" t="s">
        <v>10421</v>
      </c>
      <c r="C5362" t="s">
        <v>9652</v>
      </c>
      <c r="D5362">
        <v>12800</v>
      </c>
    </row>
    <row r="5363" spans="1:4" x14ac:dyDescent="0.4">
      <c r="A5363" s="1" t="s">
        <v>10422</v>
      </c>
      <c r="B5363" t="s">
        <v>10423</v>
      </c>
      <c r="C5363" t="s">
        <v>9652</v>
      </c>
      <c r="D5363">
        <v>32400</v>
      </c>
    </row>
    <row r="5364" spans="1:4" x14ac:dyDescent="0.4">
      <c r="A5364" s="1" t="s">
        <v>10424</v>
      </c>
      <c r="B5364" t="s">
        <v>10425</v>
      </c>
      <c r="C5364" t="s">
        <v>9652</v>
      </c>
      <c r="D5364">
        <v>32400</v>
      </c>
    </row>
    <row r="5365" spans="1:4" x14ac:dyDescent="0.4">
      <c r="A5365" s="1" t="s">
        <v>10426</v>
      </c>
      <c r="B5365" t="s">
        <v>10427</v>
      </c>
      <c r="C5365" t="s">
        <v>9652</v>
      </c>
      <c r="D5365">
        <v>32400</v>
      </c>
    </row>
    <row r="5366" spans="1:4" x14ac:dyDescent="0.4">
      <c r="A5366" s="1" t="s">
        <v>10428</v>
      </c>
      <c r="B5366" t="s">
        <v>10429</v>
      </c>
      <c r="C5366" t="s">
        <v>9652</v>
      </c>
      <c r="D5366">
        <v>37200</v>
      </c>
    </row>
    <row r="5367" spans="1:4" x14ac:dyDescent="0.4">
      <c r="A5367" s="1" t="s">
        <v>10430</v>
      </c>
      <c r="B5367" t="s">
        <v>10431</v>
      </c>
      <c r="C5367" t="s">
        <v>9652</v>
      </c>
      <c r="D5367">
        <v>29800</v>
      </c>
    </row>
    <row r="5368" spans="1:4" x14ac:dyDescent="0.4">
      <c r="A5368" s="1" t="s">
        <v>10432</v>
      </c>
      <c r="B5368" t="s">
        <v>10433</v>
      </c>
      <c r="C5368" t="s">
        <v>9652</v>
      </c>
      <c r="D5368">
        <v>29800</v>
      </c>
    </row>
    <row r="5369" spans="1:4" x14ac:dyDescent="0.4">
      <c r="A5369" s="1" t="s">
        <v>10434</v>
      </c>
      <c r="B5369" t="s">
        <v>10435</v>
      </c>
      <c r="C5369" t="s">
        <v>9652</v>
      </c>
      <c r="D5369">
        <v>29800</v>
      </c>
    </row>
    <row r="5370" spans="1:4" x14ac:dyDescent="0.4">
      <c r="A5370" s="1" t="s">
        <v>10436</v>
      </c>
      <c r="B5370" t="s">
        <v>10437</v>
      </c>
      <c r="C5370" t="s">
        <v>9652</v>
      </c>
      <c r="D5370">
        <v>39000</v>
      </c>
    </row>
    <row r="5371" spans="1:4" x14ac:dyDescent="0.4">
      <c r="A5371" s="1" t="s">
        <v>10438</v>
      </c>
      <c r="B5371" t="s">
        <v>10439</v>
      </c>
      <c r="C5371" t="s">
        <v>9652</v>
      </c>
      <c r="D5371">
        <v>31200</v>
      </c>
    </row>
    <row r="5372" spans="1:4" x14ac:dyDescent="0.4">
      <c r="A5372" s="1" t="s">
        <v>10440</v>
      </c>
      <c r="B5372" t="s">
        <v>10441</v>
      </c>
      <c r="C5372" t="s">
        <v>9652</v>
      </c>
      <c r="D5372">
        <v>31200</v>
      </c>
    </row>
    <row r="5373" spans="1:4" x14ac:dyDescent="0.4">
      <c r="A5373" s="1" t="s">
        <v>10442</v>
      </c>
      <c r="B5373" t="s">
        <v>10443</v>
      </c>
      <c r="C5373" t="s">
        <v>9652</v>
      </c>
      <c r="D5373">
        <v>31200</v>
      </c>
    </row>
    <row r="5374" spans="1:4" x14ac:dyDescent="0.4">
      <c r="A5374" s="1" t="s">
        <v>10444</v>
      </c>
      <c r="B5374" t="s">
        <v>10445</v>
      </c>
      <c r="C5374" t="s">
        <v>9652</v>
      </c>
      <c r="D5374">
        <v>46800</v>
      </c>
    </row>
    <row r="5375" spans="1:4" x14ac:dyDescent="0.4">
      <c r="A5375" s="1" t="s">
        <v>10446</v>
      </c>
      <c r="B5375" t="s">
        <v>10447</v>
      </c>
      <c r="C5375" t="s">
        <v>9652</v>
      </c>
    </row>
    <row r="5376" spans="1:4" x14ac:dyDescent="0.4">
      <c r="A5376" s="1" t="s">
        <v>10448</v>
      </c>
      <c r="B5376" t="s">
        <v>10449</v>
      </c>
      <c r="C5376" t="s">
        <v>9652</v>
      </c>
    </row>
    <row r="5377" spans="1:4" x14ac:dyDescent="0.4">
      <c r="A5377" s="1" t="s">
        <v>10450</v>
      </c>
      <c r="B5377" t="s">
        <v>10451</v>
      </c>
      <c r="C5377" t="s">
        <v>9652</v>
      </c>
    </row>
    <row r="5378" spans="1:4" x14ac:dyDescent="0.4">
      <c r="A5378" s="1" t="s">
        <v>10452</v>
      </c>
      <c r="B5378" t="s">
        <v>10453</v>
      </c>
      <c r="C5378" t="s">
        <v>9652</v>
      </c>
    </row>
    <row r="5379" spans="1:4" x14ac:dyDescent="0.4">
      <c r="A5379" s="1" t="s">
        <v>10454</v>
      </c>
      <c r="B5379" t="s">
        <v>10455</v>
      </c>
      <c r="C5379" t="s">
        <v>9652</v>
      </c>
    </row>
    <row r="5380" spans="1:4" x14ac:dyDescent="0.4">
      <c r="A5380" s="1" t="s">
        <v>10456</v>
      </c>
      <c r="B5380" t="s">
        <v>10457</v>
      </c>
      <c r="C5380" t="s">
        <v>9652</v>
      </c>
    </row>
    <row r="5381" spans="1:4" x14ac:dyDescent="0.4">
      <c r="A5381" s="1" t="s">
        <v>10458</v>
      </c>
      <c r="B5381" t="s">
        <v>10459</v>
      </c>
      <c r="C5381" t="s">
        <v>9652</v>
      </c>
    </row>
    <row r="5382" spans="1:4" x14ac:dyDescent="0.4">
      <c r="A5382" s="1" t="s">
        <v>10460</v>
      </c>
      <c r="B5382" t="s">
        <v>10461</v>
      </c>
      <c r="C5382" t="s">
        <v>9652</v>
      </c>
    </row>
    <row r="5383" spans="1:4" x14ac:dyDescent="0.4">
      <c r="A5383" s="1" t="s">
        <v>10462</v>
      </c>
      <c r="B5383" t="s">
        <v>10463</v>
      </c>
      <c r="C5383" t="s">
        <v>9652</v>
      </c>
      <c r="D5383">
        <v>19800</v>
      </c>
    </row>
    <row r="5384" spans="1:4" x14ac:dyDescent="0.4">
      <c r="A5384" s="1" t="s">
        <v>10464</v>
      </c>
      <c r="B5384" t="s">
        <v>10465</v>
      </c>
      <c r="C5384" t="s">
        <v>9652</v>
      </c>
      <c r="D5384">
        <v>31000</v>
      </c>
    </row>
    <row r="5385" spans="1:4" x14ac:dyDescent="0.4">
      <c r="A5385" s="1" t="s">
        <v>10466</v>
      </c>
      <c r="B5385" t="s">
        <v>10467</v>
      </c>
      <c r="C5385" t="s">
        <v>9652</v>
      </c>
      <c r="D5385">
        <v>31000</v>
      </c>
    </row>
    <row r="5386" spans="1:4" x14ac:dyDescent="0.4">
      <c r="A5386" s="1" t="s">
        <v>10468</v>
      </c>
      <c r="B5386" t="s">
        <v>10469</v>
      </c>
      <c r="C5386" t="s">
        <v>9652</v>
      </c>
    </row>
    <row r="5387" spans="1:4" x14ac:dyDescent="0.4">
      <c r="A5387" s="1" t="s">
        <v>10470</v>
      </c>
      <c r="B5387" t="s">
        <v>10471</v>
      </c>
      <c r="C5387" t="s">
        <v>9652</v>
      </c>
    </row>
    <row r="5388" spans="1:4" x14ac:dyDescent="0.4">
      <c r="A5388" s="1" t="s">
        <v>10472</v>
      </c>
      <c r="B5388" t="s">
        <v>10473</v>
      </c>
      <c r="C5388" t="s">
        <v>9652</v>
      </c>
    </row>
    <row r="5389" spans="1:4" x14ac:dyDescent="0.4">
      <c r="A5389" s="1" t="s">
        <v>10474</v>
      </c>
      <c r="B5389" t="s">
        <v>10475</v>
      </c>
      <c r="C5389" t="s">
        <v>9652</v>
      </c>
    </row>
    <row r="5390" spans="1:4" x14ac:dyDescent="0.4">
      <c r="A5390" s="1" t="s">
        <v>10476</v>
      </c>
      <c r="B5390" t="s">
        <v>10477</v>
      </c>
    </row>
    <row r="5391" spans="1:4" x14ac:dyDescent="0.4">
      <c r="A5391" s="1" t="s">
        <v>10478</v>
      </c>
      <c r="B5391" t="s">
        <v>10479</v>
      </c>
    </row>
    <row r="5392" spans="1:4" x14ac:dyDescent="0.4">
      <c r="A5392" s="1" t="s">
        <v>10480</v>
      </c>
      <c r="B5392" t="s">
        <v>10481</v>
      </c>
      <c r="C5392" t="s">
        <v>9652</v>
      </c>
    </row>
    <row r="5393" spans="1:3" x14ac:dyDescent="0.4">
      <c r="A5393" s="1" t="s">
        <v>10482</v>
      </c>
      <c r="B5393" t="s">
        <v>10483</v>
      </c>
      <c r="C5393" t="s">
        <v>9652</v>
      </c>
    </row>
    <row r="5394" spans="1:3" x14ac:dyDescent="0.4">
      <c r="A5394" s="1" t="s">
        <v>10484</v>
      </c>
      <c r="B5394" t="s">
        <v>10485</v>
      </c>
      <c r="C5394" t="s">
        <v>9652</v>
      </c>
    </row>
    <row r="5395" spans="1:3" x14ac:dyDescent="0.4">
      <c r="A5395" s="1" t="s">
        <v>10486</v>
      </c>
      <c r="B5395" t="s">
        <v>10487</v>
      </c>
      <c r="C5395" t="s">
        <v>9652</v>
      </c>
    </row>
    <row r="5396" spans="1:3" x14ac:dyDescent="0.4">
      <c r="A5396" s="1" t="s">
        <v>10488</v>
      </c>
      <c r="B5396" t="s">
        <v>10489</v>
      </c>
      <c r="C5396" t="s">
        <v>144</v>
      </c>
    </row>
    <row r="5397" spans="1:3" x14ac:dyDescent="0.4">
      <c r="A5397" s="1" t="s">
        <v>10490</v>
      </c>
      <c r="B5397" t="s">
        <v>10491</v>
      </c>
      <c r="C5397" t="s">
        <v>144</v>
      </c>
    </row>
    <row r="5398" spans="1:3" x14ac:dyDescent="0.4">
      <c r="A5398" s="1" t="s">
        <v>10492</v>
      </c>
      <c r="B5398" t="s">
        <v>10493</v>
      </c>
      <c r="C5398" t="s">
        <v>144</v>
      </c>
    </row>
    <row r="5399" spans="1:3" x14ac:dyDescent="0.4">
      <c r="A5399" s="1" t="s">
        <v>10494</v>
      </c>
      <c r="B5399" t="s">
        <v>10495</v>
      </c>
      <c r="C5399" t="s">
        <v>144</v>
      </c>
    </row>
    <row r="5400" spans="1:3" x14ac:dyDescent="0.4">
      <c r="A5400" s="1" t="s">
        <v>10496</v>
      </c>
      <c r="B5400" t="s">
        <v>10497</v>
      </c>
      <c r="C5400" t="s">
        <v>144</v>
      </c>
    </row>
    <row r="5401" spans="1:3" x14ac:dyDescent="0.4">
      <c r="A5401" s="1" t="s">
        <v>10498</v>
      </c>
      <c r="B5401" t="s">
        <v>10499</v>
      </c>
      <c r="C5401" t="s">
        <v>144</v>
      </c>
    </row>
    <row r="5402" spans="1:3" x14ac:dyDescent="0.4">
      <c r="A5402" s="1" t="s">
        <v>10500</v>
      </c>
      <c r="B5402" t="s">
        <v>10501</v>
      </c>
      <c r="C5402" t="s">
        <v>9652</v>
      </c>
    </row>
    <row r="5403" spans="1:3" x14ac:dyDescent="0.4">
      <c r="A5403" s="1" t="s">
        <v>10502</v>
      </c>
      <c r="B5403" t="s">
        <v>10503</v>
      </c>
      <c r="C5403" t="s">
        <v>9652</v>
      </c>
    </row>
    <row r="5404" spans="1:3" x14ac:dyDescent="0.4">
      <c r="A5404" s="1" t="s">
        <v>10504</v>
      </c>
      <c r="B5404" t="s">
        <v>10505</v>
      </c>
      <c r="C5404" t="s">
        <v>9652</v>
      </c>
    </row>
    <row r="5405" spans="1:3" x14ac:dyDescent="0.4">
      <c r="A5405" s="1" t="s">
        <v>10506</v>
      </c>
      <c r="B5405" t="s">
        <v>10507</v>
      </c>
      <c r="C5405" t="s">
        <v>9652</v>
      </c>
    </row>
    <row r="5406" spans="1:3" x14ac:dyDescent="0.4">
      <c r="A5406" s="1" t="s">
        <v>10508</v>
      </c>
      <c r="B5406" t="s">
        <v>10509</v>
      </c>
    </row>
    <row r="5407" spans="1:3" x14ac:dyDescent="0.4">
      <c r="A5407" s="1" t="s">
        <v>10510</v>
      </c>
      <c r="B5407" t="s">
        <v>10511</v>
      </c>
    </row>
    <row r="5408" spans="1:3" x14ac:dyDescent="0.4">
      <c r="A5408" s="1" t="s">
        <v>10512</v>
      </c>
      <c r="B5408" t="s">
        <v>2742</v>
      </c>
      <c r="C5408" t="s">
        <v>5</v>
      </c>
    </row>
    <row r="5409" spans="1:4" x14ac:dyDescent="0.4">
      <c r="A5409" s="1" t="s">
        <v>10513</v>
      </c>
      <c r="B5409" t="s">
        <v>10514</v>
      </c>
      <c r="C5409" t="s">
        <v>5</v>
      </c>
    </row>
    <row r="5410" spans="1:4" x14ac:dyDescent="0.4">
      <c r="A5410" s="1" t="s">
        <v>10515</v>
      </c>
      <c r="B5410" t="s">
        <v>10516</v>
      </c>
      <c r="C5410" t="s">
        <v>5</v>
      </c>
    </row>
    <row r="5411" spans="1:4" x14ac:dyDescent="0.4">
      <c r="A5411" s="1" t="s">
        <v>10517</v>
      </c>
      <c r="B5411" t="s">
        <v>10518</v>
      </c>
      <c r="C5411" t="s">
        <v>5</v>
      </c>
    </row>
    <row r="5412" spans="1:4" x14ac:dyDescent="0.4">
      <c r="A5412" s="1" t="s">
        <v>10519</v>
      </c>
      <c r="B5412" t="s">
        <v>10520</v>
      </c>
    </row>
    <row r="5413" spans="1:4" x14ac:dyDescent="0.4">
      <c r="A5413" s="1" t="s">
        <v>10521</v>
      </c>
      <c r="B5413" t="s">
        <v>10522</v>
      </c>
    </row>
    <row r="5414" spans="1:4" x14ac:dyDescent="0.4">
      <c r="A5414" s="1" t="s">
        <v>10523</v>
      </c>
      <c r="B5414" t="s">
        <v>10524</v>
      </c>
      <c r="C5414" t="s">
        <v>10525</v>
      </c>
    </row>
    <row r="5415" spans="1:4" x14ac:dyDescent="0.4">
      <c r="A5415" s="1" t="s">
        <v>10526</v>
      </c>
      <c r="B5415" t="s">
        <v>10527</v>
      </c>
      <c r="C5415" t="s">
        <v>10525</v>
      </c>
    </row>
    <row r="5416" spans="1:4" x14ac:dyDescent="0.4">
      <c r="A5416" s="1" t="s">
        <v>10528</v>
      </c>
      <c r="B5416" t="s">
        <v>10529</v>
      </c>
      <c r="C5416" t="s">
        <v>10525</v>
      </c>
    </row>
    <row r="5417" spans="1:4" x14ac:dyDescent="0.4">
      <c r="A5417" s="1" t="s">
        <v>10530</v>
      </c>
      <c r="B5417" t="s">
        <v>10531</v>
      </c>
      <c r="C5417" t="s">
        <v>10525</v>
      </c>
    </row>
    <row r="5418" spans="1:4" x14ac:dyDescent="0.4">
      <c r="A5418" s="1" t="s">
        <v>10532</v>
      </c>
      <c r="B5418" t="s">
        <v>10533</v>
      </c>
      <c r="C5418" t="s">
        <v>10525</v>
      </c>
    </row>
    <row r="5419" spans="1:4" x14ac:dyDescent="0.4">
      <c r="A5419" s="1" t="s">
        <v>10534</v>
      </c>
      <c r="B5419" t="s">
        <v>10535</v>
      </c>
      <c r="C5419" t="s">
        <v>10525</v>
      </c>
    </row>
    <row r="5420" spans="1:4" x14ac:dyDescent="0.4">
      <c r="A5420" s="1" t="s">
        <v>10536</v>
      </c>
      <c r="B5420" t="s">
        <v>10537</v>
      </c>
      <c r="C5420" t="s">
        <v>10525</v>
      </c>
    </row>
    <row r="5421" spans="1:4" x14ac:dyDescent="0.4">
      <c r="A5421" s="1" t="s">
        <v>10538</v>
      </c>
      <c r="B5421" t="s">
        <v>10539</v>
      </c>
    </row>
    <row r="5422" spans="1:4" x14ac:dyDescent="0.4">
      <c r="A5422" s="1" t="s">
        <v>10540</v>
      </c>
      <c r="B5422" t="s">
        <v>10541</v>
      </c>
      <c r="D5422">
        <v>110000</v>
      </c>
    </row>
    <row r="5423" spans="1:4" x14ac:dyDescent="0.4">
      <c r="A5423" s="1" t="s">
        <v>10542</v>
      </c>
      <c r="B5423" t="s">
        <v>10543</v>
      </c>
      <c r="D5423">
        <v>170000</v>
      </c>
    </row>
    <row r="5424" spans="1:4" x14ac:dyDescent="0.4">
      <c r="A5424" s="1" t="s">
        <v>10544</v>
      </c>
      <c r="B5424" t="s">
        <v>10545</v>
      </c>
      <c r="D5424">
        <v>670000</v>
      </c>
    </row>
    <row r="5425" spans="1:4" x14ac:dyDescent="0.4">
      <c r="A5425" s="1" t="s">
        <v>10546</v>
      </c>
      <c r="B5425" t="s">
        <v>10547</v>
      </c>
      <c r="D5425">
        <v>170000</v>
      </c>
    </row>
    <row r="5426" spans="1:4" x14ac:dyDescent="0.4">
      <c r="A5426" s="1" t="s">
        <v>10548</v>
      </c>
      <c r="B5426" t="s">
        <v>10549</v>
      </c>
    </row>
    <row r="5427" spans="1:4" x14ac:dyDescent="0.4">
      <c r="A5427" s="1" t="s">
        <v>10550</v>
      </c>
      <c r="B5427" t="s">
        <v>10551</v>
      </c>
    </row>
    <row r="5428" spans="1:4" x14ac:dyDescent="0.4">
      <c r="A5428" s="1" t="s">
        <v>10552</v>
      </c>
      <c r="B5428" t="s">
        <v>10553</v>
      </c>
      <c r="C5428" t="s">
        <v>5</v>
      </c>
      <c r="D5428">
        <v>174000</v>
      </c>
    </row>
    <row r="5429" spans="1:4" x14ac:dyDescent="0.4">
      <c r="A5429" s="1" t="s">
        <v>10554</v>
      </c>
      <c r="B5429" t="s">
        <v>10555</v>
      </c>
      <c r="C5429" t="s">
        <v>5</v>
      </c>
      <c r="D5429">
        <v>163000</v>
      </c>
    </row>
    <row r="5430" spans="1:4" x14ac:dyDescent="0.4">
      <c r="A5430" s="1" t="s">
        <v>10556</v>
      </c>
      <c r="B5430" t="s">
        <v>10557</v>
      </c>
    </row>
    <row r="5431" spans="1:4" x14ac:dyDescent="0.4">
      <c r="A5431" s="1" t="s">
        <v>10558</v>
      </c>
      <c r="B5431" t="s">
        <v>10559</v>
      </c>
      <c r="C5431" t="s">
        <v>5</v>
      </c>
      <c r="D5431">
        <v>130000</v>
      </c>
    </row>
    <row r="5432" spans="1:4" x14ac:dyDescent="0.4">
      <c r="A5432" s="1" t="s">
        <v>10560</v>
      </c>
      <c r="B5432" t="s">
        <v>10561</v>
      </c>
      <c r="C5432" t="s">
        <v>5</v>
      </c>
      <c r="D5432">
        <v>174000</v>
      </c>
    </row>
    <row r="5433" spans="1:4" x14ac:dyDescent="0.4">
      <c r="A5433" s="1" t="s">
        <v>10562</v>
      </c>
      <c r="B5433" t="s">
        <v>10563</v>
      </c>
    </row>
    <row r="5434" spans="1:4" x14ac:dyDescent="0.4">
      <c r="A5434" s="1" t="s">
        <v>10564</v>
      </c>
      <c r="B5434" t="s">
        <v>10565</v>
      </c>
      <c r="C5434" t="s">
        <v>5</v>
      </c>
      <c r="D5434">
        <v>5600</v>
      </c>
    </row>
    <row r="5435" spans="1:4" x14ac:dyDescent="0.4">
      <c r="A5435" s="1" t="s">
        <v>10566</v>
      </c>
      <c r="B5435" t="s">
        <v>10567</v>
      </c>
      <c r="D5435">
        <v>450000</v>
      </c>
    </row>
    <row r="5436" spans="1:4" x14ac:dyDescent="0.4">
      <c r="A5436" s="1" t="s">
        <v>10568</v>
      </c>
      <c r="B5436" t="s">
        <v>10569</v>
      </c>
    </row>
    <row r="5437" spans="1:4" x14ac:dyDescent="0.4">
      <c r="A5437" s="1" t="s">
        <v>10570</v>
      </c>
      <c r="B5437" t="s">
        <v>10571</v>
      </c>
      <c r="D5437">
        <v>120000</v>
      </c>
    </row>
    <row r="5438" spans="1:4" x14ac:dyDescent="0.4">
      <c r="A5438" s="1" t="s">
        <v>10572</v>
      </c>
      <c r="B5438" t="s">
        <v>10573</v>
      </c>
      <c r="D5438">
        <v>180000</v>
      </c>
    </row>
    <row r="5439" spans="1:4" x14ac:dyDescent="0.4">
      <c r="A5439" s="1" t="s">
        <v>10574</v>
      </c>
      <c r="B5439" t="s">
        <v>10575</v>
      </c>
      <c r="C5439" t="s">
        <v>5</v>
      </c>
    </row>
    <row r="5440" spans="1:4" x14ac:dyDescent="0.4">
      <c r="A5440" s="1" t="s">
        <v>10576</v>
      </c>
      <c r="B5440" t="s">
        <v>10577</v>
      </c>
      <c r="C5440" t="s">
        <v>5</v>
      </c>
    </row>
    <row r="5441" spans="1:4" x14ac:dyDescent="0.4">
      <c r="A5441" s="1" t="s">
        <v>10578</v>
      </c>
      <c r="B5441" t="s">
        <v>10579</v>
      </c>
      <c r="C5441" t="s">
        <v>5</v>
      </c>
    </row>
    <row r="5442" spans="1:4" x14ac:dyDescent="0.4">
      <c r="A5442" s="1" t="s">
        <v>10580</v>
      </c>
      <c r="B5442" t="s">
        <v>10581</v>
      </c>
      <c r="C5442" t="s">
        <v>5</v>
      </c>
    </row>
    <row r="5443" spans="1:4" x14ac:dyDescent="0.4">
      <c r="A5443" s="1" t="s">
        <v>10582</v>
      </c>
      <c r="B5443" t="s">
        <v>10583</v>
      </c>
      <c r="C5443" t="s">
        <v>5</v>
      </c>
      <c r="D5443">
        <v>174000</v>
      </c>
    </row>
    <row r="5444" spans="1:4" x14ac:dyDescent="0.4">
      <c r="A5444" s="1" t="s">
        <v>10584</v>
      </c>
      <c r="B5444" t="s">
        <v>10585</v>
      </c>
      <c r="D5444">
        <v>50000</v>
      </c>
    </row>
    <row r="5445" spans="1:4" x14ac:dyDescent="0.4">
      <c r="A5445" s="1" t="s">
        <v>10586</v>
      </c>
      <c r="B5445" t="e">
        <f>-終息-EPSON ｲﾝｸｶｰﾄﾘｯｼﾞ PJIC6K ﾌﾞﾗｯｸ</f>
        <v>#NAME?</v>
      </c>
      <c r="C5445" t="s">
        <v>5</v>
      </c>
    </row>
    <row r="5446" spans="1:4" x14ac:dyDescent="0.4">
      <c r="A5446" s="1" t="s">
        <v>10587</v>
      </c>
      <c r="B5446" t="s">
        <v>10588</v>
      </c>
      <c r="C5446" t="s">
        <v>2808</v>
      </c>
    </row>
    <row r="5447" spans="1:4" x14ac:dyDescent="0.4">
      <c r="A5447" s="1" t="s">
        <v>10589</v>
      </c>
      <c r="B5447" t="s">
        <v>10590</v>
      </c>
      <c r="D5447">
        <v>474000</v>
      </c>
    </row>
    <row r="5448" spans="1:4" x14ac:dyDescent="0.4">
      <c r="A5448" s="1" t="s">
        <v>10591</v>
      </c>
      <c r="B5448" t="s">
        <v>10592</v>
      </c>
      <c r="D5448">
        <v>586000</v>
      </c>
    </row>
    <row r="5449" spans="1:4" x14ac:dyDescent="0.4">
      <c r="A5449" s="1" t="s">
        <v>10593</v>
      </c>
      <c r="B5449" t="s">
        <v>10594</v>
      </c>
      <c r="D5449">
        <v>599000</v>
      </c>
    </row>
    <row r="5450" spans="1:4" x14ac:dyDescent="0.4">
      <c r="A5450" s="1" t="s">
        <v>10595</v>
      </c>
      <c r="B5450" t="s">
        <v>10596</v>
      </c>
      <c r="D5450">
        <v>167000</v>
      </c>
    </row>
    <row r="5451" spans="1:4" x14ac:dyDescent="0.4">
      <c r="A5451" s="1" t="s">
        <v>10597</v>
      </c>
      <c r="B5451" t="s">
        <v>10598</v>
      </c>
      <c r="D5451">
        <v>187000</v>
      </c>
    </row>
    <row r="5452" spans="1:4" x14ac:dyDescent="0.4">
      <c r="A5452" s="1" t="s">
        <v>10599</v>
      </c>
      <c r="B5452" t="s">
        <v>10600</v>
      </c>
      <c r="D5452">
        <v>286000</v>
      </c>
    </row>
    <row r="5453" spans="1:4" x14ac:dyDescent="0.4">
      <c r="A5453" s="1" t="s">
        <v>10601</v>
      </c>
      <c r="B5453" t="s">
        <v>10602</v>
      </c>
      <c r="D5453">
        <v>115800</v>
      </c>
    </row>
    <row r="5454" spans="1:4" x14ac:dyDescent="0.4">
      <c r="A5454" s="1" t="s">
        <v>10603</v>
      </c>
      <c r="B5454" t="s">
        <v>10604</v>
      </c>
      <c r="D5454">
        <v>258000</v>
      </c>
    </row>
    <row r="5455" spans="1:4" x14ac:dyDescent="0.4">
      <c r="A5455" s="1" t="s">
        <v>10605</v>
      </c>
      <c r="B5455" t="s">
        <v>10606</v>
      </c>
      <c r="D5455">
        <v>157800</v>
      </c>
    </row>
    <row r="5456" spans="1:4" x14ac:dyDescent="0.4">
      <c r="A5456" s="1" t="s">
        <v>10607</v>
      </c>
      <c r="B5456" t="s">
        <v>10608</v>
      </c>
      <c r="D5456">
        <v>181000</v>
      </c>
    </row>
    <row r="5457" spans="1:4" x14ac:dyDescent="0.4">
      <c r="A5457" s="1" t="s">
        <v>10609</v>
      </c>
      <c r="B5457" t="s">
        <v>10610</v>
      </c>
      <c r="D5457">
        <v>95800</v>
      </c>
    </row>
    <row r="5458" spans="1:4" x14ac:dyDescent="0.4">
      <c r="A5458" s="1" t="s">
        <v>10611</v>
      </c>
      <c r="B5458" t="s">
        <v>10612</v>
      </c>
      <c r="C5458" t="s">
        <v>5</v>
      </c>
      <c r="D5458">
        <v>56000</v>
      </c>
    </row>
    <row r="5459" spans="1:4" x14ac:dyDescent="0.4">
      <c r="A5459" s="1" t="s">
        <v>10613</v>
      </c>
      <c r="B5459" t="s">
        <v>10614</v>
      </c>
    </row>
    <row r="5460" spans="1:4" x14ac:dyDescent="0.4">
      <c r="A5460" s="1" t="s">
        <v>10615</v>
      </c>
      <c r="B5460" t="s">
        <v>10616</v>
      </c>
    </row>
    <row r="5461" spans="1:4" x14ac:dyDescent="0.4">
      <c r="A5461" s="1" t="s">
        <v>10617</v>
      </c>
      <c r="B5461" t="s">
        <v>10618</v>
      </c>
    </row>
    <row r="5462" spans="1:4" x14ac:dyDescent="0.4">
      <c r="A5462" s="1" t="s">
        <v>10619</v>
      </c>
      <c r="B5462" t="s">
        <v>10620</v>
      </c>
    </row>
    <row r="5463" spans="1:4" x14ac:dyDescent="0.4">
      <c r="A5463" s="1" t="s">
        <v>10621</v>
      </c>
      <c r="B5463" t="s">
        <v>10622</v>
      </c>
    </row>
    <row r="5464" spans="1:4" x14ac:dyDescent="0.4">
      <c r="A5464" s="1" t="s">
        <v>10623</v>
      </c>
      <c r="B5464" t="s">
        <v>10624</v>
      </c>
    </row>
    <row r="5465" spans="1:4" x14ac:dyDescent="0.4">
      <c r="A5465" s="1" t="s">
        <v>10625</v>
      </c>
      <c r="B5465" t="s">
        <v>10626</v>
      </c>
    </row>
    <row r="5466" spans="1:4" x14ac:dyDescent="0.4">
      <c r="A5466" s="1" t="s">
        <v>10627</v>
      </c>
      <c r="B5466" t="s">
        <v>10628</v>
      </c>
    </row>
    <row r="5467" spans="1:4" x14ac:dyDescent="0.4">
      <c r="A5467" s="1" t="s">
        <v>10629</v>
      </c>
      <c r="B5467" t="s">
        <v>10630</v>
      </c>
    </row>
    <row r="5468" spans="1:4" x14ac:dyDescent="0.4">
      <c r="A5468" s="1" t="s">
        <v>10631</v>
      </c>
      <c r="B5468" t="s">
        <v>10632</v>
      </c>
      <c r="C5468" t="s">
        <v>2808</v>
      </c>
    </row>
    <row r="5469" spans="1:4" x14ac:dyDescent="0.4">
      <c r="A5469" s="1" t="s">
        <v>10633</v>
      </c>
      <c r="B5469" t="s">
        <v>10634</v>
      </c>
      <c r="C5469" t="s">
        <v>2808</v>
      </c>
    </row>
    <row r="5470" spans="1:4" x14ac:dyDescent="0.4">
      <c r="A5470" s="1" t="s">
        <v>10635</v>
      </c>
      <c r="B5470" t="s">
        <v>10636</v>
      </c>
      <c r="C5470" t="s">
        <v>2808</v>
      </c>
    </row>
    <row r="5471" spans="1:4" x14ac:dyDescent="0.4">
      <c r="A5471" s="1" t="s">
        <v>10637</v>
      </c>
      <c r="B5471" t="s">
        <v>10638</v>
      </c>
      <c r="C5471" t="s">
        <v>2808</v>
      </c>
    </row>
    <row r="5472" spans="1:4" x14ac:dyDescent="0.4">
      <c r="A5472" s="1" t="s">
        <v>10639</v>
      </c>
      <c r="B5472" t="s">
        <v>10640</v>
      </c>
      <c r="C5472" t="s">
        <v>2808</v>
      </c>
    </row>
    <row r="5473" spans="1:3" x14ac:dyDescent="0.4">
      <c r="A5473" s="1" t="s">
        <v>10641</v>
      </c>
      <c r="B5473" t="s">
        <v>10642</v>
      </c>
      <c r="C5473" t="s">
        <v>2808</v>
      </c>
    </row>
    <row r="5474" spans="1:3" x14ac:dyDescent="0.4">
      <c r="A5474" s="1" t="s">
        <v>10643</v>
      </c>
      <c r="B5474" t="s">
        <v>10644</v>
      </c>
      <c r="C5474" t="s">
        <v>2808</v>
      </c>
    </row>
    <row r="5475" spans="1:3" x14ac:dyDescent="0.4">
      <c r="A5475" s="1" t="s">
        <v>10645</v>
      </c>
      <c r="B5475" t="s">
        <v>10646</v>
      </c>
      <c r="C5475" t="s">
        <v>2808</v>
      </c>
    </row>
    <row r="5476" spans="1:3" x14ac:dyDescent="0.4">
      <c r="A5476" s="1" t="s">
        <v>10647</v>
      </c>
      <c r="B5476" t="s">
        <v>10648</v>
      </c>
      <c r="C5476" t="s">
        <v>2808</v>
      </c>
    </row>
    <row r="5477" spans="1:3" x14ac:dyDescent="0.4">
      <c r="A5477" s="1" t="s">
        <v>10649</v>
      </c>
      <c r="B5477" t="s">
        <v>10650</v>
      </c>
      <c r="C5477" t="s">
        <v>2808</v>
      </c>
    </row>
    <row r="5478" spans="1:3" x14ac:dyDescent="0.4">
      <c r="A5478" s="1" t="s">
        <v>10651</v>
      </c>
      <c r="B5478" t="s">
        <v>10652</v>
      </c>
      <c r="C5478" t="s">
        <v>2808</v>
      </c>
    </row>
    <row r="5479" spans="1:3" x14ac:dyDescent="0.4">
      <c r="A5479" s="1" t="s">
        <v>10653</v>
      </c>
      <c r="B5479" t="s">
        <v>10654</v>
      </c>
      <c r="C5479" t="s">
        <v>2808</v>
      </c>
    </row>
    <row r="5480" spans="1:3" x14ac:dyDescent="0.4">
      <c r="A5480" s="1" t="s">
        <v>10655</v>
      </c>
      <c r="B5480" t="s">
        <v>10656</v>
      </c>
      <c r="C5480" t="s">
        <v>2808</v>
      </c>
    </row>
    <row r="5481" spans="1:3" x14ac:dyDescent="0.4">
      <c r="A5481" s="1" t="s">
        <v>10657</v>
      </c>
      <c r="B5481" t="s">
        <v>10658</v>
      </c>
      <c r="C5481" t="s">
        <v>2808</v>
      </c>
    </row>
    <row r="5482" spans="1:3" x14ac:dyDescent="0.4">
      <c r="A5482" s="1" t="s">
        <v>10659</v>
      </c>
      <c r="B5482" t="s">
        <v>10660</v>
      </c>
      <c r="C5482" t="s">
        <v>2808</v>
      </c>
    </row>
    <row r="5483" spans="1:3" x14ac:dyDescent="0.4">
      <c r="A5483" s="1" t="s">
        <v>10661</v>
      </c>
      <c r="B5483" t="s">
        <v>10662</v>
      </c>
      <c r="C5483" t="s">
        <v>2808</v>
      </c>
    </row>
    <row r="5484" spans="1:3" x14ac:dyDescent="0.4">
      <c r="A5484" s="1" t="s">
        <v>10663</v>
      </c>
      <c r="B5484" t="s">
        <v>10664</v>
      </c>
      <c r="C5484" t="s">
        <v>2808</v>
      </c>
    </row>
    <row r="5485" spans="1:3" x14ac:dyDescent="0.4">
      <c r="A5485" s="1" t="s">
        <v>10665</v>
      </c>
      <c r="B5485" t="s">
        <v>10666</v>
      </c>
      <c r="C5485" t="s">
        <v>2808</v>
      </c>
    </row>
    <row r="5486" spans="1:3" x14ac:dyDescent="0.4">
      <c r="A5486" s="1" t="s">
        <v>10667</v>
      </c>
      <c r="B5486" t="s">
        <v>10668</v>
      </c>
      <c r="C5486" t="s">
        <v>2808</v>
      </c>
    </row>
    <row r="5487" spans="1:3" x14ac:dyDescent="0.4">
      <c r="A5487" s="1" t="s">
        <v>10669</v>
      </c>
      <c r="B5487" t="s">
        <v>10670</v>
      </c>
      <c r="C5487" t="s">
        <v>2808</v>
      </c>
    </row>
    <row r="5488" spans="1:3" x14ac:dyDescent="0.4">
      <c r="A5488" s="1" t="s">
        <v>10671</v>
      </c>
      <c r="B5488" t="s">
        <v>10672</v>
      </c>
      <c r="C5488" t="s">
        <v>2808</v>
      </c>
    </row>
    <row r="5489" spans="1:3" x14ac:dyDescent="0.4">
      <c r="A5489" s="1" t="s">
        <v>10673</v>
      </c>
      <c r="B5489" t="s">
        <v>10674</v>
      </c>
      <c r="C5489" t="s">
        <v>2808</v>
      </c>
    </row>
    <row r="5490" spans="1:3" x14ac:dyDescent="0.4">
      <c r="A5490" s="1" t="s">
        <v>10675</v>
      </c>
      <c r="B5490" t="s">
        <v>10676</v>
      </c>
      <c r="C5490" t="s">
        <v>2808</v>
      </c>
    </row>
    <row r="5491" spans="1:3" x14ac:dyDescent="0.4">
      <c r="A5491" s="1" t="s">
        <v>10677</v>
      </c>
      <c r="B5491" t="s">
        <v>10678</v>
      </c>
      <c r="C5491" t="s">
        <v>2808</v>
      </c>
    </row>
    <row r="5492" spans="1:3" x14ac:dyDescent="0.4">
      <c r="A5492" s="1" t="s">
        <v>10679</v>
      </c>
      <c r="B5492" t="s">
        <v>10680</v>
      </c>
      <c r="C5492" t="s">
        <v>2808</v>
      </c>
    </row>
    <row r="5493" spans="1:3" x14ac:dyDescent="0.4">
      <c r="A5493" s="1" t="s">
        <v>10681</v>
      </c>
      <c r="B5493" t="s">
        <v>10682</v>
      </c>
      <c r="C5493" t="s">
        <v>2808</v>
      </c>
    </row>
    <row r="5494" spans="1:3" x14ac:dyDescent="0.4">
      <c r="A5494" s="1" t="s">
        <v>10683</v>
      </c>
      <c r="B5494" t="s">
        <v>10684</v>
      </c>
      <c r="C5494" t="s">
        <v>2808</v>
      </c>
    </row>
    <row r="5495" spans="1:3" x14ac:dyDescent="0.4">
      <c r="A5495" s="1" t="s">
        <v>10685</v>
      </c>
      <c r="B5495" t="s">
        <v>10686</v>
      </c>
      <c r="C5495" t="s">
        <v>2808</v>
      </c>
    </row>
    <row r="5496" spans="1:3" x14ac:dyDescent="0.4">
      <c r="A5496" s="1" t="s">
        <v>10687</v>
      </c>
      <c r="B5496" t="s">
        <v>10688</v>
      </c>
      <c r="C5496" t="s">
        <v>2808</v>
      </c>
    </row>
    <row r="5497" spans="1:3" x14ac:dyDescent="0.4">
      <c r="A5497" s="1" t="s">
        <v>10689</v>
      </c>
      <c r="B5497" t="s">
        <v>10690</v>
      </c>
      <c r="C5497" t="s">
        <v>2808</v>
      </c>
    </row>
    <row r="5498" spans="1:3" x14ac:dyDescent="0.4">
      <c r="A5498" s="1" t="s">
        <v>10691</v>
      </c>
      <c r="B5498" t="s">
        <v>10692</v>
      </c>
      <c r="C5498" t="s">
        <v>2808</v>
      </c>
    </row>
    <row r="5499" spans="1:3" x14ac:dyDescent="0.4">
      <c r="A5499" s="1" t="s">
        <v>10693</v>
      </c>
      <c r="B5499" t="s">
        <v>10694</v>
      </c>
      <c r="C5499" t="s">
        <v>2808</v>
      </c>
    </row>
    <row r="5500" spans="1:3" x14ac:dyDescent="0.4">
      <c r="A5500" s="1" t="s">
        <v>10695</v>
      </c>
      <c r="B5500" t="s">
        <v>10696</v>
      </c>
      <c r="C5500" t="s">
        <v>2808</v>
      </c>
    </row>
    <row r="5501" spans="1:3" x14ac:dyDescent="0.4">
      <c r="A5501" s="1" t="s">
        <v>10697</v>
      </c>
      <c r="B5501" t="s">
        <v>10698</v>
      </c>
      <c r="C5501" t="s">
        <v>2808</v>
      </c>
    </row>
    <row r="5502" spans="1:3" x14ac:dyDescent="0.4">
      <c r="A5502" s="1" t="s">
        <v>10699</v>
      </c>
      <c r="B5502" t="s">
        <v>10700</v>
      </c>
      <c r="C5502" t="s">
        <v>2808</v>
      </c>
    </row>
    <row r="5503" spans="1:3" x14ac:dyDescent="0.4">
      <c r="A5503" s="1" t="s">
        <v>10701</v>
      </c>
      <c r="B5503" t="s">
        <v>10702</v>
      </c>
      <c r="C5503" t="s">
        <v>2808</v>
      </c>
    </row>
    <row r="5504" spans="1:3" x14ac:dyDescent="0.4">
      <c r="A5504" s="1" t="s">
        <v>10703</v>
      </c>
      <c r="B5504" t="s">
        <v>10704</v>
      </c>
      <c r="C5504" t="s">
        <v>2808</v>
      </c>
    </row>
    <row r="5505" spans="1:3" x14ac:dyDescent="0.4">
      <c r="A5505" s="1" t="s">
        <v>10705</v>
      </c>
      <c r="B5505" t="s">
        <v>10706</v>
      </c>
      <c r="C5505" t="s">
        <v>2808</v>
      </c>
    </row>
    <row r="5506" spans="1:3" x14ac:dyDescent="0.4">
      <c r="A5506" s="1" t="s">
        <v>10707</v>
      </c>
      <c r="B5506" t="s">
        <v>10708</v>
      </c>
      <c r="C5506" t="s">
        <v>2808</v>
      </c>
    </row>
    <row r="5507" spans="1:3" x14ac:dyDescent="0.4">
      <c r="A5507" s="1" t="s">
        <v>10709</v>
      </c>
      <c r="B5507" t="s">
        <v>10710</v>
      </c>
      <c r="C5507" t="s">
        <v>2808</v>
      </c>
    </row>
    <row r="5508" spans="1:3" x14ac:dyDescent="0.4">
      <c r="A5508" s="1" t="s">
        <v>10711</v>
      </c>
      <c r="B5508" t="s">
        <v>10712</v>
      </c>
      <c r="C5508" t="s">
        <v>2808</v>
      </c>
    </row>
    <row r="5509" spans="1:3" x14ac:dyDescent="0.4">
      <c r="A5509" s="1" t="s">
        <v>10713</v>
      </c>
      <c r="B5509" t="s">
        <v>10714</v>
      </c>
      <c r="C5509" t="s">
        <v>2808</v>
      </c>
    </row>
    <row r="5510" spans="1:3" x14ac:dyDescent="0.4">
      <c r="A5510" s="1" t="s">
        <v>10715</v>
      </c>
      <c r="B5510" t="s">
        <v>10716</v>
      </c>
      <c r="C5510" t="s">
        <v>2808</v>
      </c>
    </row>
    <row r="5511" spans="1:3" x14ac:dyDescent="0.4">
      <c r="A5511" s="1" t="s">
        <v>10717</v>
      </c>
      <c r="B5511" t="s">
        <v>10718</v>
      </c>
      <c r="C5511" t="s">
        <v>2808</v>
      </c>
    </row>
    <row r="5512" spans="1:3" x14ac:dyDescent="0.4">
      <c r="A5512" s="1" t="s">
        <v>10719</v>
      </c>
      <c r="B5512" t="s">
        <v>10720</v>
      </c>
      <c r="C5512" t="s">
        <v>2808</v>
      </c>
    </row>
    <row r="5513" spans="1:3" x14ac:dyDescent="0.4">
      <c r="A5513" s="1" t="s">
        <v>10721</v>
      </c>
      <c r="B5513" t="s">
        <v>10722</v>
      </c>
      <c r="C5513" t="s">
        <v>2808</v>
      </c>
    </row>
    <row r="5514" spans="1:3" x14ac:dyDescent="0.4">
      <c r="A5514" s="1" t="s">
        <v>10723</v>
      </c>
      <c r="B5514" t="s">
        <v>10724</v>
      </c>
      <c r="C5514" t="s">
        <v>2808</v>
      </c>
    </row>
    <row r="5515" spans="1:3" x14ac:dyDescent="0.4">
      <c r="A5515" s="1" t="s">
        <v>10725</v>
      </c>
      <c r="B5515" t="s">
        <v>10726</v>
      </c>
      <c r="C5515" t="s">
        <v>2808</v>
      </c>
    </row>
    <row r="5516" spans="1:3" x14ac:dyDescent="0.4">
      <c r="A5516" s="1" t="s">
        <v>10727</v>
      </c>
      <c r="B5516" t="s">
        <v>10728</v>
      </c>
      <c r="C5516" t="s">
        <v>2808</v>
      </c>
    </row>
    <row r="5517" spans="1:3" x14ac:dyDescent="0.4">
      <c r="A5517" s="1" t="s">
        <v>10729</v>
      </c>
      <c r="B5517" t="s">
        <v>10730</v>
      </c>
      <c r="C5517" t="s">
        <v>2808</v>
      </c>
    </row>
    <row r="5518" spans="1:3" x14ac:dyDescent="0.4">
      <c r="A5518" s="1" t="s">
        <v>10731</v>
      </c>
      <c r="B5518" t="s">
        <v>10732</v>
      </c>
      <c r="C5518" t="s">
        <v>2808</v>
      </c>
    </row>
    <row r="5519" spans="1:3" x14ac:dyDescent="0.4">
      <c r="A5519" s="1" t="s">
        <v>10733</v>
      </c>
      <c r="B5519" t="s">
        <v>10734</v>
      </c>
      <c r="C5519" t="s">
        <v>2808</v>
      </c>
    </row>
    <row r="5520" spans="1:3" x14ac:dyDescent="0.4">
      <c r="A5520" s="1" t="s">
        <v>10735</v>
      </c>
      <c r="B5520" t="s">
        <v>10736</v>
      </c>
      <c r="C5520" t="s">
        <v>2808</v>
      </c>
    </row>
    <row r="5521" spans="1:3" x14ac:dyDescent="0.4">
      <c r="A5521" s="1" t="s">
        <v>10737</v>
      </c>
      <c r="B5521" t="s">
        <v>10738</v>
      </c>
      <c r="C5521" t="s">
        <v>2808</v>
      </c>
    </row>
    <row r="5522" spans="1:3" x14ac:dyDescent="0.4">
      <c r="A5522" s="1" t="s">
        <v>10739</v>
      </c>
      <c r="B5522" t="s">
        <v>10740</v>
      </c>
      <c r="C5522" t="s">
        <v>2808</v>
      </c>
    </row>
    <row r="5523" spans="1:3" x14ac:dyDescent="0.4">
      <c r="A5523" s="1" t="s">
        <v>10741</v>
      </c>
      <c r="B5523" t="s">
        <v>10742</v>
      </c>
      <c r="C5523" t="s">
        <v>2808</v>
      </c>
    </row>
    <row r="5524" spans="1:3" x14ac:dyDescent="0.4">
      <c r="A5524" s="1" t="s">
        <v>10743</v>
      </c>
      <c r="B5524" t="s">
        <v>10744</v>
      </c>
      <c r="C5524" t="s">
        <v>2808</v>
      </c>
    </row>
    <row r="5525" spans="1:3" x14ac:dyDescent="0.4">
      <c r="A5525" s="1" t="s">
        <v>10745</v>
      </c>
      <c r="B5525" t="s">
        <v>10746</v>
      </c>
      <c r="C5525" t="s">
        <v>2808</v>
      </c>
    </row>
    <row r="5526" spans="1:3" x14ac:dyDescent="0.4">
      <c r="A5526" s="1" t="s">
        <v>10747</v>
      </c>
      <c r="B5526" t="s">
        <v>10748</v>
      </c>
      <c r="C5526" t="s">
        <v>2808</v>
      </c>
    </row>
    <row r="5527" spans="1:3" x14ac:dyDescent="0.4">
      <c r="A5527" s="1" t="s">
        <v>10749</v>
      </c>
      <c r="B5527" t="s">
        <v>10750</v>
      </c>
      <c r="C5527" t="s">
        <v>2808</v>
      </c>
    </row>
    <row r="5528" spans="1:3" x14ac:dyDescent="0.4">
      <c r="A5528" s="1" t="s">
        <v>10751</v>
      </c>
      <c r="B5528" t="s">
        <v>10752</v>
      </c>
      <c r="C5528" t="s">
        <v>2808</v>
      </c>
    </row>
    <row r="5529" spans="1:3" x14ac:dyDescent="0.4">
      <c r="A5529" s="1" t="s">
        <v>10753</v>
      </c>
      <c r="B5529" t="s">
        <v>10754</v>
      </c>
      <c r="C5529" t="s">
        <v>2808</v>
      </c>
    </row>
    <row r="5530" spans="1:3" x14ac:dyDescent="0.4">
      <c r="A5530" s="1" t="s">
        <v>10755</v>
      </c>
      <c r="B5530" t="s">
        <v>10756</v>
      </c>
      <c r="C5530" t="s">
        <v>2808</v>
      </c>
    </row>
    <row r="5531" spans="1:3" x14ac:dyDescent="0.4">
      <c r="A5531" s="1" t="s">
        <v>10757</v>
      </c>
      <c r="B5531" t="s">
        <v>10758</v>
      </c>
      <c r="C5531" t="s">
        <v>2808</v>
      </c>
    </row>
    <row r="5532" spans="1:3" x14ac:dyDescent="0.4">
      <c r="A5532" s="1" t="s">
        <v>10759</v>
      </c>
      <c r="B5532" t="s">
        <v>10760</v>
      </c>
      <c r="C5532" t="s">
        <v>2808</v>
      </c>
    </row>
    <row r="5533" spans="1:3" x14ac:dyDescent="0.4">
      <c r="A5533" s="1" t="s">
        <v>10761</v>
      </c>
      <c r="B5533" t="s">
        <v>10762</v>
      </c>
      <c r="C5533" t="s">
        <v>2808</v>
      </c>
    </row>
    <row r="5534" spans="1:3" x14ac:dyDescent="0.4">
      <c r="A5534" s="1" t="s">
        <v>10763</v>
      </c>
      <c r="B5534" t="s">
        <v>10764</v>
      </c>
      <c r="C5534" t="s">
        <v>2808</v>
      </c>
    </row>
    <row r="5535" spans="1:3" x14ac:dyDescent="0.4">
      <c r="A5535" s="1" t="s">
        <v>10765</v>
      </c>
      <c r="B5535" t="s">
        <v>10766</v>
      </c>
      <c r="C5535" t="s">
        <v>2808</v>
      </c>
    </row>
    <row r="5536" spans="1:3" x14ac:dyDescent="0.4">
      <c r="A5536" s="1" t="s">
        <v>10767</v>
      </c>
      <c r="B5536" t="s">
        <v>10768</v>
      </c>
      <c r="C5536" t="s">
        <v>2808</v>
      </c>
    </row>
    <row r="5537" spans="1:3" x14ac:dyDescent="0.4">
      <c r="A5537" s="1" t="s">
        <v>10769</v>
      </c>
      <c r="B5537" t="s">
        <v>10770</v>
      </c>
      <c r="C5537" t="s">
        <v>2808</v>
      </c>
    </row>
    <row r="5538" spans="1:3" x14ac:dyDescent="0.4">
      <c r="A5538" s="1" t="s">
        <v>10771</v>
      </c>
      <c r="B5538" t="s">
        <v>10772</v>
      </c>
      <c r="C5538" t="s">
        <v>2808</v>
      </c>
    </row>
    <row r="5539" spans="1:3" x14ac:dyDescent="0.4">
      <c r="A5539" s="1" t="s">
        <v>10773</v>
      </c>
      <c r="B5539" t="s">
        <v>10774</v>
      </c>
      <c r="C5539" t="s">
        <v>2808</v>
      </c>
    </row>
    <row r="5540" spans="1:3" x14ac:dyDescent="0.4">
      <c r="A5540" s="1" t="s">
        <v>10775</v>
      </c>
      <c r="B5540" t="s">
        <v>10776</v>
      </c>
      <c r="C5540" t="s">
        <v>2808</v>
      </c>
    </row>
    <row r="5541" spans="1:3" x14ac:dyDescent="0.4">
      <c r="A5541" s="1" t="s">
        <v>10777</v>
      </c>
      <c r="B5541" t="s">
        <v>10778</v>
      </c>
      <c r="C5541" t="s">
        <v>2808</v>
      </c>
    </row>
    <row r="5542" spans="1:3" x14ac:dyDescent="0.4">
      <c r="A5542" s="1" t="s">
        <v>10779</v>
      </c>
      <c r="B5542" t="s">
        <v>10780</v>
      </c>
      <c r="C5542" t="s">
        <v>2808</v>
      </c>
    </row>
    <row r="5543" spans="1:3" x14ac:dyDescent="0.4">
      <c r="A5543" s="1" t="s">
        <v>10781</v>
      </c>
      <c r="B5543" t="s">
        <v>10782</v>
      </c>
      <c r="C5543" t="s">
        <v>2808</v>
      </c>
    </row>
    <row r="5544" spans="1:3" x14ac:dyDescent="0.4">
      <c r="A5544" s="1" t="s">
        <v>10783</v>
      </c>
      <c r="B5544" t="s">
        <v>10784</v>
      </c>
      <c r="C5544" t="s">
        <v>2808</v>
      </c>
    </row>
    <row r="5545" spans="1:3" x14ac:dyDescent="0.4">
      <c r="A5545" s="1" t="s">
        <v>10785</v>
      </c>
      <c r="B5545" t="s">
        <v>10786</v>
      </c>
      <c r="C5545" t="s">
        <v>2808</v>
      </c>
    </row>
    <row r="5546" spans="1:3" x14ac:dyDescent="0.4">
      <c r="A5546" s="1" t="s">
        <v>10787</v>
      </c>
      <c r="B5546" t="s">
        <v>10788</v>
      </c>
      <c r="C5546" t="s">
        <v>2808</v>
      </c>
    </row>
    <row r="5547" spans="1:3" x14ac:dyDescent="0.4">
      <c r="A5547" s="1" t="s">
        <v>10789</v>
      </c>
      <c r="B5547" t="s">
        <v>10790</v>
      </c>
      <c r="C5547" t="s">
        <v>2808</v>
      </c>
    </row>
    <row r="5548" spans="1:3" x14ac:dyDescent="0.4">
      <c r="A5548" s="1" t="s">
        <v>10791</v>
      </c>
      <c r="B5548" t="s">
        <v>10792</v>
      </c>
      <c r="C5548" t="s">
        <v>2808</v>
      </c>
    </row>
    <row r="5549" spans="1:3" x14ac:dyDescent="0.4">
      <c r="A5549" s="1" t="s">
        <v>10793</v>
      </c>
      <c r="B5549" t="s">
        <v>10794</v>
      </c>
      <c r="C5549" t="s">
        <v>2808</v>
      </c>
    </row>
    <row r="5550" spans="1:3" x14ac:dyDescent="0.4">
      <c r="A5550" s="1" t="s">
        <v>10795</v>
      </c>
      <c r="B5550" t="s">
        <v>10796</v>
      </c>
      <c r="C5550" t="s">
        <v>2808</v>
      </c>
    </row>
    <row r="5551" spans="1:3" x14ac:dyDescent="0.4">
      <c r="A5551" s="1" t="s">
        <v>10797</v>
      </c>
      <c r="B5551" t="s">
        <v>10798</v>
      </c>
      <c r="C5551" t="s">
        <v>2808</v>
      </c>
    </row>
    <row r="5552" spans="1:3" x14ac:dyDescent="0.4">
      <c r="A5552" s="1" t="s">
        <v>10799</v>
      </c>
      <c r="B5552" t="s">
        <v>10800</v>
      </c>
      <c r="C5552" t="s">
        <v>2808</v>
      </c>
    </row>
    <row r="5553" spans="1:3" x14ac:dyDescent="0.4">
      <c r="A5553" s="1" t="s">
        <v>10801</v>
      </c>
      <c r="B5553" t="s">
        <v>10802</v>
      </c>
      <c r="C5553" t="s">
        <v>2808</v>
      </c>
    </row>
    <row r="5554" spans="1:3" x14ac:dyDescent="0.4">
      <c r="A5554" s="1" t="s">
        <v>10803</v>
      </c>
      <c r="B5554" t="s">
        <v>10804</v>
      </c>
      <c r="C5554" t="s">
        <v>2808</v>
      </c>
    </row>
    <row r="5555" spans="1:3" x14ac:dyDescent="0.4">
      <c r="A5555" s="1" t="s">
        <v>10805</v>
      </c>
      <c r="B5555" t="s">
        <v>10806</v>
      </c>
      <c r="C5555" t="s">
        <v>2808</v>
      </c>
    </row>
    <row r="5556" spans="1:3" x14ac:dyDescent="0.4">
      <c r="A5556" s="1" t="s">
        <v>10807</v>
      </c>
      <c r="B5556" t="s">
        <v>10808</v>
      </c>
      <c r="C5556" t="s">
        <v>2808</v>
      </c>
    </row>
    <row r="5557" spans="1:3" x14ac:dyDescent="0.4">
      <c r="A5557" s="1" t="s">
        <v>10809</v>
      </c>
      <c r="B5557" t="s">
        <v>10810</v>
      </c>
      <c r="C5557" t="s">
        <v>2808</v>
      </c>
    </row>
    <row r="5558" spans="1:3" x14ac:dyDescent="0.4">
      <c r="A5558" s="1" t="s">
        <v>10811</v>
      </c>
      <c r="B5558" t="s">
        <v>10812</v>
      </c>
      <c r="C5558" t="s">
        <v>2808</v>
      </c>
    </row>
    <row r="5559" spans="1:3" x14ac:dyDescent="0.4">
      <c r="A5559" s="1" t="s">
        <v>10813</v>
      </c>
      <c r="B5559" t="s">
        <v>10814</v>
      </c>
      <c r="C5559" t="s">
        <v>2808</v>
      </c>
    </row>
    <row r="5560" spans="1:3" x14ac:dyDescent="0.4">
      <c r="A5560" s="1" t="s">
        <v>10815</v>
      </c>
      <c r="B5560" t="s">
        <v>10816</v>
      </c>
      <c r="C5560" t="s">
        <v>2808</v>
      </c>
    </row>
    <row r="5561" spans="1:3" x14ac:dyDescent="0.4">
      <c r="A5561" s="1" t="s">
        <v>10817</v>
      </c>
      <c r="B5561" t="s">
        <v>10818</v>
      </c>
      <c r="C5561" t="s">
        <v>2808</v>
      </c>
    </row>
    <row r="5562" spans="1:3" x14ac:dyDescent="0.4">
      <c r="A5562" s="1" t="s">
        <v>10819</v>
      </c>
      <c r="B5562" t="s">
        <v>10820</v>
      </c>
      <c r="C5562" t="s">
        <v>2808</v>
      </c>
    </row>
    <row r="5563" spans="1:3" x14ac:dyDescent="0.4">
      <c r="A5563" s="1" t="s">
        <v>10821</v>
      </c>
      <c r="B5563" t="s">
        <v>10822</v>
      </c>
      <c r="C5563" t="s">
        <v>2808</v>
      </c>
    </row>
    <row r="5564" spans="1:3" x14ac:dyDescent="0.4">
      <c r="A5564" s="1" t="s">
        <v>10823</v>
      </c>
      <c r="B5564" t="s">
        <v>10824</v>
      </c>
      <c r="C5564" t="s">
        <v>2808</v>
      </c>
    </row>
    <row r="5565" spans="1:3" x14ac:dyDescent="0.4">
      <c r="A5565" s="1" t="s">
        <v>10825</v>
      </c>
      <c r="B5565" t="s">
        <v>10826</v>
      </c>
      <c r="C5565" t="s">
        <v>2808</v>
      </c>
    </row>
    <row r="5566" spans="1:3" x14ac:dyDescent="0.4">
      <c r="A5566" s="1" t="s">
        <v>10827</v>
      </c>
      <c r="B5566" t="s">
        <v>10828</v>
      </c>
      <c r="C5566" t="s">
        <v>2808</v>
      </c>
    </row>
    <row r="5567" spans="1:3" x14ac:dyDescent="0.4">
      <c r="A5567" s="1" t="s">
        <v>10829</v>
      </c>
      <c r="B5567" t="s">
        <v>10830</v>
      </c>
      <c r="C5567" t="s">
        <v>2808</v>
      </c>
    </row>
    <row r="5568" spans="1:3" x14ac:dyDescent="0.4">
      <c r="A5568" s="1" t="s">
        <v>10831</v>
      </c>
      <c r="B5568" t="s">
        <v>10832</v>
      </c>
      <c r="C5568" t="s">
        <v>2808</v>
      </c>
    </row>
    <row r="5569" spans="1:3" x14ac:dyDescent="0.4">
      <c r="A5569" s="1" t="s">
        <v>10833</v>
      </c>
      <c r="B5569" t="s">
        <v>10834</v>
      </c>
      <c r="C5569" t="s">
        <v>2808</v>
      </c>
    </row>
    <row r="5570" spans="1:3" x14ac:dyDescent="0.4">
      <c r="A5570" s="1" t="s">
        <v>10835</v>
      </c>
      <c r="B5570" t="s">
        <v>10836</v>
      </c>
      <c r="C5570" t="s">
        <v>2808</v>
      </c>
    </row>
    <row r="5571" spans="1:3" x14ac:dyDescent="0.4">
      <c r="A5571" s="1" t="s">
        <v>10837</v>
      </c>
      <c r="B5571" t="s">
        <v>10838</v>
      </c>
      <c r="C5571" t="s">
        <v>2808</v>
      </c>
    </row>
    <row r="5572" spans="1:3" x14ac:dyDescent="0.4">
      <c r="A5572" s="1" t="s">
        <v>10839</v>
      </c>
      <c r="B5572" t="s">
        <v>10840</v>
      </c>
      <c r="C5572" t="s">
        <v>2808</v>
      </c>
    </row>
    <row r="5573" spans="1:3" x14ac:dyDescent="0.4">
      <c r="A5573" s="1" t="s">
        <v>10841</v>
      </c>
      <c r="B5573" t="s">
        <v>10842</v>
      </c>
      <c r="C5573" t="s">
        <v>2808</v>
      </c>
    </row>
    <row r="5574" spans="1:3" x14ac:dyDescent="0.4">
      <c r="A5574" s="1" t="s">
        <v>10843</v>
      </c>
      <c r="B5574" t="s">
        <v>10844</v>
      </c>
      <c r="C5574" t="s">
        <v>2808</v>
      </c>
    </row>
    <row r="5575" spans="1:3" x14ac:dyDescent="0.4">
      <c r="A5575" s="1" t="s">
        <v>10845</v>
      </c>
      <c r="B5575" t="s">
        <v>10846</v>
      </c>
      <c r="C5575" t="s">
        <v>2808</v>
      </c>
    </row>
    <row r="5576" spans="1:3" x14ac:dyDescent="0.4">
      <c r="A5576" s="1" t="s">
        <v>10847</v>
      </c>
      <c r="B5576" t="s">
        <v>10848</v>
      </c>
      <c r="C5576" t="s">
        <v>2808</v>
      </c>
    </row>
    <row r="5577" spans="1:3" x14ac:dyDescent="0.4">
      <c r="A5577" s="1" t="s">
        <v>10849</v>
      </c>
      <c r="B5577" t="s">
        <v>10850</v>
      </c>
      <c r="C5577" t="s">
        <v>2808</v>
      </c>
    </row>
    <row r="5578" spans="1:3" x14ac:dyDescent="0.4">
      <c r="A5578" s="1" t="s">
        <v>10851</v>
      </c>
      <c r="B5578" t="s">
        <v>10852</v>
      </c>
      <c r="C5578" t="s">
        <v>2808</v>
      </c>
    </row>
    <row r="5579" spans="1:3" x14ac:dyDescent="0.4">
      <c r="A5579" s="1" t="s">
        <v>10853</v>
      </c>
      <c r="B5579" t="s">
        <v>10854</v>
      </c>
      <c r="C5579" t="s">
        <v>2808</v>
      </c>
    </row>
    <row r="5580" spans="1:3" x14ac:dyDescent="0.4">
      <c r="A5580" s="1" t="s">
        <v>10855</v>
      </c>
      <c r="B5580" t="s">
        <v>10856</v>
      </c>
      <c r="C5580" t="s">
        <v>2808</v>
      </c>
    </row>
    <row r="5581" spans="1:3" x14ac:dyDescent="0.4">
      <c r="A5581" s="1" t="s">
        <v>10857</v>
      </c>
      <c r="B5581" t="s">
        <v>10858</v>
      </c>
      <c r="C5581" t="s">
        <v>2808</v>
      </c>
    </row>
    <row r="5582" spans="1:3" x14ac:dyDescent="0.4">
      <c r="A5582" s="1" t="s">
        <v>10859</v>
      </c>
      <c r="B5582" t="s">
        <v>10860</v>
      </c>
      <c r="C5582" t="s">
        <v>2808</v>
      </c>
    </row>
    <row r="5583" spans="1:3" x14ac:dyDescent="0.4">
      <c r="A5583" s="1" t="s">
        <v>10861</v>
      </c>
      <c r="B5583" t="s">
        <v>10862</v>
      </c>
      <c r="C5583" t="s">
        <v>2808</v>
      </c>
    </row>
    <row r="5584" spans="1:3" x14ac:dyDescent="0.4">
      <c r="A5584" s="1" t="s">
        <v>10863</v>
      </c>
      <c r="B5584" t="s">
        <v>10864</v>
      </c>
      <c r="C5584" t="s">
        <v>2808</v>
      </c>
    </row>
    <row r="5585" spans="1:3" x14ac:dyDescent="0.4">
      <c r="A5585" s="1" t="s">
        <v>10865</v>
      </c>
      <c r="B5585" t="s">
        <v>10866</v>
      </c>
      <c r="C5585" t="s">
        <v>2808</v>
      </c>
    </row>
    <row r="5586" spans="1:3" x14ac:dyDescent="0.4">
      <c r="A5586" s="1" t="s">
        <v>10867</v>
      </c>
      <c r="B5586" t="s">
        <v>10868</v>
      </c>
      <c r="C5586" t="s">
        <v>2808</v>
      </c>
    </row>
    <row r="5587" spans="1:3" x14ac:dyDescent="0.4">
      <c r="A5587" s="1" t="s">
        <v>10869</v>
      </c>
      <c r="B5587" t="s">
        <v>10870</v>
      </c>
      <c r="C5587" t="s">
        <v>2808</v>
      </c>
    </row>
    <row r="5588" spans="1:3" x14ac:dyDescent="0.4">
      <c r="A5588" s="1" t="s">
        <v>10871</v>
      </c>
      <c r="B5588" t="s">
        <v>10872</v>
      </c>
      <c r="C5588" t="s">
        <v>2808</v>
      </c>
    </row>
    <row r="5589" spans="1:3" x14ac:dyDescent="0.4">
      <c r="A5589" s="1" t="s">
        <v>10873</v>
      </c>
      <c r="B5589" t="s">
        <v>10874</v>
      </c>
      <c r="C5589" t="s">
        <v>2808</v>
      </c>
    </row>
    <row r="5590" spans="1:3" x14ac:dyDescent="0.4">
      <c r="A5590" s="1" t="s">
        <v>10875</v>
      </c>
      <c r="B5590" t="s">
        <v>10876</v>
      </c>
      <c r="C5590" t="s">
        <v>2808</v>
      </c>
    </row>
    <row r="5591" spans="1:3" x14ac:dyDescent="0.4">
      <c r="A5591" s="1" t="s">
        <v>10877</v>
      </c>
      <c r="B5591" t="s">
        <v>10878</v>
      </c>
      <c r="C5591" t="s">
        <v>2808</v>
      </c>
    </row>
    <row r="5592" spans="1:3" x14ac:dyDescent="0.4">
      <c r="A5592" s="1" t="s">
        <v>10879</v>
      </c>
      <c r="B5592" t="s">
        <v>10880</v>
      </c>
      <c r="C5592" t="s">
        <v>2808</v>
      </c>
    </row>
    <row r="5593" spans="1:3" x14ac:dyDescent="0.4">
      <c r="A5593" s="1" t="s">
        <v>10881</v>
      </c>
      <c r="B5593" t="s">
        <v>10882</v>
      </c>
      <c r="C5593" t="s">
        <v>2808</v>
      </c>
    </row>
    <row r="5594" spans="1:3" x14ac:dyDescent="0.4">
      <c r="A5594" s="1" t="s">
        <v>10883</v>
      </c>
      <c r="B5594" t="s">
        <v>10884</v>
      </c>
      <c r="C5594" t="s">
        <v>2808</v>
      </c>
    </row>
    <row r="5595" spans="1:3" x14ac:dyDescent="0.4">
      <c r="A5595" s="1" t="s">
        <v>10885</v>
      </c>
      <c r="B5595" t="s">
        <v>10886</v>
      </c>
      <c r="C5595" t="s">
        <v>2808</v>
      </c>
    </row>
    <row r="5596" spans="1:3" x14ac:dyDescent="0.4">
      <c r="A5596" s="1" t="s">
        <v>10887</v>
      </c>
      <c r="B5596" t="s">
        <v>10888</v>
      </c>
      <c r="C5596" t="s">
        <v>2808</v>
      </c>
    </row>
    <row r="5597" spans="1:3" x14ac:dyDescent="0.4">
      <c r="A5597" s="1" t="s">
        <v>10889</v>
      </c>
      <c r="B5597" t="e">
        <f>-終息-ﾘｻｲｸﾙﾄﾞﾗﾑ PR-L2900C-31</f>
        <v>#NAME?</v>
      </c>
      <c r="C5597" t="s">
        <v>2808</v>
      </c>
    </row>
    <row r="5598" spans="1:3" x14ac:dyDescent="0.4">
      <c r="A5598" s="1" t="s">
        <v>10890</v>
      </c>
      <c r="B5598" t="s">
        <v>10891</v>
      </c>
      <c r="C5598" t="s">
        <v>2808</v>
      </c>
    </row>
    <row r="5599" spans="1:3" x14ac:dyDescent="0.4">
      <c r="A5599" s="1" t="s">
        <v>10892</v>
      </c>
      <c r="B5599" t="s">
        <v>10893</v>
      </c>
      <c r="C5599" t="s">
        <v>2808</v>
      </c>
    </row>
    <row r="5600" spans="1:3" x14ac:dyDescent="0.4">
      <c r="A5600" s="1" t="s">
        <v>10894</v>
      </c>
      <c r="B5600" t="s">
        <v>10895</v>
      </c>
      <c r="C5600" t="s">
        <v>2808</v>
      </c>
    </row>
    <row r="5601" spans="1:4" x14ac:dyDescent="0.4">
      <c r="A5601" s="1" t="s">
        <v>10896</v>
      </c>
      <c r="B5601" t="s">
        <v>10897</v>
      </c>
      <c r="C5601" t="s">
        <v>2808</v>
      </c>
    </row>
    <row r="5602" spans="1:4" x14ac:dyDescent="0.4">
      <c r="A5602" s="1" t="s">
        <v>10898</v>
      </c>
      <c r="B5602" t="s">
        <v>10899</v>
      </c>
      <c r="C5602" t="s">
        <v>2808</v>
      </c>
    </row>
    <row r="5603" spans="1:4" x14ac:dyDescent="0.4">
      <c r="A5603" s="1" t="s">
        <v>10900</v>
      </c>
      <c r="B5603" t="s">
        <v>10901</v>
      </c>
      <c r="C5603" t="s">
        <v>2808</v>
      </c>
    </row>
    <row r="5604" spans="1:4" x14ac:dyDescent="0.4">
      <c r="A5604" s="1" t="s">
        <v>10902</v>
      </c>
      <c r="B5604" t="s">
        <v>10903</v>
      </c>
      <c r="C5604" t="s">
        <v>2808</v>
      </c>
    </row>
    <row r="5605" spans="1:4" x14ac:dyDescent="0.4">
      <c r="A5605" s="1" t="s">
        <v>10904</v>
      </c>
      <c r="B5605" t="s">
        <v>10905</v>
      </c>
      <c r="C5605" t="s">
        <v>2808</v>
      </c>
    </row>
    <row r="5606" spans="1:4" x14ac:dyDescent="0.4">
      <c r="A5606" s="1" t="s">
        <v>10906</v>
      </c>
      <c r="B5606" t="s">
        <v>10907</v>
      </c>
      <c r="C5606" t="s">
        <v>2808</v>
      </c>
    </row>
    <row r="5607" spans="1:4" x14ac:dyDescent="0.4">
      <c r="A5607" s="1" t="s">
        <v>10908</v>
      </c>
      <c r="B5607" t="s">
        <v>10909</v>
      </c>
      <c r="C5607" t="s">
        <v>2808</v>
      </c>
    </row>
    <row r="5608" spans="1:4" x14ac:dyDescent="0.4">
      <c r="A5608" s="1" t="s">
        <v>10910</v>
      </c>
      <c r="B5608" t="s">
        <v>10911</v>
      </c>
      <c r="C5608" t="s">
        <v>2808</v>
      </c>
    </row>
    <row r="5609" spans="1:4" x14ac:dyDescent="0.4">
      <c r="A5609" s="1" t="s">
        <v>10912</v>
      </c>
      <c r="B5609" t="s">
        <v>10913</v>
      </c>
      <c r="C5609" t="s">
        <v>2808</v>
      </c>
      <c r="D5609">
        <v>8400</v>
      </c>
    </row>
    <row r="5610" spans="1:4" x14ac:dyDescent="0.4">
      <c r="A5610" s="1" t="s">
        <v>10914</v>
      </c>
      <c r="B5610" t="s">
        <v>10915</v>
      </c>
      <c r="C5610" t="s">
        <v>2808</v>
      </c>
    </row>
    <row r="5611" spans="1:4" x14ac:dyDescent="0.4">
      <c r="A5611" s="1" t="s">
        <v>10916</v>
      </c>
      <c r="B5611" t="s">
        <v>10917</v>
      </c>
      <c r="C5611" t="s">
        <v>2808</v>
      </c>
    </row>
    <row r="5612" spans="1:4" x14ac:dyDescent="0.4">
      <c r="A5612" s="1" t="s">
        <v>10918</v>
      </c>
      <c r="B5612" t="s">
        <v>10919</v>
      </c>
      <c r="C5612" t="s">
        <v>2808</v>
      </c>
    </row>
    <row r="5613" spans="1:4" x14ac:dyDescent="0.4">
      <c r="A5613" s="1" t="s">
        <v>10920</v>
      </c>
      <c r="B5613" t="s">
        <v>10921</v>
      </c>
      <c r="C5613" t="s">
        <v>2808</v>
      </c>
    </row>
    <row r="5614" spans="1:4" x14ac:dyDescent="0.4">
      <c r="A5614" s="1" t="s">
        <v>10922</v>
      </c>
      <c r="B5614" t="s">
        <v>10923</v>
      </c>
      <c r="C5614" t="s">
        <v>2808</v>
      </c>
    </row>
    <row r="5615" spans="1:4" x14ac:dyDescent="0.4">
      <c r="A5615" s="1" t="s">
        <v>10924</v>
      </c>
      <c r="B5615" t="s">
        <v>10925</v>
      </c>
      <c r="C5615" t="s">
        <v>2808</v>
      </c>
    </row>
    <row r="5616" spans="1:4" x14ac:dyDescent="0.4">
      <c r="A5616" s="1" t="s">
        <v>10926</v>
      </c>
      <c r="B5616" t="s">
        <v>10927</v>
      </c>
      <c r="C5616" t="s">
        <v>2808</v>
      </c>
    </row>
    <row r="5617" spans="1:3" x14ac:dyDescent="0.4">
      <c r="A5617" s="1" t="s">
        <v>10928</v>
      </c>
      <c r="B5617" t="s">
        <v>10929</v>
      </c>
      <c r="C5617" t="s">
        <v>2808</v>
      </c>
    </row>
    <row r="5618" spans="1:3" x14ac:dyDescent="0.4">
      <c r="A5618" s="1" t="s">
        <v>10930</v>
      </c>
      <c r="B5618" t="s">
        <v>10931</v>
      </c>
      <c r="C5618" t="s">
        <v>2808</v>
      </c>
    </row>
    <row r="5619" spans="1:3" x14ac:dyDescent="0.4">
      <c r="A5619" s="1" t="s">
        <v>10932</v>
      </c>
      <c r="B5619" t="s">
        <v>10933</v>
      </c>
      <c r="C5619" t="s">
        <v>2808</v>
      </c>
    </row>
    <row r="5620" spans="1:3" x14ac:dyDescent="0.4">
      <c r="A5620" s="1" t="s">
        <v>10934</v>
      </c>
      <c r="B5620" t="s">
        <v>10935</v>
      </c>
      <c r="C5620" t="s">
        <v>2808</v>
      </c>
    </row>
    <row r="5621" spans="1:3" x14ac:dyDescent="0.4">
      <c r="A5621" s="1" t="s">
        <v>10936</v>
      </c>
      <c r="B5621" t="s">
        <v>10937</v>
      </c>
      <c r="C5621" t="s">
        <v>2808</v>
      </c>
    </row>
    <row r="5622" spans="1:3" x14ac:dyDescent="0.4">
      <c r="A5622" s="1" t="s">
        <v>10938</v>
      </c>
      <c r="B5622" t="s">
        <v>10939</v>
      </c>
      <c r="C5622" t="s">
        <v>2808</v>
      </c>
    </row>
    <row r="5623" spans="1:3" x14ac:dyDescent="0.4">
      <c r="A5623" s="1" t="s">
        <v>10940</v>
      </c>
      <c r="B5623" t="s">
        <v>10941</v>
      </c>
      <c r="C5623" t="s">
        <v>2808</v>
      </c>
    </row>
    <row r="5624" spans="1:3" x14ac:dyDescent="0.4">
      <c r="A5624" s="1" t="s">
        <v>10942</v>
      </c>
      <c r="B5624" t="s">
        <v>10943</v>
      </c>
      <c r="C5624" t="s">
        <v>2808</v>
      </c>
    </row>
    <row r="5625" spans="1:3" x14ac:dyDescent="0.4">
      <c r="A5625" s="1" t="s">
        <v>10944</v>
      </c>
      <c r="B5625" t="s">
        <v>10945</v>
      </c>
      <c r="C5625" t="s">
        <v>2808</v>
      </c>
    </row>
    <row r="5626" spans="1:3" x14ac:dyDescent="0.4">
      <c r="A5626" s="1" t="s">
        <v>10946</v>
      </c>
      <c r="B5626" t="s">
        <v>10947</v>
      </c>
      <c r="C5626" t="s">
        <v>2808</v>
      </c>
    </row>
    <row r="5627" spans="1:3" x14ac:dyDescent="0.4">
      <c r="A5627" s="1" t="s">
        <v>10948</v>
      </c>
      <c r="B5627" t="s">
        <v>10949</v>
      </c>
      <c r="C5627" t="s">
        <v>2808</v>
      </c>
    </row>
    <row r="5628" spans="1:3" x14ac:dyDescent="0.4">
      <c r="A5628" s="1" t="s">
        <v>10950</v>
      </c>
      <c r="B5628" t="s">
        <v>10951</v>
      </c>
      <c r="C5628" t="s">
        <v>2808</v>
      </c>
    </row>
    <row r="5629" spans="1:3" x14ac:dyDescent="0.4">
      <c r="A5629" s="1" t="s">
        <v>10952</v>
      </c>
      <c r="B5629" t="s">
        <v>10953</v>
      </c>
      <c r="C5629" t="s">
        <v>2808</v>
      </c>
    </row>
    <row r="5630" spans="1:3" x14ac:dyDescent="0.4">
      <c r="A5630" s="1" t="s">
        <v>10954</v>
      </c>
      <c r="B5630" t="s">
        <v>10955</v>
      </c>
      <c r="C5630" t="s">
        <v>2808</v>
      </c>
    </row>
    <row r="5631" spans="1:3" x14ac:dyDescent="0.4">
      <c r="A5631" s="1" t="s">
        <v>10956</v>
      </c>
      <c r="B5631" t="s">
        <v>10957</v>
      </c>
      <c r="C5631" t="s">
        <v>2808</v>
      </c>
    </row>
    <row r="5632" spans="1:3" x14ac:dyDescent="0.4">
      <c r="A5632" s="1" t="s">
        <v>10958</v>
      </c>
      <c r="B5632" t="s">
        <v>10959</v>
      </c>
      <c r="C5632" t="s">
        <v>2808</v>
      </c>
    </row>
    <row r="5633" spans="1:3" x14ac:dyDescent="0.4">
      <c r="A5633" s="1" t="s">
        <v>10960</v>
      </c>
      <c r="B5633" t="s">
        <v>10961</v>
      </c>
      <c r="C5633" t="s">
        <v>2808</v>
      </c>
    </row>
    <row r="5634" spans="1:3" x14ac:dyDescent="0.4">
      <c r="A5634" s="1" t="s">
        <v>10962</v>
      </c>
      <c r="B5634" t="s">
        <v>10963</v>
      </c>
      <c r="C5634" t="s">
        <v>2808</v>
      </c>
    </row>
    <row r="5635" spans="1:3" x14ac:dyDescent="0.4">
      <c r="A5635" s="1" t="s">
        <v>10964</v>
      </c>
      <c r="B5635" t="s">
        <v>10965</v>
      </c>
      <c r="C5635" t="s">
        <v>2808</v>
      </c>
    </row>
    <row r="5636" spans="1:3" x14ac:dyDescent="0.4">
      <c r="A5636" s="1" t="s">
        <v>10966</v>
      </c>
      <c r="B5636" t="s">
        <v>10967</v>
      </c>
      <c r="C5636" t="s">
        <v>2808</v>
      </c>
    </row>
    <row r="5637" spans="1:3" x14ac:dyDescent="0.4">
      <c r="A5637" s="1" t="s">
        <v>10968</v>
      </c>
      <c r="B5637" t="s">
        <v>10969</v>
      </c>
      <c r="C5637" t="s">
        <v>2808</v>
      </c>
    </row>
    <row r="5638" spans="1:3" x14ac:dyDescent="0.4">
      <c r="A5638" s="1" t="s">
        <v>10970</v>
      </c>
      <c r="B5638" t="s">
        <v>10971</v>
      </c>
      <c r="C5638" t="s">
        <v>2808</v>
      </c>
    </row>
    <row r="5639" spans="1:3" x14ac:dyDescent="0.4">
      <c r="A5639" s="1" t="s">
        <v>10972</v>
      </c>
      <c r="B5639" t="s">
        <v>10973</v>
      </c>
      <c r="C5639" t="s">
        <v>2808</v>
      </c>
    </row>
    <row r="5640" spans="1:3" x14ac:dyDescent="0.4">
      <c r="A5640" s="1" t="s">
        <v>10974</v>
      </c>
      <c r="B5640" t="s">
        <v>10975</v>
      </c>
      <c r="C5640" t="s">
        <v>2808</v>
      </c>
    </row>
    <row r="5641" spans="1:3" x14ac:dyDescent="0.4">
      <c r="A5641" s="1" t="s">
        <v>10976</v>
      </c>
      <c r="B5641" t="s">
        <v>10977</v>
      </c>
      <c r="C5641" t="s">
        <v>2808</v>
      </c>
    </row>
    <row r="5642" spans="1:3" x14ac:dyDescent="0.4">
      <c r="A5642" s="1" t="s">
        <v>10978</v>
      </c>
      <c r="B5642" t="s">
        <v>10979</v>
      </c>
      <c r="C5642" t="s">
        <v>2808</v>
      </c>
    </row>
    <row r="5643" spans="1:3" x14ac:dyDescent="0.4">
      <c r="A5643" s="1" t="s">
        <v>10980</v>
      </c>
      <c r="B5643" t="s">
        <v>10981</v>
      </c>
      <c r="C5643" t="s">
        <v>2808</v>
      </c>
    </row>
    <row r="5644" spans="1:3" x14ac:dyDescent="0.4">
      <c r="A5644" s="1" t="s">
        <v>10982</v>
      </c>
      <c r="B5644" t="s">
        <v>10983</v>
      </c>
      <c r="C5644" t="s">
        <v>2808</v>
      </c>
    </row>
    <row r="5645" spans="1:3" x14ac:dyDescent="0.4">
      <c r="A5645" s="1" t="s">
        <v>10984</v>
      </c>
      <c r="B5645" t="s">
        <v>10985</v>
      </c>
      <c r="C5645" t="s">
        <v>2808</v>
      </c>
    </row>
    <row r="5646" spans="1:3" x14ac:dyDescent="0.4">
      <c r="A5646" s="1" t="s">
        <v>10986</v>
      </c>
      <c r="B5646" t="s">
        <v>10987</v>
      </c>
      <c r="C5646" t="s">
        <v>2808</v>
      </c>
    </row>
    <row r="5647" spans="1:3" x14ac:dyDescent="0.4">
      <c r="A5647" s="1" t="s">
        <v>10988</v>
      </c>
      <c r="B5647" t="s">
        <v>10989</v>
      </c>
      <c r="C5647" t="s">
        <v>2808</v>
      </c>
    </row>
    <row r="5648" spans="1:3" x14ac:dyDescent="0.4">
      <c r="A5648" s="1" t="s">
        <v>10990</v>
      </c>
      <c r="B5648" t="s">
        <v>10991</v>
      </c>
      <c r="C5648" t="s">
        <v>2808</v>
      </c>
    </row>
    <row r="5649" spans="1:3" x14ac:dyDescent="0.4">
      <c r="A5649" s="1" t="s">
        <v>10992</v>
      </c>
      <c r="B5649" t="s">
        <v>10993</v>
      </c>
      <c r="C5649" t="s">
        <v>2808</v>
      </c>
    </row>
    <row r="5650" spans="1:3" x14ac:dyDescent="0.4">
      <c r="A5650" s="1" t="s">
        <v>10994</v>
      </c>
      <c r="B5650" t="s">
        <v>10995</v>
      </c>
      <c r="C5650" t="s">
        <v>2808</v>
      </c>
    </row>
    <row r="5651" spans="1:3" x14ac:dyDescent="0.4">
      <c r="A5651" s="1" t="s">
        <v>10996</v>
      </c>
      <c r="B5651" t="s">
        <v>10997</v>
      </c>
      <c r="C5651" t="s">
        <v>2808</v>
      </c>
    </row>
    <row r="5652" spans="1:3" x14ac:dyDescent="0.4">
      <c r="A5652" s="1" t="s">
        <v>10998</v>
      </c>
      <c r="B5652" t="s">
        <v>10999</v>
      </c>
      <c r="C5652" t="s">
        <v>2808</v>
      </c>
    </row>
    <row r="5653" spans="1:3" x14ac:dyDescent="0.4">
      <c r="A5653" s="1" t="s">
        <v>11000</v>
      </c>
      <c r="B5653" t="s">
        <v>11001</v>
      </c>
      <c r="C5653" t="s">
        <v>2808</v>
      </c>
    </row>
    <row r="5654" spans="1:3" x14ac:dyDescent="0.4">
      <c r="A5654" s="1" t="s">
        <v>11002</v>
      </c>
      <c r="B5654" t="s">
        <v>11003</v>
      </c>
      <c r="C5654" t="s">
        <v>2808</v>
      </c>
    </row>
    <row r="5655" spans="1:3" x14ac:dyDescent="0.4">
      <c r="A5655" s="1" t="s">
        <v>11004</v>
      </c>
      <c r="B5655" t="s">
        <v>11005</v>
      </c>
      <c r="C5655" t="s">
        <v>2808</v>
      </c>
    </row>
    <row r="5656" spans="1:3" x14ac:dyDescent="0.4">
      <c r="A5656" s="1" t="s">
        <v>11006</v>
      </c>
      <c r="B5656" t="s">
        <v>11007</v>
      </c>
      <c r="C5656" t="s">
        <v>2808</v>
      </c>
    </row>
    <row r="5657" spans="1:3" x14ac:dyDescent="0.4">
      <c r="A5657" s="1" t="s">
        <v>11008</v>
      </c>
      <c r="B5657" t="s">
        <v>11009</v>
      </c>
      <c r="C5657" t="s">
        <v>2808</v>
      </c>
    </row>
    <row r="5658" spans="1:3" x14ac:dyDescent="0.4">
      <c r="A5658" s="1" t="s">
        <v>11010</v>
      </c>
      <c r="B5658" t="s">
        <v>11011</v>
      </c>
      <c r="C5658" t="s">
        <v>2808</v>
      </c>
    </row>
    <row r="5659" spans="1:3" x14ac:dyDescent="0.4">
      <c r="A5659" s="1" t="s">
        <v>11012</v>
      </c>
      <c r="B5659" t="s">
        <v>11013</v>
      </c>
      <c r="C5659" t="s">
        <v>2808</v>
      </c>
    </row>
    <row r="5660" spans="1:3" x14ac:dyDescent="0.4">
      <c r="A5660" s="1" t="s">
        <v>11014</v>
      </c>
      <c r="B5660" t="s">
        <v>11015</v>
      </c>
      <c r="C5660" t="s">
        <v>2808</v>
      </c>
    </row>
    <row r="5661" spans="1:3" x14ac:dyDescent="0.4">
      <c r="A5661" s="1" t="s">
        <v>11016</v>
      </c>
      <c r="B5661" t="s">
        <v>11017</v>
      </c>
      <c r="C5661" t="s">
        <v>2808</v>
      </c>
    </row>
    <row r="5662" spans="1:3" x14ac:dyDescent="0.4">
      <c r="A5662" s="1" t="s">
        <v>11018</v>
      </c>
      <c r="B5662" t="s">
        <v>11019</v>
      </c>
      <c r="C5662" t="s">
        <v>2808</v>
      </c>
    </row>
    <row r="5663" spans="1:3" x14ac:dyDescent="0.4">
      <c r="A5663" s="1" t="s">
        <v>11020</v>
      </c>
      <c r="B5663" t="s">
        <v>11021</v>
      </c>
      <c r="C5663" t="s">
        <v>2808</v>
      </c>
    </row>
    <row r="5664" spans="1:3" x14ac:dyDescent="0.4">
      <c r="A5664" s="1" t="s">
        <v>11022</v>
      </c>
      <c r="B5664" t="s">
        <v>11023</v>
      </c>
      <c r="C5664" t="s">
        <v>2808</v>
      </c>
    </row>
    <row r="5665" spans="1:3" x14ac:dyDescent="0.4">
      <c r="A5665" s="1" t="s">
        <v>11024</v>
      </c>
      <c r="B5665" t="s">
        <v>11025</v>
      </c>
      <c r="C5665" t="s">
        <v>2808</v>
      </c>
    </row>
    <row r="5666" spans="1:3" x14ac:dyDescent="0.4">
      <c r="A5666" s="1" t="s">
        <v>11026</v>
      </c>
      <c r="B5666" t="s">
        <v>11027</v>
      </c>
      <c r="C5666" t="s">
        <v>2808</v>
      </c>
    </row>
    <row r="5667" spans="1:3" x14ac:dyDescent="0.4">
      <c r="A5667" s="1" t="s">
        <v>11028</v>
      </c>
      <c r="B5667" t="s">
        <v>11029</v>
      </c>
      <c r="C5667" t="s">
        <v>2808</v>
      </c>
    </row>
    <row r="5668" spans="1:3" x14ac:dyDescent="0.4">
      <c r="A5668" s="1" t="s">
        <v>11030</v>
      </c>
      <c r="B5668" t="s">
        <v>11031</v>
      </c>
      <c r="C5668" t="s">
        <v>2808</v>
      </c>
    </row>
    <row r="5669" spans="1:3" x14ac:dyDescent="0.4">
      <c r="A5669" s="1" t="s">
        <v>11032</v>
      </c>
      <c r="B5669" t="s">
        <v>11033</v>
      </c>
      <c r="C5669" t="s">
        <v>2808</v>
      </c>
    </row>
    <row r="5670" spans="1:3" x14ac:dyDescent="0.4">
      <c r="A5670" s="1" t="s">
        <v>11034</v>
      </c>
      <c r="B5670" t="s">
        <v>11035</v>
      </c>
      <c r="C5670" t="s">
        <v>2808</v>
      </c>
    </row>
    <row r="5671" spans="1:3" x14ac:dyDescent="0.4">
      <c r="A5671" s="1" t="s">
        <v>11036</v>
      </c>
      <c r="B5671" t="s">
        <v>11037</v>
      </c>
      <c r="C5671" t="s">
        <v>2808</v>
      </c>
    </row>
    <row r="5672" spans="1:3" x14ac:dyDescent="0.4">
      <c r="A5672" s="1" t="s">
        <v>11038</v>
      </c>
      <c r="B5672" t="s">
        <v>11039</v>
      </c>
      <c r="C5672" t="s">
        <v>2808</v>
      </c>
    </row>
    <row r="5673" spans="1:3" x14ac:dyDescent="0.4">
      <c r="A5673" s="1" t="s">
        <v>11040</v>
      </c>
      <c r="B5673" t="s">
        <v>11041</v>
      </c>
      <c r="C5673" t="s">
        <v>2808</v>
      </c>
    </row>
    <row r="5674" spans="1:3" x14ac:dyDescent="0.4">
      <c r="A5674" s="1" t="s">
        <v>11042</v>
      </c>
      <c r="B5674" t="s">
        <v>11043</v>
      </c>
      <c r="C5674" t="s">
        <v>2808</v>
      </c>
    </row>
    <row r="5675" spans="1:3" x14ac:dyDescent="0.4">
      <c r="A5675" s="1" t="s">
        <v>11044</v>
      </c>
      <c r="B5675" t="s">
        <v>11045</v>
      </c>
      <c r="C5675" t="s">
        <v>2808</v>
      </c>
    </row>
    <row r="5676" spans="1:3" x14ac:dyDescent="0.4">
      <c r="A5676" s="1" t="s">
        <v>11046</v>
      </c>
      <c r="B5676" t="s">
        <v>11047</v>
      </c>
      <c r="C5676" t="s">
        <v>2808</v>
      </c>
    </row>
    <row r="5677" spans="1:3" x14ac:dyDescent="0.4">
      <c r="A5677" s="1" t="s">
        <v>11048</v>
      </c>
      <c r="B5677" t="s">
        <v>11049</v>
      </c>
      <c r="C5677" t="s">
        <v>2808</v>
      </c>
    </row>
    <row r="5678" spans="1:3" x14ac:dyDescent="0.4">
      <c r="A5678" s="1" t="s">
        <v>11050</v>
      </c>
      <c r="B5678" t="s">
        <v>11051</v>
      </c>
      <c r="C5678" t="s">
        <v>2808</v>
      </c>
    </row>
    <row r="5679" spans="1:3" x14ac:dyDescent="0.4">
      <c r="A5679" s="1" t="s">
        <v>11052</v>
      </c>
      <c r="B5679" t="s">
        <v>11053</v>
      </c>
      <c r="C5679" t="s">
        <v>2808</v>
      </c>
    </row>
    <row r="5680" spans="1:3" x14ac:dyDescent="0.4">
      <c r="A5680" s="1" t="s">
        <v>11054</v>
      </c>
      <c r="B5680" t="s">
        <v>11055</v>
      </c>
      <c r="C5680" t="s">
        <v>2808</v>
      </c>
    </row>
    <row r="5681" spans="1:3" x14ac:dyDescent="0.4">
      <c r="A5681" s="1" t="s">
        <v>11056</v>
      </c>
      <c r="B5681" t="s">
        <v>11057</v>
      </c>
      <c r="C5681" t="s">
        <v>2808</v>
      </c>
    </row>
    <row r="5682" spans="1:3" x14ac:dyDescent="0.4">
      <c r="A5682" s="1" t="s">
        <v>11058</v>
      </c>
      <c r="B5682" t="s">
        <v>11059</v>
      </c>
      <c r="C5682" t="s">
        <v>2808</v>
      </c>
    </row>
    <row r="5683" spans="1:3" x14ac:dyDescent="0.4">
      <c r="A5683" s="1" t="s">
        <v>11060</v>
      </c>
      <c r="B5683" t="s">
        <v>11061</v>
      </c>
      <c r="C5683" t="s">
        <v>2808</v>
      </c>
    </row>
    <row r="5684" spans="1:3" x14ac:dyDescent="0.4">
      <c r="A5684" s="1" t="s">
        <v>11062</v>
      </c>
      <c r="B5684" t="s">
        <v>11063</v>
      </c>
      <c r="C5684" t="s">
        <v>2808</v>
      </c>
    </row>
    <row r="5685" spans="1:3" x14ac:dyDescent="0.4">
      <c r="A5685" s="1" t="s">
        <v>11064</v>
      </c>
      <c r="B5685" t="s">
        <v>11065</v>
      </c>
      <c r="C5685" t="s">
        <v>2808</v>
      </c>
    </row>
    <row r="5686" spans="1:3" x14ac:dyDescent="0.4">
      <c r="A5686" s="1" t="s">
        <v>11066</v>
      </c>
      <c r="B5686" t="s">
        <v>11067</v>
      </c>
      <c r="C5686" t="s">
        <v>2808</v>
      </c>
    </row>
    <row r="5687" spans="1:3" x14ac:dyDescent="0.4">
      <c r="A5687" s="1" t="s">
        <v>11068</v>
      </c>
      <c r="B5687" t="s">
        <v>11069</v>
      </c>
      <c r="C5687" t="s">
        <v>2808</v>
      </c>
    </row>
    <row r="5688" spans="1:3" x14ac:dyDescent="0.4">
      <c r="A5688" s="1" t="s">
        <v>11070</v>
      </c>
      <c r="B5688" t="s">
        <v>11071</v>
      </c>
      <c r="C5688" t="s">
        <v>2808</v>
      </c>
    </row>
    <row r="5689" spans="1:3" x14ac:dyDescent="0.4">
      <c r="A5689" s="1" t="s">
        <v>11072</v>
      </c>
      <c r="B5689" t="s">
        <v>11073</v>
      </c>
      <c r="C5689" t="s">
        <v>2808</v>
      </c>
    </row>
    <row r="5690" spans="1:3" x14ac:dyDescent="0.4">
      <c r="A5690" s="1" t="s">
        <v>11074</v>
      </c>
      <c r="B5690" t="s">
        <v>11075</v>
      </c>
      <c r="C5690" t="s">
        <v>2808</v>
      </c>
    </row>
    <row r="5691" spans="1:3" x14ac:dyDescent="0.4">
      <c r="A5691" s="1" t="s">
        <v>11076</v>
      </c>
      <c r="B5691" t="s">
        <v>11077</v>
      </c>
      <c r="C5691" t="s">
        <v>2808</v>
      </c>
    </row>
    <row r="5692" spans="1:3" x14ac:dyDescent="0.4">
      <c r="A5692" s="1" t="s">
        <v>11078</v>
      </c>
      <c r="B5692" t="s">
        <v>11079</v>
      </c>
      <c r="C5692" t="s">
        <v>2808</v>
      </c>
    </row>
    <row r="5693" spans="1:3" x14ac:dyDescent="0.4">
      <c r="A5693" s="1" t="s">
        <v>11080</v>
      </c>
      <c r="B5693" t="s">
        <v>11081</v>
      </c>
      <c r="C5693" t="s">
        <v>2808</v>
      </c>
    </row>
    <row r="5694" spans="1:3" x14ac:dyDescent="0.4">
      <c r="A5694" s="1" t="s">
        <v>11082</v>
      </c>
      <c r="B5694" t="s">
        <v>11083</v>
      </c>
      <c r="C5694" t="s">
        <v>2808</v>
      </c>
    </row>
    <row r="5695" spans="1:3" x14ac:dyDescent="0.4">
      <c r="A5695" s="1" t="s">
        <v>11084</v>
      </c>
      <c r="B5695" t="s">
        <v>11085</v>
      </c>
      <c r="C5695" t="s">
        <v>2808</v>
      </c>
    </row>
    <row r="5696" spans="1:3" x14ac:dyDescent="0.4">
      <c r="A5696" s="1" t="s">
        <v>11086</v>
      </c>
      <c r="B5696" t="s">
        <v>11087</v>
      </c>
      <c r="C5696" t="s">
        <v>2808</v>
      </c>
    </row>
    <row r="5697" spans="1:3" x14ac:dyDescent="0.4">
      <c r="A5697" s="1" t="s">
        <v>11088</v>
      </c>
      <c r="B5697" t="s">
        <v>11089</v>
      </c>
      <c r="C5697" t="s">
        <v>2808</v>
      </c>
    </row>
    <row r="5698" spans="1:3" x14ac:dyDescent="0.4">
      <c r="A5698" s="1" t="s">
        <v>11090</v>
      </c>
      <c r="B5698" t="s">
        <v>11091</v>
      </c>
      <c r="C5698" t="s">
        <v>2808</v>
      </c>
    </row>
    <row r="5699" spans="1:3" x14ac:dyDescent="0.4">
      <c r="A5699" s="1" t="s">
        <v>11092</v>
      </c>
      <c r="B5699" t="s">
        <v>11093</v>
      </c>
      <c r="C5699" t="s">
        <v>2808</v>
      </c>
    </row>
    <row r="5700" spans="1:3" x14ac:dyDescent="0.4">
      <c r="A5700" s="1" t="s">
        <v>11094</v>
      </c>
      <c r="B5700" t="s">
        <v>11095</v>
      </c>
      <c r="C5700" t="s">
        <v>2808</v>
      </c>
    </row>
    <row r="5701" spans="1:3" x14ac:dyDescent="0.4">
      <c r="A5701" s="1" t="s">
        <v>11096</v>
      </c>
      <c r="B5701" t="s">
        <v>11097</v>
      </c>
      <c r="C5701" t="s">
        <v>2808</v>
      </c>
    </row>
    <row r="5702" spans="1:3" x14ac:dyDescent="0.4">
      <c r="A5702" s="1" t="s">
        <v>11098</v>
      </c>
      <c r="B5702" t="s">
        <v>11099</v>
      </c>
      <c r="C5702" t="s">
        <v>2808</v>
      </c>
    </row>
    <row r="5703" spans="1:3" x14ac:dyDescent="0.4">
      <c r="A5703" s="1" t="s">
        <v>11100</v>
      </c>
      <c r="B5703" t="s">
        <v>11101</v>
      </c>
      <c r="C5703" t="s">
        <v>2808</v>
      </c>
    </row>
    <row r="5704" spans="1:3" x14ac:dyDescent="0.4">
      <c r="A5704" s="1" t="s">
        <v>11102</v>
      </c>
      <c r="B5704" t="s">
        <v>11103</v>
      </c>
      <c r="C5704" t="s">
        <v>2808</v>
      </c>
    </row>
    <row r="5705" spans="1:3" x14ac:dyDescent="0.4">
      <c r="A5705" s="1" t="s">
        <v>11104</v>
      </c>
      <c r="B5705" t="s">
        <v>11105</v>
      </c>
      <c r="C5705" t="s">
        <v>2808</v>
      </c>
    </row>
    <row r="5706" spans="1:3" x14ac:dyDescent="0.4">
      <c r="A5706" s="1" t="s">
        <v>11106</v>
      </c>
      <c r="B5706" t="s">
        <v>11107</v>
      </c>
      <c r="C5706" t="s">
        <v>2808</v>
      </c>
    </row>
    <row r="5707" spans="1:3" x14ac:dyDescent="0.4">
      <c r="A5707" s="1" t="s">
        <v>11108</v>
      </c>
      <c r="B5707" t="s">
        <v>11109</v>
      </c>
      <c r="C5707" t="s">
        <v>2808</v>
      </c>
    </row>
    <row r="5708" spans="1:3" x14ac:dyDescent="0.4">
      <c r="A5708" s="1" t="s">
        <v>11110</v>
      </c>
      <c r="B5708" t="s">
        <v>11111</v>
      </c>
      <c r="C5708" t="s">
        <v>2808</v>
      </c>
    </row>
    <row r="5709" spans="1:3" x14ac:dyDescent="0.4">
      <c r="A5709" s="1" t="s">
        <v>11112</v>
      </c>
      <c r="B5709" t="s">
        <v>11113</v>
      </c>
      <c r="C5709" t="s">
        <v>2808</v>
      </c>
    </row>
    <row r="5710" spans="1:3" x14ac:dyDescent="0.4">
      <c r="A5710" s="1" t="s">
        <v>11114</v>
      </c>
      <c r="B5710" t="s">
        <v>11115</v>
      </c>
      <c r="C5710" t="s">
        <v>2808</v>
      </c>
    </row>
    <row r="5711" spans="1:3" x14ac:dyDescent="0.4">
      <c r="A5711" s="1" t="s">
        <v>11116</v>
      </c>
      <c r="B5711" t="s">
        <v>11117</v>
      </c>
      <c r="C5711" t="s">
        <v>2808</v>
      </c>
    </row>
    <row r="5712" spans="1:3" x14ac:dyDescent="0.4">
      <c r="A5712" s="1" t="s">
        <v>11118</v>
      </c>
      <c r="B5712" t="s">
        <v>11119</v>
      </c>
      <c r="C5712" t="s">
        <v>2808</v>
      </c>
    </row>
    <row r="5713" spans="1:3" x14ac:dyDescent="0.4">
      <c r="A5713" s="1" t="s">
        <v>11120</v>
      </c>
      <c r="B5713" t="s">
        <v>11121</v>
      </c>
      <c r="C5713" t="s">
        <v>2808</v>
      </c>
    </row>
    <row r="5714" spans="1:3" x14ac:dyDescent="0.4">
      <c r="A5714" s="1" t="s">
        <v>11122</v>
      </c>
      <c r="B5714" t="s">
        <v>11123</v>
      </c>
      <c r="C5714" t="s">
        <v>2808</v>
      </c>
    </row>
    <row r="5715" spans="1:3" x14ac:dyDescent="0.4">
      <c r="A5715" s="1" t="s">
        <v>11124</v>
      </c>
      <c r="B5715" t="s">
        <v>11125</v>
      </c>
      <c r="C5715" t="s">
        <v>2808</v>
      </c>
    </row>
    <row r="5716" spans="1:3" x14ac:dyDescent="0.4">
      <c r="A5716" s="1" t="s">
        <v>11126</v>
      </c>
      <c r="B5716" t="s">
        <v>11127</v>
      </c>
      <c r="C5716" t="s">
        <v>2808</v>
      </c>
    </row>
    <row r="5717" spans="1:3" x14ac:dyDescent="0.4">
      <c r="A5717" s="1" t="s">
        <v>11128</v>
      </c>
      <c r="B5717" t="s">
        <v>11129</v>
      </c>
      <c r="C5717" t="s">
        <v>2808</v>
      </c>
    </row>
    <row r="5718" spans="1:3" x14ac:dyDescent="0.4">
      <c r="A5718" s="1" t="s">
        <v>11130</v>
      </c>
      <c r="B5718" t="s">
        <v>11131</v>
      </c>
      <c r="C5718" t="s">
        <v>2808</v>
      </c>
    </row>
    <row r="5719" spans="1:3" x14ac:dyDescent="0.4">
      <c r="A5719" s="1" t="s">
        <v>11132</v>
      </c>
      <c r="B5719" t="s">
        <v>11133</v>
      </c>
      <c r="C5719" t="s">
        <v>2808</v>
      </c>
    </row>
    <row r="5720" spans="1:3" x14ac:dyDescent="0.4">
      <c r="A5720" s="1" t="s">
        <v>11134</v>
      </c>
      <c r="B5720" t="s">
        <v>11135</v>
      </c>
      <c r="C5720" t="s">
        <v>2808</v>
      </c>
    </row>
    <row r="5721" spans="1:3" x14ac:dyDescent="0.4">
      <c r="A5721" s="1" t="s">
        <v>11136</v>
      </c>
      <c r="B5721" t="s">
        <v>11137</v>
      </c>
      <c r="C5721" t="s">
        <v>2808</v>
      </c>
    </row>
    <row r="5722" spans="1:3" x14ac:dyDescent="0.4">
      <c r="A5722" s="1" t="s">
        <v>11138</v>
      </c>
      <c r="B5722" t="s">
        <v>11139</v>
      </c>
      <c r="C5722" t="s">
        <v>2808</v>
      </c>
    </row>
    <row r="5723" spans="1:3" x14ac:dyDescent="0.4">
      <c r="A5723" s="1" t="s">
        <v>11140</v>
      </c>
      <c r="B5723" t="s">
        <v>11141</v>
      </c>
      <c r="C5723" t="s">
        <v>2808</v>
      </c>
    </row>
    <row r="5724" spans="1:3" x14ac:dyDescent="0.4">
      <c r="A5724" s="1" t="s">
        <v>11142</v>
      </c>
      <c r="B5724" t="s">
        <v>11143</v>
      </c>
      <c r="C5724" t="s">
        <v>2808</v>
      </c>
    </row>
    <row r="5725" spans="1:3" x14ac:dyDescent="0.4">
      <c r="A5725" s="1" t="s">
        <v>11144</v>
      </c>
      <c r="B5725" t="s">
        <v>11145</v>
      </c>
      <c r="C5725" t="s">
        <v>2808</v>
      </c>
    </row>
    <row r="5726" spans="1:3" x14ac:dyDescent="0.4">
      <c r="A5726" s="1" t="s">
        <v>11146</v>
      </c>
      <c r="B5726" t="s">
        <v>11147</v>
      </c>
      <c r="C5726" t="s">
        <v>2808</v>
      </c>
    </row>
    <row r="5727" spans="1:3" x14ac:dyDescent="0.4">
      <c r="A5727" s="1" t="s">
        <v>11148</v>
      </c>
      <c r="B5727" t="s">
        <v>11149</v>
      </c>
      <c r="C5727" t="s">
        <v>2808</v>
      </c>
    </row>
    <row r="5728" spans="1:3" x14ac:dyDescent="0.4">
      <c r="A5728" s="1" t="s">
        <v>11150</v>
      </c>
      <c r="B5728" t="s">
        <v>11151</v>
      </c>
      <c r="C5728" t="s">
        <v>2808</v>
      </c>
    </row>
    <row r="5729" spans="1:3" x14ac:dyDescent="0.4">
      <c r="A5729" s="1" t="s">
        <v>11152</v>
      </c>
      <c r="B5729" t="s">
        <v>11153</v>
      </c>
      <c r="C5729" t="s">
        <v>2808</v>
      </c>
    </row>
    <row r="5730" spans="1:3" x14ac:dyDescent="0.4">
      <c r="A5730" s="1" t="s">
        <v>11154</v>
      </c>
      <c r="B5730" t="s">
        <v>11155</v>
      </c>
      <c r="C5730" t="s">
        <v>2808</v>
      </c>
    </row>
    <row r="5731" spans="1:3" x14ac:dyDescent="0.4">
      <c r="A5731" s="1" t="s">
        <v>11156</v>
      </c>
      <c r="B5731" t="s">
        <v>11157</v>
      </c>
      <c r="C5731" t="s">
        <v>2808</v>
      </c>
    </row>
    <row r="5732" spans="1:3" x14ac:dyDescent="0.4">
      <c r="A5732" s="1" t="s">
        <v>11158</v>
      </c>
      <c r="B5732" t="s">
        <v>11159</v>
      </c>
      <c r="C5732" t="s">
        <v>2808</v>
      </c>
    </row>
    <row r="5733" spans="1:3" x14ac:dyDescent="0.4">
      <c r="A5733" s="1" t="s">
        <v>11160</v>
      </c>
      <c r="B5733" t="s">
        <v>11161</v>
      </c>
      <c r="C5733" t="s">
        <v>2808</v>
      </c>
    </row>
    <row r="5734" spans="1:3" x14ac:dyDescent="0.4">
      <c r="A5734" s="1" t="s">
        <v>11162</v>
      </c>
      <c r="B5734" t="s">
        <v>11163</v>
      </c>
      <c r="C5734" t="s">
        <v>2808</v>
      </c>
    </row>
    <row r="5735" spans="1:3" x14ac:dyDescent="0.4">
      <c r="A5735" s="1" t="s">
        <v>11164</v>
      </c>
      <c r="B5735" t="s">
        <v>11165</v>
      </c>
      <c r="C5735" t="s">
        <v>2808</v>
      </c>
    </row>
    <row r="5736" spans="1:3" x14ac:dyDescent="0.4">
      <c r="A5736" s="1" t="s">
        <v>11166</v>
      </c>
      <c r="B5736" t="s">
        <v>11167</v>
      </c>
      <c r="C5736" t="s">
        <v>2808</v>
      </c>
    </row>
    <row r="5737" spans="1:3" x14ac:dyDescent="0.4">
      <c r="A5737" s="1" t="s">
        <v>11168</v>
      </c>
      <c r="B5737" t="s">
        <v>11169</v>
      </c>
      <c r="C5737" t="s">
        <v>2808</v>
      </c>
    </row>
    <row r="5738" spans="1:3" x14ac:dyDescent="0.4">
      <c r="A5738" s="1" t="s">
        <v>11170</v>
      </c>
      <c r="B5738" t="s">
        <v>11171</v>
      </c>
      <c r="C5738" t="s">
        <v>2808</v>
      </c>
    </row>
    <row r="5739" spans="1:3" x14ac:dyDescent="0.4">
      <c r="A5739" s="1" t="s">
        <v>11172</v>
      </c>
      <c r="B5739" t="s">
        <v>11173</v>
      </c>
      <c r="C5739" t="s">
        <v>2808</v>
      </c>
    </row>
    <row r="5740" spans="1:3" x14ac:dyDescent="0.4">
      <c r="A5740" s="1" t="s">
        <v>11174</v>
      </c>
      <c r="B5740" t="s">
        <v>11175</v>
      </c>
      <c r="C5740" t="s">
        <v>2808</v>
      </c>
    </row>
    <row r="5741" spans="1:3" x14ac:dyDescent="0.4">
      <c r="A5741" s="1" t="s">
        <v>11176</v>
      </c>
      <c r="B5741" t="s">
        <v>11177</v>
      </c>
      <c r="C5741" t="s">
        <v>2808</v>
      </c>
    </row>
    <row r="5742" spans="1:3" x14ac:dyDescent="0.4">
      <c r="A5742" s="1" t="s">
        <v>11178</v>
      </c>
      <c r="B5742" t="s">
        <v>11179</v>
      </c>
      <c r="C5742" t="s">
        <v>2808</v>
      </c>
    </row>
    <row r="5743" spans="1:3" x14ac:dyDescent="0.4">
      <c r="A5743" s="1" t="s">
        <v>11180</v>
      </c>
      <c r="B5743" t="s">
        <v>11181</v>
      </c>
      <c r="C5743" t="s">
        <v>2808</v>
      </c>
    </row>
    <row r="5744" spans="1:3" x14ac:dyDescent="0.4">
      <c r="A5744" s="1" t="s">
        <v>11182</v>
      </c>
      <c r="B5744" t="s">
        <v>11183</v>
      </c>
      <c r="C5744" t="s">
        <v>2808</v>
      </c>
    </row>
    <row r="5745" spans="1:3" x14ac:dyDescent="0.4">
      <c r="A5745" s="1" t="s">
        <v>11184</v>
      </c>
      <c r="B5745" t="s">
        <v>11185</v>
      </c>
      <c r="C5745" t="s">
        <v>2808</v>
      </c>
    </row>
    <row r="5746" spans="1:3" x14ac:dyDescent="0.4">
      <c r="A5746" s="1" t="s">
        <v>11186</v>
      </c>
      <c r="B5746" t="s">
        <v>11187</v>
      </c>
      <c r="C5746" t="s">
        <v>2808</v>
      </c>
    </row>
    <row r="5747" spans="1:3" x14ac:dyDescent="0.4">
      <c r="A5747" s="1" t="s">
        <v>11188</v>
      </c>
      <c r="B5747" t="s">
        <v>11189</v>
      </c>
      <c r="C5747" t="s">
        <v>2808</v>
      </c>
    </row>
    <row r="5748" spans="1:3" x14ac:dyDescent="0.4">
      <c r="A5748" s="1" t="s">
        <v>11190</v>
      </c>
      <c r="B5748" t="s">
        <v>11191</v>
      </c>
      <c r="C5748" t="s">
        <v>2808</v>
      </c>
    </row>
    <row r="5749" spans="1:3" x14ac:dyDescent="0.4">
      <c r="A5749" s="1" t="s">
        <v>11192</v>
      </c>
      <c r="B5749" t="s">
        <v>11193</v>
      </c>
      <c r="C5749" t="s">
        <v>2808</v>
      </c>
    </row>
    <row r="5750" spans="1:3" x14ac:dyDescent="0.4">
      <c r="A5750" s="1" t="s">
        <v>11194</v>
      </c>
      <c r="B5750" t="s">
        <v>11195</v>
      </c>
      <c r="C5750" t="s">
        <v>2808</v>
      </c>
    </row>
    <row r="5751" spans="1:3" x14ac:dyDescent="0.4">
      <c r="A5751" s="1" t="s">
        <v>11196</v>
      </c>
      <c r="B5751" t="s">
        <v>11197</v>
      </c>
      <c r="C5751" t="s">
        <v>2808</v>
      </c>
    </row>
    <row r="5752" spans="1:3" x14ac:dyDescent="0.4">
      <c r="A5752" s="1" t="s">
        <v>11198</v>
      </c>
      <c r="B5752" t="s">
        <v>11199</v>
      </c>
      <c r="C5752" t="s">
        <v>2808</v>
      </c>
    </row>
    <row r="5753" spans="1:3" x14ac:dyDescent="0.4">
      <c r="A5753" s="1" t="s">
        <v>11200</v>
      </c>
      <c r="B5753" t="s">
        <v>11201</v>
      </c>
      <c r="C5753" t="s">
        <v>2808</v>
      </c>
    </row>
    <row r="5754" spans="1:3" x14ac:dyDescent="0.4">
      <c r="A5754" s="1" t="s">
        <v>11202</v>
      </c>
      <c r="B5754" t="s">
        <v>11203</v>
      </c>
      <c r="C5754" t="s">
        <v>2808</v>
      </c>
    </row>
    <row r="5755" spans="1:3" x14ac:dyDescent="0.4">
      <c r="A5755" s="1" t="s">
        <v>11204</v>
      </c>
      <c r="B5755" t="s">
        <v>11205</v>
      </c>
      <c r="C5755" t="s">
        <v>2808</v>
      </c>
    </row>
    <row r="5756" spans="1:3" x14ac:dyDescent="0.4">
      <c r="A5756" s="1" t="s">
        <v>11206</v>
      </c>
      <c r="B5756" t="s">
        <v>11207</v>
      </c>
      <c r="C5756" t="s">
        <v>2808</v>
      </c>
    </row>
    <row r="5757" spans="1:3" x14ac:dyDescent="0.4">
      <c r="A5757" s="1" t="s">
        <v>11208</v>
      </c>
      <c r="B5757" t="s">
        <v>11209</v>
      </c>
      <c r="C5757" t="s">
        <v>2808</v>
      </c>
    </row>
    <row r="5758" spans="1:3" x14ac:dyDescent="0.4">
      <c r="A5758" s="1" t="s">
        <v>11210</v>
      </c>
      <c r="B5758" t="s">
        <v>11211</v>
      </c>
      <c r="C5758" t="s">
        <v>2808</v>
      </c>
    </row>
    <row r="5759" spans="1:3" x14ac:dyDescent="0.4">
      <c r="A5759" s="1" t="s">
        <v>11212</v>
      </c>
      <c r="B5759" t="s">
        <v>11213</v>
      </c>
      <c r="C5759" t="s">
        <v>2808</v>
      </c>
    </row>
    <row r="5760" spans="1:3" x14ac:dyDescent="0.4">
      <c r="A5760" s="1" t="s">
        <v>11214</v>
      </c>
      <c r="B5760" t="s">
        <v>11215</v>
      </c>
      <c r="C5760" t="s">
        <v>2808</v>
      </c>
    </row>
    <row r="5761" spans="1:3" x14ac:dyDescent="0.4">
      <c r="A5761" s="1" t="s">
        <v>11216</v>
      </c>
      <c r="B5761" t="s">
        <v>11217</v>
      </c>
      <c r="C5761" t="s">
        <v>2808</v>
      </c>
    </row>
    <row r="5762" spans="1:3" x14ac:dyDescent="0.4">
      <c r="A5762" s="1" t="s">
        <v>11218</v>
      </c>
      <c r="B5762" t="s">
        <v>11219</v>
      </c>
      <c r="C5762" t="s">
        <v>2808</v>
      </c>
    </row>
    <row r="5763" spans="1:3" x14ac:dyDescent="0.4">
      <c r="A5763" s="1" t="s">
        <v>11220</v>
      </c>
      <c r="B5763" t="s">
        <v>11221</v>
      </c>
      <c r="C5763" t="s">
        <v>2808</v>
      </c>
    </row>
    <row r="5764" spans="1:3" x14ac:dyDescent="0.4">
      <c r="A5764" s="1" t="s">
        <v>11222</v>
      </c>
      <c r="B5764" t="s">
        <v>11223</v>
      </c>
      <c r="C5764" t="s">
        <v>2808</v>
      </c>
    </row>
    <row r="5765" spans="1:3" x14ac:dyDescent="0.4">
      <c r="A5765" s="1" t="s">
        <v>11224</v>
      </c>
      <c r="B5765" t="s">
        <v>11225</v>
      </c>
      <c r="C5765" t="s">
        <v>2808</v>
      </c>
    </row>
    <row r="5766" spans="1:3" x14ac:dyDescent="0.4">
      <c r="A5766" s="1" t="s">
        <v>11226</v>
      </c>
      <c r="B5766" t="s">
        <v>11227</v>
      </c>
      <c r="C5766" t="s">
        <v>2808</v>
      </c>
    </row>
    <row r="5767" spans="1:3" x14ac:dyDescent="0.4">
      <c r="A5767" s="1" t="s">
        <v>11228</v>
      </c>
      <c r="B5767" t="s">
        <v>11229</v>
      </c>
      <c r="C5767" t="s">
        <v>2808</v>
      </c>
    </row>
    <row r="5768" spans="1:3" x14ac:dyDescent="0.4">
      <c r="A5768" s="1" t="s">
        <v>11230</v>
      </c>
      <c r="B5768" t="s">
        <v>11231</v>
      </c>
      <c r="C5768" t="s">
        <v>2808</v>
      </c>
    </row>
    <row r="5769" spans="1:3" x14ac:dyDescent="0.4">
      <c r="A5769" s="1" t="s">
        <v>11232</v>
      </c>
      <c r="B5769" t="s">
        <v>11233</v>
      </c>
      <c r="C5769" t="s">
        <v>2808</v>
      </c>
    </row>
    <row r="5770" spans="1:3" x14ac:dyDescent="0.4">
      <c r="A5770" s="1" t="s">
        <v>11234</v>
      </c>
      <c r="B5770" t="s">
        <v>11235</v>
      </c>
      <c r="C5770" t="s">
        <v>2808</v>
      </c>
    </row>
    <row r="5771" spans="1:3" x14ac:dyDescent="0.4">
      <c r="A5771" s="1" t="s">
        <v>11236</v>
      </c>
      <c r="B5771" t="s">
        <v>11237</v>
      </c>
      <c r="C5771" t="s">
        <v>2808</v>
      </c>
    </row>
    <row r="5772" spans="1:3" x14ac:dyDescent="0.4">
      <c r="A5772" s="1" t="s">
        <v>11238</v>
      </c>
      <c r="B5772" t="s">
        <v>11239</v>
      </c>
      <c r="C5772" t="s">
        <v>2808</v>
      </c>
    </row>
    <row r="5773" spans="1:3" x14ac:dyDescent="0.4">
      <c r="A5773" s="1" t="s">
        <v>11240</v>
      </c>
      <c r="B5773" t="s">
        <v>11241</v>
      </c>
      <c r="C5773" t="s">
        <v>2808</v>
      </c>
    </row>
    <row r="5774" spans="1:3" x14ac:dyDescent="0.4">
      <c r="A5774" s="1" t="s">
        <v>11242</v>
      </c>
      <c r="B5774" t="s">
        <v>11243</v>
      </c>
      <c r="C5774" t="s">
        <v>2808</v>
      </c>
    </row>
    <row r="5775" spans="1:3" x14ac:dyDescent="0.4">
      <c r="A5775" s="1" t="s">
        <v>11244</v>
      </c>
      <c r="B5775" t="s">
        <v>11245</v>
      </c>
      <c r="C5775" t="s">
        <v>2808</v>
      </c>
    </row>
    <row r="5776" spans="1:3" x14ac:dyDescent="0.4">
      <c r="A5776" s="1" t="s">
        <v>11246</v>
      </c>
      <c r="B5776" t="s">
        <v>11247</v>
      </c>
      <c r="C5776" t="s">
        <v>2808</v>
      </c>
    </row>
    <row r="5777" spans="1:3" x14ac:dyDescent="0.4">
      <c r="A5777" s="1" t="s">
        <v>11248</v>
      </c>
      <c r="B5777" t="s">
        <v>11249</v>
      </c>
      <c r="C5777" t="s">
        <v>2808</v>
      </c>
    </row>
    <row r="5778" spans="1:3" x14ac:dyDescent="0.4">
      <c r="A5778" s="1" t="s">
        <v>11250</v>
      </c>
      <c r="B5778" t="s">
        <v>11251</v>
      </c>
      <c r="C5778" t="s">
        <v>2808</v>
      </c>
    </row>
    <row r="5779" spans="1:3" x14ac:dyDescent="0.4">
      <c r="A5779" s="1" t="s">
        <v>11252</v>
      </c>
      <c r="B5779" t="s">
        <v>11253</v>
      </c>
      <c r="C5779" t="s">
        <v>2808</v>
      </c>
    </row>
    <row r="5780" spans="1:3" x14ac:dyDescent="0.4">
      <c r="A5780" s="1" t="s">
        <v>11254</v>
      </c>
      <c r="B5780" t="s">
        <v>11255</v>
      </c>
      <c r="C5780" t="s">
        <v>2808</v>
      </c>
    </row>
    <row r="5781" spans="1:3" x14ac:dyDescent="0.4">
      <c r="A5781" s="1" t="s">
        <v>11256</v>
      </c>
      <c r="B5781" t="s">
        <v>11257</v>
      </c>
      <c r="C5781" t="s">
        <v>2808</v>
      </c>
    </row>
    <row r="5782" spans="1:3" x14ac:dyDescent="0.4">
      <c r="A5782" s="1" t="s">
        <v>11258</v>
      </c>
      <c r="B5782" t="s">
        <v>11259</v>
      </c>
      <c r="C5782" t="s">
        <v>2808</v>
      </c>
    </row>
    <row r="5783" spans="1:3" x14ac:dyDescent="0.4">
      <c r="A5783" s="1" t="s">
        <v>11260</v>
      </c>
      <c r="B5783" t="s">
        <v>11261</v>
      </c>
      <c r="C5783" t="s">
        <v>2808</v>
      </c>
    </row>
    <row r="5784" spans="1:3" x14ac:dyDescent="0.4">
      <c r="A5784" s="1" t="s">
        <v>11262</v>
      </c>
      <c r="B5784" t="s">
        <v>11263</v>
      </c>
      <c r="C5784" t="s">
        <v>2808</v>
      </c>
    </row>
    <row r="5785" spans="1:3" x14ac:dyDescent="0.4">
      <c r="A5785" s="1" t="s">
        <v>11264</v>
      </c>
      <c r="B5785" t="s">
        <v>11265</v>
      </c>
      <c r="C5785" t="s">
        <v>2808</v>
      </c>
    </row>
    <row r="5786" spans="1:3" x14ac:dyDescent="0.4">
      <c r="A5786" s="1" t="s">
        <v>11266</v>
      </c>
      <c r="B5786" t="s">
        <v>11267</v>
      </c>
      <c r="C5786" t="s">
        <v>2808</v>
      </c>
    </row>
    <row r="5787" spans="1:3" x14ac:dyDescent="0.4">
      <c r="A5787" s="1" t="s">
        <v>11268</v>
      </c>
      <c r="B5787" t="s">
        <v>11269</v>
      </c>
      <c r="C5787" t="s">
        <v>2808</v>
      </c>
    </row>
    <row r="5788" spans="1:3" x14ac:dyDescent="0.4">
      <c r="A5788" s="1" t="s">
        <v>11270</v>
      </c>
      <c r="B5788" t="s">
        <v>11271</v>
      </c>
      <c r="C5788" t="s">
        <v>2808</v>
      </c>
    </row>
    <row r="5789" spans="1:3" x14ac:dyDescent="0.4">
      <c r="A5789" s="1" t="s">
        <v>11272</v>
      </c>
      <c r="B5789" t="s">
        <v>11273</v>
      </c>
      <c r="C5789" t="s">
        <v>2808</v>
      </c>
    </row>
    <row r="5790" spans="1:3" x14ac:dyDescent="0.4">
      <c r="A5790" s="1" t="s">
        <v>11274</v>
      </c>
      <c r="B5790" t="s">
        <v>11275</v>
      </c>
      <c r="C5790" t="s">
        <v>2808</v>
      </c>
    </row>
    <row r="5791" spans="1:3" x14ac:dyDescent="0.4">
      <c r="A5791" s="1" t="s">
        <v>11276</v>
      </c>
      <c r="B5791" t="s">
        <v>11277</v>
      </c>
      <c r="C5791" t="s">
        <v>2808</v>
      </c>
    </row>
    <row r="5792" spans="1:3" x14ac:dyDescent="0.4">
      <c r="A5792" s="1" t="s">
        <v>11278</v>
      </c>
      <c r="B5792" t="s">
        <v>11279</v>
      </c>
      <c r="C5792" t="s">
        <v>2808</v>
      </c>
    </row>
    <row r="5793" spans="1:3" x14ac:dyDescent="0.4">
      <c r="A5793" s="1" t="s">
        <v>11280</v>
      </c>
      <c r="B5793" t="s">
        <v>11281</v>
      </c>
      <c r="C5793" t="s">
        <v>2808</v>
      </c>
    </row>
    <row r="5794" spans="1:3" x14ac:dyDescent="0.4">
      <c r="A5794" s="1" t="s">
        <v>11282</v>
      </c>
      <c r="B5794" t="s">
        <v>11283</v>
      </c>
      <c r="C5794" t="s">
        <v>2808</v>
      </c>
    </row>
    <row r="5795" spans="1:3" x14ac:dyDescent="0.4">
      <c r="A5795" s="1" t="s">
        <v>11284</v>
      </c>
      <c r="B5795" t="s">
        <v>11285</v>
      </c>
      <c r="C5795" t="s">
        <v>2808</v>
      </c>
    </row>
    <row r="5796" spans="1:3" x14ac:dyDescent="0.4">
      <c r="A5796" s="1" t="s">
        <v>11286</v>
      </c>
      <c r="B5796" t="s">
        <v>11287</v>
      </c>
      <c r="C5796" t="s">
        <v>2808</v>
      </c>
    </row>
    <row r="5797" spans="1:3" x14ac:dyDescent="0.4">
      <c r="A5797" s="1" t="s">
        <v>11288</v>
      </c>
      <c r="B5797" t="s">
        <v>11289</v>
      </c>
      <c r="C5797" t="s">
        <v>2808</v>
      </c>
    </row>
    <row r="5798" spans="1:3" x14ac:dyDescent="0.4">
      <c r="A5798" s="1" t="s">
        <v>11290</v>
      </c>
      <c r="B5798" t="s">
        <v>11291</v>
      </c>
      <c r="C5798" t="s">
        <v>2808</v>
      </c>
    </row>
    <row r="5799" spans="1:3" x14ac:dyDescent="0.4">
      <c r="A5799" s="1" t="s">
        <v>11292</v>
      </c>
      <c r="B5799" t="s">
        <v>11293</v>
      </c>
      <c r="C5799" t="s">
        <v>2808</v>
      </c>
    </row>
    <row r="5800" spans="1:3" x14ac:dyDescent="0.4">
      <c r="A5800" s="1" t="s">
        <v>11294</v>
      </c>
      <c r="B5800" t="s">
        <v>11295</v>
      </c>
      <c r="C5800" t="s">
        <v>2808</v>
      </c>
    </row>
    <row r="5801" spans="1:3" x14ac:dyDescent="0.4">
      <c r="A5801" s="1" t="s">
        <v>11296</v>
      </c>
      <c r="B5801" t="s">
        <v>11297</v>
      </c>
      <c r="C5801" t="s">
        <v>2808</v>
      </c>
    </row>
    <row r="5802" spans="1:3" x14ac:dyDescent="0.4">
      <c r="A5802" s="1" t="s">
        <v>11298</v>
      </c>
      <c r="B5802" t="s">
        <v>11299</v>
      </c>
      <c r="C5802" t="s">
        <v>2808</v>
      </c>
    </row>
    <row r="5803" spans="1:3" x14ac:dyDescent="0.4">
      <c r="A5803" s="1" t="s">
        <v>11300</v>
      </c>
      <c r="B5803" t="s">
        <v>11301</v>
      </c>
      <c r="C5803" t="s">
        <v>2808</v>
      </c>
    </row>
    <row r="5804" spans="1:3" x14ac:dyDescent="0.4">
      <c r="A5804" s="1" t="s">
        <v>11302</v>
      </c>
      <c r="B5804" t="s">
        <v>11303</v>
      </c>
      <c r="C5804" t="s">
        <v>2808</v>
      </c>
    </row>
    <row r="5805" spans="1:3" x14ac:dyDescent="0.4">
      <c r="A5805" s="1" t="s">
        <v>11304</v>
      </c>
      <c r="B5805" t="s">
        <v>11305</v>
      </c>
      <c r="C5805" t="s">
        <v>2808</v>
      </c>
    </row>
    <row r="5806" spans="1:3" x14ac:dyDescent="0.4">
      <c r="A5806" s="1" t="s">
        <v>11306</v>
      </c>
      <c r="B5806" t="s">
        <v>11307</v>
      </c>
      <c r="C5806" t="s">
        <v>2808</v>
      </c>
    </row>
    <row r="5807" spans="1:3" x14ac:dyDescent="0.4">
      <c r="A5807" s="1" t="s">
        <v>11308</v>
      </c>
      <c r="B5807" t="s">
        <v>11309</v>
      </c>
      <c r="C5807" t="s">
        <v>2808</v>
      </c>
    </row>
    <row r="5808" spans="1:3" x14ac:dyDescent="0.4">
      <c r="A5808" s="1" t="s">
        <v>11310</v>
      </c>
      <c r="B5808" t="s">
        <v>11311</v>
      </c>
      <c r="C5808" t="s">
        <v>2808</v>
      </c>
    </row>
    <row r="5809" spans="1:3" x14ac:dyDescent="0.4">
      <c r="A5809" s="1" t="s">
        <v>11312</v>
      </c>
      <c r="B5809" t="s">
        <v>11313</v>
      </c>
      <c r="C5809" t="s">
        <v>2808</v>
      </c>
    </row>
    <row r="5810" spans="1:3" x14ac:dyDescent="0.4">
      <c r="A5810" s="1" t="s">
        <v>11314</v>
      </c>
      <c r="B5810" t="s">
        <v>11315</v>
      </c>
      <c r="C5810" t="s">
        <v>2808</v>
      </c>
    </row>
    <row r="5811" spans="1:3" x14ac:dyDescent="0.4">
      <c r="A5811" s="1" t="s">
        <v>11316</v>
      </c>
      <c r="B5811" t="s">
        <v>11317</v>
      </c>
      <c r="C5811" t="s">
        <v>2808</v>
      </c>
    </row>
    <row r="5812" spans="1:3" x14ac:dyDescent="0.4">
      <c r="A5812" s="1" t="s">
        <v>11318</v>
      </c>
      <c r="B5812" t="s">
        <v>11319</v>
      </c>
      <c r="C5812" t="s">
        <v>2808</v>
      </c>
    </row>
    <row r="5813" spans="1:3" x14ac:dyDescent="0.4">
      <c r="A5813" s="1" t="s">
        <v>11320</v>
      </c>
      <c r="B5813" t="s">
        <v>11321</v>
      </c>
      <c r="C5813" t="s">
        <v>2808</v>
      </c>
    </row>
    <row r="5814" spans="1:3" x14ac:dyDescent="0.4">
      <c r="A5814" s="1" t="s">
        <v>11322</v>
      </c>
      <c r="B5814" t="s">
        <v>11323</v>
      </c>
      <c r="C5814" t="s">
        <v>2808</v>
      </c>
    </row>
    <row r="5815" spans="1:3" x14ac:dyDescent="0.4">
      <c r="A5815" s="1" t="s">
        <v>11324</v>
      </c>
      <c r="B5815" t="s">
        <v>11325</v>
      </c>
      <c r="C5815" t="s">
        <v>2808</v>
      </c>
    </row>
    <row r="5816" spans="1:3" x14ac:dyDescent="0.4">
      <c r="A5816" s="1" t="s">
        <v>11326</v>
      </c>
      <c r="B5816" t="s">
        <v>11327</v>
      </c>
      <c r="C5816" t="s">
        <v>2808</v>
      </c>
    </row>
    <row r="5817" spans="1:3" x14ac:dyDescent="0.4">
      <c r="A5817" s="1" t="s">
        <v>11328</v>
      </c>
      <c r="B5817" t="s">
        <v>11329</v>
      </c>
      <c r="C5817" t="s">
        <v>2808</v>
      </c>
    </row>
    <row r="5818" spans="1:3" x14ac:dyDescent="0.4">
      <c r="A5818" s="1" t="s">
        <v>11330</v>
      </c>
      <c r="B5818" t="s">
        <v>11331</v>
      </c>
      <c r="C5818" t="s">
        <v>2808</v>
      </c>
    </row>
    <row r="5819" spans="1:3" x14ac:dyDescent="0.4">
      <c r="A5819" s="1" t="s">
        <v>11332</v>
      </c>
      <c r="B5819" t="s">
        <v>11333</v>
      </c>
      <c r="C5819" t="s">
        <v>2808</v>
      </c>
    </row>
    <row r="5820" spans="1:3" x14ac:dyDescent="0.4">
      <c r="A5820" s="1" t="s">
        <v>11334</v>
      </c>
      <c r="B5820" t="s">
        <v>11335</v>
      </c>
      <c r="C5820" t="s">
        <v>2808</v>
      </c>
    </row>
    <row r="5821" spans="1:3" x14ac:dyDescent="0.4">
      <c r="A5821" s="1" t="s">
        <v>11336</v>
      </c>
      <c r="B5821" t="s">
        <v>11337</v>
      </c>
      <c r="C5821" t="s">
        <v>2808</v>
      </c>
    </row>
    <row r="5822" spans="1:3" x14ac:dyDescent="0.4">
      <c r="A5822" s="1" t="s">
        <v>11338</v>
      </c>
      <c r="B5822" t="s">
        <v>11339</v>
      </c>
      <c r="C5822" t="s">
        <v>2808</v>
      </c>
    </row>
    <row r="5823" spans="1:3" x14ac:dyDescent="0.4">
      <c r="A5823" s="1" t="s">
        <v>11340</v>
      </c>
      <c r="B5823" t="s">
        <v>11341</v>
      </c>
      <c r="C5823" t="s">
        <v>2808</v>
      </c>
    </row>
    <row r="5824" spans="1:3" x14ac:dyDescent="0.4">
      <c r="A5824" s="1" t="s">
        <v>11342</v>
      </c>
      <c r="B5824" t="s">
        <v>11343</v>
      </c>
      <c r="C5824" t="s">
        <v>2808</v>
      </c>
    </row>
    <row r="5825" spans="1:3" x14ac:dyDescent="0.4">
      <c r="A5825" s="1" t="s">
        <v>11344</v>
      </c>
      <c r="B5825" t="s">
        <v>11345</v>
      </c>
      <c r="C5825" t="s">
        <v>2808</v>
      </c>
    </row>
    <row r="5826" spans="1:3" x14ac:dyDescent="0.4">
      <c r="A5826" s="1" t="s">
        <v>11346</v>
      </c>
      <c r="B5826" t="s">
        <v>11347</v>
      </c>
      <c r="C5826" t="s">
        <v>2808</v>
      </c>
    </row>
    <row r="5827" spans="1:3" x14ac:dyDescent="0.4">
      <c r="A5827" s="1" t="s">
        <v>11348</v>
      </c>
      <c r="B5827" t="s">
        <v>11349</v>
      </c>
      <c r="C5827" t="s">
        <v>2808</v>
      </c>
    </row>
    <row r="5828" spans="1:3" x14ac:dyDescent="0.4">
      <c r="A5828" s="1" t="s">
        <v>11350</v>
      </c>
      <c r="B5828" t="s">
        <v>11351</v>
      </c>
      <c r="C5828" t="s">
        <v>2808</v>
      </c>
    </row>
    <row r="5829" spans="1:3" x14ac:dyDescent="0.4">
      <c r="A5829" s="1" t="s">
        <v>11352</v>
      </c>
      <c r="B5829" t="s">
        <v>11353</v>
      </c>
      <c r="C5829" t="s">
        <v>2808</v>
      </c>
    </row>
    <row r="5830" spans="1:3" x14ac:dyDescent="0.4">
      <c r="A5830" s="1" t="s">
        <v>11354</v>
      </c>
      <c r="B5830" t="s">
        <v>11355</v>
      </c>
      <c r="C5830" t="s">
        <v>2808</v>
      </c>
    </row>
    <row r="5831" spans="1:3" x14ac:dyDescent="0.4">
      <c r="A5831" s="1" t="s">
        <v>11356</v>
      </c>
      <c r="B5831" t="s">
        <v>11357</v>
      </c>
      <c r="C5831" t="s">
        <v>2808</v>
      </c>
    </row>
    <row r="5832" spans="1:3" x14ac:dyDescent="0.4">
      <c r="A5832" s="1" t="s">
        <v>11358</v>
      </c>
      <c r="B5832" t="s">
        <v>11359</v>
      </c>
      <c r="C5832" t="s">
        <v>2808</v>
      </c>
    </row>
    <row r="5833" spans="1:3" x14ac:dyDescent="0.4">
      <c r="A5833" s="1" t="s">
        <v>11360</v>
      </c>
      <c r="B5833" t="s">
        <v>11361</v>
      </c>
      <c r="C5833" t="s">
        <v>2808</v>
      </c>
    </row>
    <row r="5834" spans="1:3" x14ac:dyDescent="0.4">
      <c r="A5834" s="1" t="s">
        <v>11362</v>
      </c>
      <c r="B5834" t="s">
        <v>11363</v>
      </c>
      <c r="C5834" t="s">
        <v>2808</v>
      </c>
    </row>
    <row r="5835" spans="1:3" x14ac:dyDescent="0.4">
      <c r="A5835" s="1" t="s">
        <v>11364</v>
      </c>
      <c r="B5835" t="s">
        <v>11365</v>
      </c>
      <c r="C5835" t="s">
        <v>2808</v>
      </c>
    </row>
    <row r="5836" spans="1:3" x14ac:dyDescent="0.4">
      <c r="A5836" s="1" t="s">
        <v>11366</v>
      </c>
      <c r="B5836" t="s">
        <v>11367</v>
      </c>
      <c r="C5836" t="s">
        <v>2808</v>
      </c>
    </row>
    <row r="5837" spans="1:3" x14ac:dyDescent="0.4">
      <c r="A5837" s="1" t="s">
        <v>11368</v>
      </c>
      <c r="B5837" t="e">
        <f>-終息-ﾘｻｲｸﾙﾄﾅｰ ﾀｲﾌﾟ920</f>
        <v>#NAME?</v>
      </c>
      <c r="C5837" t="s">
        <v>2808</v>
      </c>
    </row>
    <row r="5838" spans="1:3" x14ac:dyDescent="0.4">
      <c r="A5838" s="1" t="s">
        <v>11369</v>
      </c>
      <c r="B5838" t="s">
        <v>11370</v>
      </c>
      <c r="C5838" t="s">
        <v>2808</v>
      </c>
    </row>
    <row r="5839" spans="1:3" x14ac:dyDescent="0.4">
      <c r="A5839" s="1" t="s">
        <v>11371</v>
      </c>
      <c r="B5839" t="s">
        <v>11372</v>
      </c>
      <c r="C5839" t="s">
        <v>2808</v>
      </c>
    </row>
    <row r="5840" spans="1:3" x14ac:dyDescent="0.4">
      <c r="A5840" s="1" t="s">
        <v>11373</v>
      </c>
      <c r="B5840" t="s">
        <v>11374</v>
      </c>
      <c r="C5840" t="s">
        <v>2808</v>
      </c>
    </row>
    <row r="5841" spans="1:3" x14ac:dyDescent="0.4">
      <c r="A5841" s="1" t="s">
        <v>11375</v>
      </c>
      <c r="B5841" t="s">
        <v>11376</v>
      </c>
      <c r="C5841" t="s">
        <v>2808</v>
      </c>
    </row>
    <row r="5842" spans="1:3" x14ac:dyDescent="0.4">
      <c r="A5842" s="1" t="s">
        <v>11377</v>
      </c>
      <c r="B5842" t="s">
        <v>11378</v>
      </c>
      <c r="C5842" t="s">
        <v>2808</v>
      </c>
    </row>
    <row r="5843" spans="1:3" x14ac:dyDescent="0.4">
      <c r="A5843" s="1" t="s">
        <v>11379</v>
      </c>
      <c r="B5843" t="s">
        <v>11380</v>
      </c>
      <c r="C5843" t="s">
        <v>2808</v>
      </c>
    </row>
    <row r="5844" spans="1:3" x14ac:dyDescent="0.4">
      <c r="A5844" s="1" t="s">
        <v>11381</v>
      </c>
      <c r="B5844" t="s">
        <v>11382</v>
      </c>
      <c r="C5844" t="s">
        <v>2808</v>
      </c>
    </row>
    <row r="5845" spans="1:3" x14ac:dyDescent="0.4">
      <c r="A5845" s="1" t="s">
        <v>11383</v>
      </c>
      <c r="B5845" t="s">
        <v>11384</v>
      </c>
      <c r="C5845" t="s">
        <v>2808</v>
      </c>
    </row>
    <row r="5846" spans="1:3" x14ac:dyDescent="0.4">
      <c r="A5846" s="1" t="s">
        <v>11385</v>
      </c>
      <c r="B5846" t="s">
        <v>11386</v>
      </c>
      <c r="C5846" t="s">
        <v>2808</v>
      </c>
    </row>
    <row r="5847" spans="1:3" x14ac:dyDescent="0.4">
      <c r="A5847" s="1" t="s">
        <v>11387</v>
      </c>
      <c r="B5847" t="s">
        <v>11388</v>
      </c>
      <c r="C5847" t="s">
        <v>2808</v>
      </c>
    </row>
    <row r="5848" spans="1:3" x14ac:dyDescent="0.4">
      <c r="A5848" s="1" t="s">
        <v>11389</v>
      </c>
      <c r="B5848" t="s">
        <v>11390</v>
      </c>
      <c r="C5848" t="s">
        <v>2808</v>
      </c>
    </row>
    <row r="5849" spans="1:3" x14ac:dyDescent="0.4">
      <c r="A5849" s="1" t="s">
        <v>11391</v>
      </c>
      <c r="B5849" t="s">
        <v>11392</v>
      </c>
      <c r="C5849" t="s">
        <v>2808</v>
      </c>
    </row>
    <row r="5850" spans="1:3" x14ac:dyDescent="0.4">
      <c r="A5850" s="1" t="s">
        <v>11393</v>
      </c>
      <c r="B5850" t="s">
        <v>11394</v>
      </c>
      <c r="C5850" t="s">
        <v>2808</v>
      </c>
    </row>
    <row r="5851" spans="1:3" x14ac:dyDescent="0.4">
      <c r="A5851" s="1" t="s">
        <v>11395</v>
      </c>
      <c r="B5851" t="s">
        <v>11396</v>
      </c>
      <c r="C5851" t="s">
        <v>2808</v>
      </c>
    </row>
    <row r="5852" spans="1:3" x14ac:dyDescent="0.4">
      <c r="A5852" s="1" t="s">
        <v>11397</v>
      </c>
      <c r="B5852" t="s">
        <v>11398</v>
      </c>
      <c r="C5852" t="s">
        <v>2808</v>
      </c>
    </row>
    <row r="5853" spans="1:3" x14ac:dyDescent="0.4">
      <c r="A5853" s="1" t="s">
        <v>11399</v>
      </c>
      <c r="B5853" t="s">
        <v>11400</v>
      </c>
      <c r="C5853" t="s">
        <v>2808</v>
      </c>
    </row>
    <row r="5854" spans="1:3" x14ac:dyDescent="0.4">
      <c r="A5854" s="1" t="s">
        <v>11401</v>
      </c>
      <c r="B5854" t="s">
        <v>11402</v>
      </c>
      <c r="C5854" t="s">
        <v>2808</v>
      </c>
    </row>
    <row r="5855" spans="1:3" x14ac:dyDescent="0.4">
      <c r="A5855" s="1" t="s">
        <v>11403</v>
      </c>
      <c r="B5855" t="s">
        <v>11404</v>
      </c>
      <c r="C5855" t="s">
        <v>2808</v>
      </c>
    </row>
    <row r="5856" spans="1:3" x14ac:dyDescent="0.4">
      <c r="A5856" s="1" t="s">
        <v>11405</v>
      </c>
      <c r="B5856" t="s">
        <v>11406</v>
      </c>
      <c r="C5856" t="s">
        <v>2808</v>
      </c>
    </row>
    <row r="5857" spans="1:3" x14ac:dyDescent="0.4">
      <c r="A5857" s="1" t="s">
        <v>11407</v>
      </c>
      <c r="B5857" t="s">
        <v>11408</v>
      </c>
      <c r="C5857" t="s">
        <v>2808</v>
      </c>
    </row>
    <row r="5858" spans="1:3" x14ac:dyDescent="0.4">
      <c r="A5858" s="1" t="s">
        <v>11409</v>
      </c>
      <c r="B5858" t="s">
        <v>11410</v>
      </c>
      <c r="C5858" t="s">
        <v>2808</v>
      </c>
    </row>
    <row r="5859" spans="1:3" x14ac:dyDescent="0.4">
      <c r="A5859" s="1" t="s">
        <v>11411</v>
      </c>
      <c r="B5859" t="s">
        <v>11412</v>
      </c>
      <c r="C5859" t="s">
        <v>2808</v>
      </c>
    </row>
    <row r="5860" spans="1:3" x14ac:dyDescent="0.4">
      <c r="A5860" s="1" t="s">
        <v>11413</v>
      </c>
      <c r="B5860" t="s">
        <v>11414</v>
      </c>
      <c r="C5860" t="s">
        <v>2808</v>
      </c>
    </row>
    <row r="5861" spans="1:3" x14ac:dyDescent="0.4">
      <c r="A5861" s="1" t="s">
        <v>11415</v>
      </c>
      <c r="B5861" t="s">
        <v>11416</v>
      </c>
      <c r="C5861" t="s">
        <v>2808</v>
      </c>
    </row>
    <row r="5862" spans="1:3" x14ac:dyDescent="0.4">
      <c r="A5862" s="1" t="s">
        <v>11417</v>
      </c>
      <c r="B5862" t="s">
        <v>11418</v>
      </c>
      <c r="C5862" t="s">
        <v>2808</v>
      </c>
    </row>
    <row r="5863" spans="1:3" x14ac:dyDescent="0.4">
      <c r="A5863" s="1" t="s">
        <v>11419</v>
      </c>
      <c r="B5863" t="s">
        <v>11420</v>
      </c>
      <c r="C5863" t="s">
        <v>2808</v>
      </c>
    </row>
    <row r="5864" spans="1:3" x14ac:dyDescent="0.4">
      <c r="A5864" s="1" t="s">
        <v>11421</v>
      </c>
      <c r="B5864" t="s">
        <v>11422</v>
      </c>
      <c r="C5864" t="s">
        <v>2808</v>
      </c>
    </row>
    <row r="5865" spans="1:3" x14ac:dyDescent="0.4">
      <c r="A5865" s="1" t="s">
        <v>11423</v>
      </c>
      <c r="B5865" t="s">
        <v>11424</v>
      </c>
      <c r="C5865" t="s">
        <v>2808</v>
      </c>
    </row>
    <row r="5866" spans="1:3" x14ac:dyDescent="0.4">
      <c r="A5866" s="1" t="s">
        <v>11425</v>
      </c>
      <c r="B5866" t="s">
        <v>11426</v>
      </c>
      <c r="C5866" t="s">
        <v>2808</v>
      </c>
    </row>
    <row r="5867" spans="1:3" x14ac:dyDescent="0.4">
      <c r="A5867" s="1" t="s">
        <v>11427</v>
      </c>
      <c r="B5867" t="s">
        <v>11428</v>
      </c>
      <c r="C5867" t="s">
        <v>2808</v>
      </c>
    </row>
    <row r="5868" spans="1:3" x14ac:dyDescent="0.4">
      <c r="A5868" s="1" t="s">
        <v>11429</v>
      </c>
      <c r="B5868" t="s">
        <v>11430</v>
      </c>
      <c r="C5868" t="s">
        <v>2808</v>
      </c>
    </row>
    <row r="5869" spans="1:3" x14ac:dyDescent="0.4">
      <c r="A5869" s="1" t="s">
        <v>11431</v>
      </c>
      <c r="B5869" t="e">
        <f>-終息-ﾘｻｲｸﾙﾄﾅｰ NTT B3998</f>
        <v>#NAME?</v>
      </c>
      <c r="C5869" t="s">
        <v>2808</v>
      </c>
    </row>
    <row r="5870" spans="1:3" x14ac:dyDescent="0.4">
      <c r="A5870" s="1" t="s">
        <v>11432</v>
      </c>
      <c r="B5870" t="s">
        <v>11433</v>
      </c>
      <c r="C5870" t="s">
        <v>2808</v>
      </c>
    </row>
    <row r="5871" spans="1:3" x14ac:dyDescent="0.4">
      <c r="A5871" s="1" t="s">
        <v>11434</v>
      </c>
      <c r="B5871" t="s">
        <v>11435</v>
      </c>
      <c r="C5871" t="s">
        <v>2808</v>
      </c>
    </row>
    <row r="5872" spans="1:3" x14ac:dyDescent="0.4">
      <c r="A5872" s="1" t="s">
        <v>11436</v>
      </c>
      <c r="B5872" t="s">
        <v>11437</v>
      </c>
      <c r="C5872" t="s">
        <v>2808</v>
      </c>
    </row>
    <row r="5873" spans="1:3" x14ac:dyDescent="0.4">
      <c r="A5873" s="1" t="s">
        <v>11438</v>
      </c>
      <c r="B5873" t="s">
        <v>11439</v>
      </c>
      <c r="C5873" t="s">
        <v>2808</v>
      </c>
    </row>
    <row r="5874" spans="1:3" x14ac:dyDescent="0.4">
      <c r="A5874" s="1" t="s">
        <v>11440</v>
      </c>
      <c r="B5874" t="s">
        <v>11441</v>
      </c>
      <c r="C5874" t="s">
        <v>2808</v>
      </c>
    </row>
    <row r="5875" spans="1:3" x14ac:dyDescent="0.4">
      <c r="A5875" s="1" t="s">
        <v>11442</v>
      </c>
      <c r="B5875" t="s">
        <v>11443</v>
      </c>
      <c r="C5875" t="s">
        <v>2808</v>
      </c>
    </row>
    <row r="5876" spans="1:3" x14ac:dyDescent="0.4">
      <c r="A5876" s="1" t="s">
        <v>11444</v>
      </c>
      <c r="B5876" t="s">
        <v>11445</v>
      </c>
      <c r="C5876" t="s">
        <v>2808</v>
      </c>
    </row>
    <row r="5877" spans="1:3" x14ac:dyDescent="0.4">
      <c r="A5877" s="1" t="s">
        <v>11446</v>
      </c>
      <c r="B5877" t="s">
        <v>11447</v>
      </c>
      <c r="C5877" t="s">
        <v>2808</v>
      </c>
    </row>
    <row r="5878" spans="1:3" x14ac:dyDescent="0.4">
      <c r="A5878" s="1" t="s">
        <v>11448</v>
      </c>
      <c r="B5878" t="s">
        <v>11449</v>
      </c>
      <c r="C5878" t="s">
        <v>2808</v>
      </c>
    </row>
    <row r="5879" spans="1:3" x14ac:dyDescent="0.4">
      <c r="A5879" s="1" t="s">
        <v>11450</v>
      </c>
      <c r="B5879" t="s">
        <v>11451</v>
      </c>
      <c r="C5879" t="s">
        <v>2808</v>
      </c>
    </row>
    <row r="5880" spans="1:3" x14ac:dyDescent="0.4">
      <c r="A5880" s="1" t="s">
        <v>11452</v>
      </c>
      <c r="B5880" t="s">
        <v>11453</v>
      </c>
      <c r="C5880" t="s">
        <v>2808</v>
      </c>
    </row>
    <row r="5881" spans="1:3" x14ac:dyDescent="0.4">
      <c r="A5881" s="1" t="s">
        <v>11454</v>
      </c>
      <c r="B5881" t="s">
        <v>11455</v>
      </c>
      <c r="C5881" t="s">
        <v>2808</v>
      </c>
    </row>
    <row r="5882" spans="1:3" x14ac:dyDescent="0.4">
      <c r="A5882" s="1" t="s">
        <v>11456</v>
      </c>
      <c r="B5882" t="s">
        <v>11457</v>
      </c>
      <c r="C5882" t="s">
        <v>2808</v>
      </c>
    </row>
    <row r="5883" spans="1:3" x14ac:dyDescent="0.4">
      <c r="A5883" s="1" t="s">
        <v>11458</v>
      </c>
      <c r="B5883" t="s">
        <v>11459</v>
      </c>
      <c r="C5883" t="s">
        <v>2808</v>
      </c>
    </row>
    <row r="5884" spans="1:3" x14ac:dyDescent="0.4">
      <c r="A5884" s="1" t="s">
        <v>11460</v>
      </c>
      <c r="B5884" t="s">
        <v>11461</v>
      </c>
      <c r="C5884" t="s">
        <v>2808</v>
      </c>
    </row>
    <row r="5885" spans="1:3" x14ac:dyDescent="0.4">
      <c r="A5885" s="1" t="s">
        <v>11462</v>
      </c>
      <c r="B5885" t="s">
        <v>11463</v>
      </c>
      <c r="C5885" t="s">
        <v>2808</v>
      </c>
    </row>
    <row r="5886" spans="1:3" x14ac:dyDescent="0.4">
      <c r="A5886" s="1" t="s">
        <v>11464</v>
      </c>
      <c r="B5886" t="s">
        <v>11465</v>
      </c>
      <c r="C5886" t="s">
        <v>2808</v>
      </c>
    </row>
    <row r="5887" spans="1:3" x14ac:dyDescent="0.4">
      <c r="A5887" s="1" t="s">
        <v>11466</v>
      </c>
      <c r="B5887" t="s">
        <v>11467</v>
      </c>
      <c r="C5887" t="s">
        <v>2808</v>
      </c>
    </row>
    <row r="5888" spans="1:3" x14ac:dyDescent="0.4">
      <c r="A5888" s="1" t="s">
        <v>11468</v>
      </c>
      <c r="B5888" t="s">
        <v>11469</v>
      </c>
      <c r="C5888" t="s">
        <v>2808</v>
      </c>
    </row>
    <row r="5889" spans="1:3" x14ac:dyDescent="0.4">
      <c r="A5889" s="1" t="s">
        <v>11470</v>
      </c>
      <c r="B5889" t="s">
        <v>11471</v>
      </c>
      <c r="C5889" t="s">
        <v>2808</v>
      </c>
    </row>
    <row r="5890" spans="1:3" x14ac:dyDescent="0.4">
      <c r="A5890" s="1" t="s">
        <v>11472</v>
      </c>
      <c r="B5890" t="s">
        <v>11473</v>
      </c>
      <c r="C5890" t="s">
        <v>2808</v>
      </c>
    </row>
    <row r="5891" spans="1:3" x14ac:dyDescent="0.4">
      <c r="A5891" s="1" t="s">
        <v>11474</v>
      </c>
      <c r="B5891" t="s">
        <v>11475</v>
      </c>
      <c r="C5891" t="s">
        <v>2808</v>
      </c>
    </row>
    <row r="5892" spans="1:3" x14ac:dyDescent="0.4">
      <c r="A5892" s="1" t="s">
        <v>11476</v>
      </c>
      <c r="B5892" t="s">
        <v>11477</v>
      </c>
      <c r="C5892" t="s">
        <v>2808</v>
      </c>
    </row>
    <row r="5893" spans="1:3" x14ac:dyDescent="0.4">
      <c r="A5893" s="1" t="s">
        <v>11478</v>
      </c>
      <c r="B5893" t="s">
        <v>11479</v>
      </c>
      <c r="C5893" t="s">
        <v>2808</v>
      </c>
    </row>
    <row r="5894" spans="1:3" x14ac:dyDescent="0.4">
      <c r="A5894" s="1" t="s">
        <v>11480</v>
      </c>
      <c r="B5894" t="s">
        <v>11481</v>
      </c>
      <c r="C5894" t="s">
        <v>2808</v>
      </c>
    </row>
    <row r="5895" spans="1:3" x14ac:dyDescent="0.4">
      <c r="A5895" s="1" t="s">
        <v>11482</v>
      </c>
      <c r="B5895" t="s">
        <v>11483</v>
      </c>
      <c r="C5895" t="s">
        <v>2808</v>
      </c>
    </row>
    <row r="5896" spans="1:3" x14ac:dyDescent="0.4">
      <c r="A5896" s="1" t="s">
        <v>11484</v>
      </c>
      <c r="B5896" t="s">
        <v>11485</v>
      </c>
      <c r="C5896" t="s">
        <v>2808</v>
      </c>
    </row>
    <row r="5897" spans="1:3" x14ac:dyDescent="0.4">
      <c r="A5897" s="1" t="s">
        <v>11486</v>
      </c>
      <c r="B5897" t="s">
        <v>11487</v>
      </c>
      <c r="C5897" t="s">
        <v>2808</v>
      </c>
    </row>
    <row r="5898" spans="1:3" x14ac:dyDescent="0.4">
      <c r="A5898" s="1" t="s">
        <v>11488</v>
      </c>
      <c r="B5898" t="s">
        <v>11489</v>
      </c>
      <c r="C5898" t="s">
        <v>2808</v>
      </c>
    </row>
    <row r="5899" spans="1:3" x14ac:dyDescent="0.4">
      <c r="A5899" s="1" t="s">
        <v>11490</v>
      </c>
      <c r="B5899" t="s">
        <v>11491</v>
      </c>
      <c r="C5899" t="s">
        <v>2808</v>
      </c>
    </row>
    <row r="5900" spans="1:3" x14ac:dyDescent="0.4">
      <c r="A5900" s="1" t="s">
        <v>11492</v>
      </c>
      <c r="B5900" t="s">
        <v>11493</v>
      </c>
      <c r="C5900" t="s">
        <v>2808</v>
      </c>
    </row>
    <row r="5901" spans="1:3" x14ac:dyDescent="0.4">
      <c r="A5901" s="1" t="s">
        <v>11494</v>
      </c>
      <c r="B5901" t="s">
        <v>11495</v>
      </c>
      <c r="C5901" t="s">
        <v>2808</v>
      </c>
    </row>
    <row r="5902" spans="1:3" x14ac:dyDescent="0.4">
      <c r="A5902" s="1" t="s">
        <v>11496</v>
      </c>
      <c r="B5902" t="s">
        <v>11497</v>
      </c>
      <c r="C5902" t="s">
        <v>2808</v>
      </c>
    </row>
    <row r="5903" spans="1:3" x14ac:dyDescent="0.4">
      <c r="A5903" s="1" t="s">
        <v>11498</v>
      </c>
      <c r="B5903" t="s">
        <v>11499</v>
      </c>
      <c r="C5903" t="s">
        <v>2808</v>
      </c>
    </row>
    <row r="5904" spans="1:3" x14ac:dyDescent="0.4">
      <c r="A5904" s="1" t="s">
        <v>11500</v>
      </c>
      <c r="B5904" t="s">
        <v>11501</v>
      </c>
      <c r="C5904" t="s">
        <v>2808</v>
      </c>
    </row>
    <row r="5905" spans="1:3" x14ac:dyDescent="0.4">
      <c r="A5905" s="1" t="s">
        <v>11502</v>
      </c>
      <c r="B5905" t="s">
        <v>11503</v>
      </c>
      <c r="C5905" t="s">
        <v>2808</v>
      </c>
    </row>
    <row r="5906" spans="1:3" x14ac:dyDescent="0.4">
      <c r="A5906" s="1" t="s">
        <v>11504</v>
      </c>
      <c r="B5906" t="s">
        <v>11505</v>
      </c>
      <c r="C5906" t="s">
        <v>2808</v>
      </c>
    </row>
    <row r="5907" spans="1:3" x14ac:dyDescent="0.4">
      <c r="A5907" s="1" t="s">
        <v>11506</v>
      </c>
      <c r="B5907" t="s">
        <v>11507</v>
      </c>
      <c r="C5907" t="s">
        <v>2808</v>
      </c>
    </row>
    <row r="5908" spans="1:3" x14ac:dyDescent="0.4">
      <c r="A5908" s="1" t="s">
        <v>11508</v>
      </c>
      <c r="B5908" t="s">
        <v>11509</v>
      </c>
      <c r="C5908" t="s">
        <v>2808</v>
      </c>
    </row>
    <row r="5909" spans="1:3" x14ac:dyDescent="0.4">
      <c r="A5909" s="1" t="s">
        <v>11510</v>
      </c>
      <c r="B5909" t="s">
        <v>11511</v>
      </c>
      <c r="C5909" t="s">
        <v>2808</v>
      </c>
    </row>
    <row r="5910" spans="1:3" x14ac:dyDescent="0.4">
      <c r="A5910" s="1" t="s">
        <v>11512</v>
      </c>
      <c r="B5910" t="s">
        <v>11513</v>
      </c>
      <c r="C5910" t="s">
        <v>2808</v>
      </c>
    </row>
    <row r="5911" spans="1:3" x14ac:dyDescent="0.4">
      <c r="A5911" s="1" t="s">
        <v>11514</v>
      </c>
      <c r="B5911" t="s">
        <v>11515</v>
      </c>
      <c r="C5911" t="s">
        <v>2808</v>
      </c>
    </row>
    <row r="5912" spans="1:3" x14ac:dyDescent="0.4">
      <c r="A5912" s="1" t="s">
        <v>11516</v>
      </c>
      <c r="B5912" t="s">
        <v>11517</v>
      </c>
      <c r="C5912" t="s">
        <v>2808</v>
      </c>
    </row>
    <row r="5913" spans="1:3" x14ac:dyDescent="0.4">
      <c r="A5913" s="1" t="s">
        <v>11518</v>
      </c>
      <c r="B5913" t="s">
        <v>11519</v>
      </c>
      <c r="C5913" t="s">
        <v>2808</v>
      </c>
    </row>
    <row r="5914" spans="1:3" x14ac:dyDescent="0.4">
      <c r="A5914" s="1" t="s">
        <v>11520</v>
      </c>
      <c r="B5914" t="s">
        <v>11521</v>
      </c>
      <c r="C5914" t="s">
        <v>2808</v>
      </c>
    </row>
    <row r="5915" spans="1:3" x14ac:dyDescent="0.4">
      <c r="A5915" s="1" t="s">
        <v>11522</v>
      </c>
      <c r="B5915" t="s">
        <v>11523</v>
      </c>
      <c r="C5915" t="s">
        <v>2808</v>
      </c>
    </row>
    <row r="5916" spans="1:3" x14ac:dyDescent="0.4">
      <c r="A5916" s="1" t="s">
        <v>11524</v>
      </c>
      <c r="B5916" t="s">
        <v>11525</v>
      </c>
      <c r="C5916" t="s">
        <v>2808</v>
      </c>
    </row>
    <row r="5917" spans="1:3" x14ac:dyDescent="0.4">
      <c r="A5917" s="1" t="s">
        <v>11526</v>
      </c>
      <c r="B5917" t="s">
        <v>11527</v>
      </c>
      <c r="C5917" t="s">
        <v>2808</v>
      </c>
    </row>
    <row r="5918" spans="1:3" x14ac:dyDescent="0.4">
      <c r="A5918" s="1" t="s">
        <v>11528</v>
      </c>
      <c r="B5918" t="s">
        <v>11529</v>
      </c>
      <c r="C5918" t="s">
        <v>2808</v>
      </c>
    </row>
    <row r="5919" spans="1:3" x14ac:dyDescent="0.4">
      <c r="A5919" s="1" t="s">
        <v>11530</v>
      </c>
      <c r="B5919" t="s">
        <v>11531</v>
      </c>
      <c r="C5919" t="s">
        <v>2808</v>
      </c>
    </row>
    <row r="5920" spans="1:3" x14ac:dyDescent="0.4">
      <c r="A5920" s="1" t="s">
        <v>11532</v>
      </c>
      <c r="B5920" t="s">
        <v>11533</v>
      </c>
      <c r="C5920" t="s">
        <v>2808</v>
      </c>
    </row>
    <row r="5921" spans="1:3" x14ac:dyDescent="0.4">
      <c r="A5921" s="1" t="s">
        <v>11534</v>
      </c>
      <c r="B5921" t="s">
        <v>11535</v>
      </c>
      <c r="C5921" t="s">
        <v>2808</v>
      </c>
    </row>
    <row r="5922" spans="1:3" x14ac:dyDescent="0.4">
      <c r="A5922" s="1" t="s">
        <v>11536</v>
      </c>
      <c r="B5922" t="s">
        <v>11537</v>
      </c>
      <c r="C5922" t="s">
        <v>2808</v>
      </c>
    </row>
    <row r="5923" spans="1:3" x14ac:dyDescent="0.4">
      <c r="A5923" s="1" t="s">
        <v>11538</v>
      </c>
      <c r="B5923" t="s">
        <v>11539</v>
      </c>
      <c r="C5923" t="s">
        <v>2808</v>
      </c>
    </row>
    <row r="5924" spans="1:3" x14ac:dyDescent="0.4">
      <c r="A5924" s="1" t="s">
        <v>11540</v>
      </c>
      <c r="B5924" t="s">
        <v>11541</v>
      </c>
      <c r="C5924" t="s">
        <v>2808</v>
      </c>
    </row>
    <row r="5925" spans="1:3" x14ac:dyDescent="0.4">
      <c r="A5925" s="1" t="s">
        <v>11542</v>
      </c>
      <c r="B5925" t="s">
        <v>11543</v>
      </c>
      <c r="C5925" t="s">
        <v>2808</v>
      </c>
    </row>
    <row r="5926" spans="1:3" x14ac:dyDescent="0.4">
      <c r="A5926" s="1" t="s">
        <v>11544</v>
      </c>
      <c r="B5926" t="s">
        <v>11545</v>
      </c>
      <c r="C5926" t="s">
        <v>2808</v>
      </c>
    </row>
    <row r="5927" spans="1:3" x14ac:dyDescent="0.4">
      <c r="A5927" s="1" t="s">
        <v>11546</v>
      </c>
      <c r="B5927" t="s">
        <v>11547</v>
      </c>
      <c r="C5927" t="s">
        <v>2808</v>
      </c>
    </row>
    <row r="5928" spans="1:3" x14ac:dyDescent="0.4">
      <c r="A5928" s="1" t="s">
        <v>11548</v>
      </c>
      <c r="B5928" t="s">
        <v>11549</v>
      </c>
      <c r="C5928" t="s">
        <v>2808</v>
      </c>
    </row>
    <row r="5929" spans="1:3" x14ac:dyDescent="0.4">
      <c r="A5929" s="1" t="s">
        <v>11550</v>
      </c>
      <c r="B5929" t="s">
        <v>11551</v>
      </c>
      <c r="C5929" t="s">
        <v>2808</v>
      </c>
    </row>
    <row r="5930" spans="1:3" x14ac:dyDescent="0.4">
      <c r="A5930" s="1" t="s">
        <v>11552</v>
      </c>
      <c r="B5930" t="s">
        <v>11553</v>
      </c>
      <c r="C5930" t="s">
        <v>2808</v>
      </c>
    </row>
    <row r="5931" spans="1:3" x14ac:dyDescent="0.4">
      <c r="A5931" s="1" t="s">
        <v>11554</v>
      </c>
      <c r="B5931" t="s">
        <v>11555</v>
      </c>
      <c r="C5931" t="s">
        <v>2808</v>
      </c>
    </row>
    <row r="5932" spans="1:3" x14ac:dyDescent="0.4">
      <c r="A5932" s="1" t="s">
        <v>11556</v>
      </c>
      <c r="B5932" t="s">
        <v>11557</v>
      </c>
      <c r="C5932" t="s">
        <v>2808</v>
      </c>
    </row>
    <row r="5933" spans="1:3" x14ac:dyDescent="0.4">
      <c r="A5933" s="1" t="s">
        <v>11558</v>
      </c>
      <c r="B5933" t="s">
        <v>11559</v>
      </c>
      <c r="C5933" t="s">
        <v>2808</v>
      </c>
    </row>
    <row r="5934" spans="1:3" x14ac:dyDescent="0.4">
      <c r="A5934" s="1" t="s">
        <v>11560</v>
      </c>
      <c r="B5934" t="s">
        <v>11561</v>
      </c>
      <c r="C5934" t="s">
        <v>2808</v>
      </c>
    </row>
    <row r="5935" spans="1:3" x14ac:dyDescent="0.4">
      <c r="A5935" s="1" t="s">
        <v>11562</v>
      </c>
      <c r="B5935" t="s">
        <v>11563</v>
      </c>
      <c r="C5935" t="s">
        <v>2808</v>
      </c>
    </row>
    <row r="5936" spans="1:3" x14ac:dyDescent="0.4">
      <c r="A5936" s="1" t="s">
        <v>11564</v>
      </c>
      <c r="B5936" t="s">
        <v>11565</v>
      </c>
      <c r="C5936" t="s">
        <v>2808</v>
      </c>
    </row>
    <row r="5937" spans="1:3" x14ac:dyDescent="0.4">
      <c r="A5937" s="1" t="s">
        <v>11566</v>
      </c>
      <c r="B5937" t="s">
        <v>11567</v>
      </c>
      <c r="C5937" t="s">
        <v>2808</v>
      </c>
    </row>
    <row r="5938" spans="1:3" x14ac:dyDescent="0.4">
      <c r="A5938" s="1" t="s">
        <v>11568</v>
      </c>
      <c r="B5938" t="s">
        <v>11569</v>
      </c>
      <c r="C5938" t="s">
        <v>2808</v>
      </c>
    </row>
    <row r="5939" spans="1:3" x14ac:dyDescent="0.4">
      <c r="A5939" s="1" t="s">
        <v>11570</v>
      </c>
      <c r="B5939" t="s">
        <v>11571</v>
      </c>
      <c r="C5939" t="s">
        <v>2808</v>
      </c>
    </row>
    <row r="5940" spans="1:3" x14ac:dyDescent="0.4">
      <c r="A5940" s="1" t="s">
        <v>11572</v>
      </c>
      <c r="B5940" t="s">
        <v>11573</v>
      </c>
      <c r="C5940" t="s">
        <v>2808</v>
      </c>
    </row>
    <row r="5941" spans="1:3" x14ac:dyDescent="0.4">
      <c r="A5941" s="1" t="s">
        <v>11574</v>
      </c>
      <c r="B5941" t="s">
        <v>11575</v>
      </c>
      <c r="C5941" t="s">
        <v>2808</v>
      </c>
    </row>
    <row r="5942" spans="1:3" x14ac:dyDescent="0.4">
      <c r="A5942" s="1" t="s">
        <v>11576</v>
      </c>
      <c r="B5942" t="s">
        <v>11577</v>
      </c>
      <c r="C5942" t="s">
        <v>2808</v>
      </c>
    </row>
    <row r="5943" spans="1:3" x14ac:dyDescent="0.4">
      <c r="A5943" s="1" t="s">
        <v>11578</v>
      </c>
      <c r="B5943" t="s">
        <v>11579</v>
      </c>
      <c r="C5943" t="s">
        <v>2808</v>
      </c>
    </row>
    <row r="5944" spans="1:3" x14ac:dyDescent="0.4">
      <c r="A5944" s="1" t="s">
        <v>11580</v>
      </c>
      <c r="B5944" t="s">
        <v>11581</v>
      </c>
      <c r="C5944" t="s">
        <v>2808</v>
      </c>
    </row>
    <row r="5945" spans="1:3" x14ac:dyDescent="0.4">
      <c r="A5945" s="1" t="s">
        <v>11582</v>
      </c>
      <c r="B5945" t="s">
        <v>11583</v>
      </c>
      <c r="C5945" t="s">
        <v>2808</v>
      </c>
    </row>
    <row r="5946" spans="1:3" x14ac:dyDescent="0.4">
      <c r="A5946" s="1" t="s">
        <v>11584</v>
      </c>
      <c r="B5946" t="s">
        <v>11585</v>
      </c>
      <c r="C5946" t="s">
        <v>2808</v>
      </c>
    </row>
    <row r="5947" spans="1:3" x14ac:dyDescent="0.4">
      <c r="A5947" s="1" t="s">
        <v>11586</v>
      </c>
      <c r="B5947" t="s">
        <v>11587</v>
      </c>
      <c r="C5947" t="s">
        <v>2808</v>
      </c>
    </row>
    <row r="5948" spans="1:3" x14ac:dyDescent="0.4">
      <c r="A5948" s="1" t="s">
        <v>11588</v>
      </c>
      <c r="B5948" t="s">
        <v>11589</v>
      </c>
      <c r="C5948" t="s">
        <v>2808</v>
      </c>
    </row>
    <row r="5949" spans="1:3" x14ac:dyDescent="0.4">
      <c r="A5949" s="1" t="s">
        <v>11590</v>
      </c>
      <c r="B5949" t="s">
        <v>11591</v>
      </c>
      <c r="C5949" t="s">
        <v>2808</v>
      </c>
    </row>
    <row r="5950" spans="1:3" x14ac:dyDescent="0.4">
      <c r="A5950" s="1" t="s">
        <v>11592</v>
      </c>
      <c r="B5950" t="s">
        <v>11593</v>
      </c>
      <c r="C5950" t="s">
        <v>2808</v>
      </c>
    </row>
    <row r="5951" spans="1:3" x14ac:dyDescent="0.4">
      <c r="A5951" s="1" t="s">
        <v>11594</v>
      </c>
      <c r="B5951" t="s">
        <v>11595</v>
      </c>
      <c r="C5951" t="s">
        <v>2808</v>
      </c>
    </row>
    <row r="5952" spans="1:3" x14ac:dyDescent="0.4">
      <c r="A5952" s="1" t="s">
        <v>11596</v>
      </c>
      <c r="B5952" t="s">
        <v>11597</v>
      </c>
      <c r="C5952" t="s">
        <v>2808</v>
      </c>
    </row>
    <row r="5953" spans="1:3" x14ac:dyDescent="0.4">
      <c r="A5953" s="1" t="s">
        <v>11598</v>
      </c>
      <c r="B5953" t="s">
        <v>11599</v>
      </c>
      <c r="C5953" t="s">
        <v>2808</v>
      </c>
    </row>
    <row r="5954" spans="1:3" x14ac:dyDescent="0.4">
      <c r="A5954" s="1" t="s">
        <v>11600</v>
      </c>
      <c r="B5954" t="s">
        <v>11601</v>
      </c>
      <c r="C5954" t="s">
        <v>2808</v>
      </c>
    </row>
    <row r="5955" spans="1:3" x14ac:dyDescent="0.4">
      <c r="A5955" s="1" t="s">
        <v>11602</v>
      </c>
      <c r="B5955" t="s">
        <v>11603</v>
      </c>
      <c r="C5955" t="s">
        <v>2808</v>
      </c>
    </row>
    <row r="5956" spans="1:3" x14ac:dyDescent="0.4">
      <c r="A5956" s="1" t="s">
        <v>11604</v>
      </c>
      <c r="B5956" t="s">
        <v>11605</v>
      </c>
      <c r="C5956" t="s">
        <v>2808</v>
      </c>
    </row>
    <row r="5957" spans="1:3" x14ac:dyDescent="0.4">
      <c r="A5957" s="1" t="s">
        <v>11606</v>
      </c>
      <c r="B5957" t="s">
        <v>11607</v>
      </c>
      <c r="C5957" t="s">
        <v>2808</v>
      </c>
    </row>
    <row r="5958" spans="1:3" x14ac:dyDescent="0.4">
      <c r="A5958" s="1" t="s">
        <v>11608</v>
      </c>
      <c r="B5958" t="s">
        <v>11609</v>
      </c>
      <c r="C5958" t="s">
        <v>2808</v>
      </c>
    </row>
    <row r="5959" spans="1:3" x14ac:dyDescent="0.4">
      <c r="A5959" s="1" t="s">
        <v>11610</v>
      </c>
      <c r="B5959" t="s">
        <v>11611</v>
      </c>
      <c r="C5959" t="s">
        <v>2808</v>
      </c>
    </row>
    <row r="5960" spans="1:3" x14ac:dyDescent="0.4">
      <c r="A5960" s="1" t="s">
        <v>11612</v>
      </c>
      <c r="B5960" t="s">
        <v>11613</v>
      </c>
      <c r="C5960" t="s">
        <v>2808</v>
      </c>
    </row>
    <row r="5961" spans="1:3" x14ac:dyDescent="0.4">
      <c r="A5961" s="1" t="s">
        <v>11614</v>
      </c>
      <c r="B5961" t="s">
        <v>11615</v>
      </c>
      <c r="C5961" t="s">
        <v>2808</v>
      </c>
    </row>
    <row r="5962" spans="1:3" x14ac:dyDescent="0.4">
      <c r="A5962" s="1" t="s">
        <v>11616</v>
      </c>
      <c r="B5962" t="s">
        <v>11617</v>
      </c>
      <c r="C5962" t="s">
        <v>2808</v>
      </c>
    </row>
    <row r="5963" spans="1:3" x14ac:dyDescent="0.4">
      <c r="A5963" s="1" t="s">
        <v>11618</v>
      </c>
      <c r="B5963" t="s">
        <v>11619</v>
      </c>
      <c r="C5963" t="s">
        <v>2808</v>
      </c>
    </row>
    <row r="5964" spans="1:3" x14ac:dyDescent="0.4">
      <c r="A5964" s="1" t="s">
        <v>11620</v>
      </c>
      <c r="B5964" t="s">
        <v>11621</v>
      </c>
      <c r="C5964" t="s">
        <v>2808</v>
      </c>
    </row>
    <row r="5965" spans="1:3" x14ac:dyDescent="0.4">
      <c r="A5965" s="1" t="s">
        <v>11622</v>
      </c>
      <c r="B5965" t="s">
        <v>11623</v>
      </c>
      <c r="C5965" t="s">
        <v>2808</v>
      </c>
    </row>
    <row r="5966" spans="1:3" x14ac:dyDescent="0.4">
      <c r="A5966" s="1" t="s">
        <v>11624</v>
      </c>
      <c r="B5966" t="s">
        <v>11625</v>
      </c>
      <c r="C5966" t="s">
        <v>2808</v>
      </c>
    </row>
    <row r="5967" spans="1:3" x14ac:dyDescent="0.4">
      <c r="A5967" s="1" t="s">
        <v>11626</v>
      </c>
      <c r="B5967" t="s">
        <v>11627</v>
      </c>
      <c r="C5967" t="s">
        <v>2808</v>
      </c>
    </row>
    <row r="5968" spans="1:3" x14ac:dyDescent="0.4">
      <c r="A5968" s="1" t="s">
        <v>11628</v>
      </c>
      <c r="B5968" t="s">
        <v>11629</v>
      </c>
      <c r="C5968" t="s">
        <v>2808</v>
      </c>
    </row>
    <row r="5969" spans="1:3" x14ac:dyDescent="0.4">
      <c r="A5969" s="1" t="s">
        <v>11630</v>
      </c>
      <c r="B5969" t="s">
        <v>11631</v>
      </c>
      <c r="C5969" t="s">
        <v>2808</v>
      </c>
    </row>
    <row r="5970" spans="1:3" x14ac:dyDescent="0.4">
      <c r="A5970" s="1" t="s">
        <v>11632</v>
      </c>
      <c r="B5970" t="s">
        <v>11633</v>
      </c>
      <c r="C5970" t="s">
        <v>2808</v>
      </c>
    </row>
    <row r="5971" spans="1:3" x14ac:dyDescent="0.4">
      <c r="A5971" s="1" t="s">
        <v>11634</v>
      </c>
      <c r="B5971" t="s">
        <v>11635</v>
      </c>
      <c r="C5971" t="s">
        <v>2808</v>
      </c>
    </row>
    <row r="5972" spans="1:3" x14ac:dyDescent="0.4">
      <c r="A5972" s="1" t="s">
        <v>11636</v>
      </c>
      <c r="B5972" t="s">
        <v>11637</v>
      </c>
      <c r="C5972" t="s">
        <v>2808</v>
      </c>
    </row>
    <row r="5973" spans="1:3" x14ac:dyDescent="0.4">
      <c r="A5973" s="1" t="s">
        <v>11638</v>
      </c>
      <c r="B5973" t="s">
        <v>11639</v>
      </c>
      <c r="C5973" t="s">
        <v>2808</v>
      </c>
    </row>
    <row r="5974" spans="1:3" x14ac:dyDescent="0.4">
      <c r="A5974" s="1" t="s">
        <v>11640</v>
      </c>
      <c r="B5974" t="s">
        <v>11641</v>
      </c>
      <c r="C5974" t="s">
        <v>2808</v>
      </c>
    </row>
    <row r="5975" spans="1:3" x14ac:dyDescent="0.4">
      <c r="A5975" s="1" t="s">
        <v>11642</v>
      </c>
      <c r="B5975" t="s">
        <v>11643</v>
      </c>
      <c r="C5975" t="s">
        <v>2808</v>
      </c>
    </row>
    <row r="5976" spans="1:3" x14ac:dyDescent="0.4">
      <c r="A5976" s="1" t="s">
        <v>11644</v>
      </c>
      <c r="B5976" t="s">
        <v>11645</v>
      </c>
      <c r="C5976" t="s">
        <v>2808</v>
      </c>
    </row>
    <row r="5977" spans="1:3" x14ac:dyDescent="0.4">
      <c r="A5977" s="1" t="s">
        <v>11646</v>
      </c>
      <c r="B5977" t="s">
        <v>11647</v>
      </c>
      <c r="C5977" t="s">
        <v>2808</v>
      </c>
    </row>
    <row r="5978" spans="1:3" x14ac:dyDescent="0.4">
      <c r="A5978" s="1" t="s">
        <v>11648</v>
      </c>
      <c r="B5978" t="s">
        <v>11649</v>
      </c>
      <c r="C5978" t="s">
        <v>2808</v>
      </c>
    </row>
    <row r="5979" spans="1:3" x14ac:dyDescent="0.4">
      <c r="A5979" s="1" t="s">
        <v>11650</v>
      </c>
      <c r="B5979" t="s">
        <v>11651</v>
      </c>
      <c r="C5979" t="s">
        <v>2808</v>
      </c>
    </row>
    <row r="5980" spans="1:3" x14ac:dyDescent="0.4">
      <c r="A5980" s="1" t="s">
        <v>11652</v>
      </c>
      <c r="B5980" t="s">
        <v>11653</v>
      </c>
      <c r="C5980" t="s">
        <v>2808</v>
      </c>
    </row>
    <row r="5981" spans="1:3" x14ac:dyDescent="0.4">
      <c r="A5981" s="1" t="s">
        <v>11654</v>
      </c>
      <c r="B5981" t="s">
        <v>11655</v>
      </c>
      <c r="C5981" t="s">
        <v>2808</v>
      </c>
    </row>
    <row r="5982" spans="1:3" x14ac:dyDescent="0.4">
      <c r="A5982" s="1" t="s">
        <v>11656</v>
      </c>
      <c r="B5982" t="s">
        <v>11657</v>
      </c>
      <c r="C5982" t="s">
        <v>2808</v>
      </c>
    </row>
    <row r="5983" spans="1:3" x14ac:dyDescent="0.4">
      <c r="A5983" s="1" t="s">
        <v>11658</v>
      </c>
      <c r="B5983" t="s">
        <v>11659</v>
      </c>
      <c r="C5983" t="s">
        <v>2808</v>
      </c>
    </row>
    <row r="5984" spans="1:3" x14ac:dyDescent="0.4">
      <c r="A5984" s="1" t="s">
        <v>11660</v>
      </c>
      <c r="B5984" t="s">
        <v>11661</v>
      </c>
      <c r="C5984" t="s">
        <v>2808</v>
      </c>
    </row>
    <row r="5985" spans="1:3" x14ac:dyDescent="0.4">
      <c r="A5985" s="1" t="s">
        <v>11662</v>
      </c>
      <c r="B5985" t="s">
        <v>11663</v>
      </c>
      <c r="C5985" t="s">
        <v>2808</v>
      </c>
    </row>
    <row r="5986" spans="1:3" x14ac:dyDescent="0.4">
      <c r="A5986" s="1" t="s">
        <v>11664</v>
      </c>
      <c r="B5986" t="s">
        <v>11665</v>
      </c>
      <c r="C5986" t="s">
        <v>2808</v>
      </c>
    </row>
    <row r="5987" spans="1:3" x14ac:dyDescent="0.4">
      <c r="A5987" s="1" t="s">
        <v>11666</v>
      </c>
      <c r="B5987" t="s">
        <v>11667</v>
      </c>
      <c r="C5987" t="s">
        <v>2808</v>
      </c>
    </row>
    <row r="5988" spans="1:3" x14ac:dyDescent="0.4">
      <c r="A5988" s="1" t="s">
        <v>11668</v>
      </c>
      <c r="B5988" t="s">
        <v>11669</v>
      </c>
      <c r="C5988" t="s">
        <v>2808</v>
      </c>
    </row>
    <row r="5989" spans="1:3" x14ac:dyDescent="0.4">
      <c r="A5989" s="1" t="s">
        <v>11670</v>
      </c>
      <c r="B5989" t="s">
        <v>11671</v>
      </c>
      <c r="C5989" t="s">
        <v>2808</v>
      </c>
    </row>
    <row r="5990" spans="1:3" x14ac:dyDescent="0.4">
      <c r="A5990" s="1" t="s">
        <v>11672</v>
      </c>
      <c r="B5990" t="s">
        <v>11673</v>
      </c>
      <c r="C5990" t="s">
        <v>2808</v>
      </c>
    </row>
    <row r="5991" spans="1:3" x14ac:dyDescent="0.4">
      <c r="A5991" s="1" t="s">
        <v>11674</v>
      </c>
      <c r="B5991" t="s">
        <v>11675</v>
      </c>
      <c r="C5991" t="s">
        <v>2808</v>
      </c>
    </row>
    <row r="5992" spans="1:3" x14ac:dyDescent="0.4">
      <c r="A5992" s="1" t="s">
        <v>11676</v>
      </c>
      <c r="B5992" t="s">
        <v>11677</v>
      </c>
      <c r="C5992" t="s">
        <v>2808</v>
      </c>
    </row>
    <row r="5993" spans="1:3" x14ac:dyDescent="0.4">
      <c r="A5993" s="1" t="s">
        <v>11678</v>
      </c>
      <c r="B5993" t="s">
        <v>11679</v>
      </c>
      <c r="C5993" t="s">
        <v>2808</v>
      </c>
    </row>
    <row r="5994" spans="1:3" x14ac:dyDescent="0.4">
      <c r="A5994" s="1" t="s">
        <v>11680</v>
      </c>
      <c r="B5994" t="s">
        <v>11681</v>
      </c>
      <c r="C5994" t="s">
        <v>2808</v>
      </c>
    </row>
    <row r="5995" spans="1:3" x14ac:dyDescent="0.4">
      <c r="A5995" s="1" t="s">
        <v>11682</v>
      </c>
      <c r="B5995" t="s">
        <v>11683</v>
      </c>
      <c r="C5995" t="s">
        <v>2808</v>
      </c>
    </row>
    <row r="5996" spans="1:3" x14ac:dyDescent="0.4">
      <c r="A5996" s="1" t="s">
        <v>11684</v>
      </c>
      <c r="B5996" t="s">
        <v>11685</v>
      </c>
      <c r="C5996" t="s">
        <v>2808</v>
      </c>
    </row>
    <row r="5997" spans="1:3" x14ac:dyDescent="0.4">
      <c r="A5997" s="1" t="s">
        <v>11686</v>
      </c>
      <c r="B5997" t="s">
        <v>11687</v>
      </c>
      <c r="C5997" t="s">
        <v>2808</v>
      </c>
    </row>
    <row r="5998" spans="1:3" x14ac:dyDescent="0.4">
      <c r="A5998" s="1" t="s">
        <v>11688</v>
      </c>
      <c r="B5998" t="s">
        <v>11689</v>
      </c>
      <c r="C5998" t="s">
        <v>2808</v>
      </c>
    </row>
    <row r="5999" spans="1:3" x14ac:dyDescent="0.4">
      <c r="A5999" s="1" t="s">
        <v>11690</v>
      </c>
      <c r="B5999" t="s">
        <v>11691</v>
      </c>
      <c r="C5999" t="s">
        <v>2808</v>
      </c>
    </row>
    <row r="6000" spans="1:3" x14ac:dyDescent="0.4">
      <c r="A6000" s="1" t="s">
        <v>11692</v>
      </c>
      <c r="B6000" t="s">
        <v>11693</v>
      </c>
      <c r="C6000" t="s">
        <v>2808</v>
      </c>
    </row>
    <row r="6001" spans="1:3" x14ac:dyDescent="0.4">
      <c r="A6001" s="1" t="s">
        <v>11694</v>
      </c>
      <c r="B6001" t="s">
        <v>11695</v>
      </c>
      <c r="C6001" t="s">
        <v>2808</v>
      </c>
    </row>
    <row r="6002" spans="1:3" x14ac:dyDescent="0.4">
      <c r="A6002" s="1" t="s">
        <v>11696</v>
      </c>
      <c r="B6002" t="e">
        <f>-終息-ﾘｻｲｸﾙ CL114B ﾌﾞﾗｯｸ</f>
        <v>#NAME?</v>
      </c>
      <c r="C6002" t="s">
        <v>2808</v>
      </c>
    </row>
    <row r="6003" spans="1:3" x14ac:dyDescent="0.4">
      <c r="A6003" s="1" t="s">
        <v>11697</v>
      </c>
      <c r="B6003" t="e">
        <f>-終息-ﾘｻｲｸﾙ CL114B ｼｱﾝ</f>
        <v>#NAME?</v>
      </c>
      <c r="C6003" t="s">
        <v>2808</v>
      </c>
    </row>
    <row r="6004" spans="1:3" x14ac:dyDescent="0.4">
      <c r="A6004" s="1" t="s">
        <v>11698</v>
      </c>
      <c r="B6004" t="e">
        <f>-終息-ﾘｻｲｸﾙ CL114B ﾏｾﾞﾝﾀ</f>
        <v>#NAME?</v>
      </c>
      <c r="C6004" t="s">
        <v>2808</v>
      </c>
    </row>
    <row r="6005" spans="1:3" x14ac:dyDescent="0.4">
      <c r="A6005" s="1" t="s">
        <v>11699</v>
      </c>
      <c r="B6005" t="e">
        <f>-終息-ﾘｻｲｸﾙ CL114B ｲｴﾛｰ</f>
        <v>#NAME?</v>
      </c>
      <c r="C6005" t="s">
        <v>2808</v>
      </c>
    </row>
    <row r="6006" spans="1:3" x14ac:dyDescent="0.4">
      <c r="A6006" s="1" t="s">
        <v>11700</v>
      </c>
      <c r="B6006" t="s">
        <v>11701</v>
      </c>
      <c r="C6006" t="s">
        <v>2808</v>
      </c>
    </row>
    <row r="6007" spans="1:3" x14ac:dyDescent="0.4">
      <c r="A6007" s="1" t="s">
        <v>11702</v>
      </c>
      <c r="B6007" t="s">
        <v>11703</v>
      </c>
      <c r="C6007" t="s">
        <v>2808</v>
      </c>
    </row>
    <row r="6008" spans="1:3" x14ac:dyDescent="0.4">
      <c r="A6008" s="1" t="s">
        <v>11704</v>
      </c>
      <c r="B6008" t="s">
        <v>11705</v>
      </c>
      <c r="C6008" t="s">
        <v>2808</v>
      </c>
    </row>
    <row r="6009" spans="1:3" x14ac:dyDescent="0.4">
      <c r="A6009" s="1" t="s">
        <v>11706</v>
      </c>
      <c r="B6009" t="s">
        <v>11707</v>
      </c>
      <c r="C6009" t="s">
        <v>2808</v>
      </c>
    </row>
    <row r="6010" spans="1:3" x14ac:dyDescent="0.4">
      <c r="A6010" s="1" t="s">
        <v>11708</v>
      </c>
      <c r="B6010" t="s">
        <v>11709</v>
      </c>
      <c r="C6010" t="s">
        <v>2808</v>
      </c>
    </row>
    <row r="6011" spans="1:3" x14ac:dyDescent="0.4">
      <c r="A6011" s="1" t="s">
        <v>11710</v>
      </c>
      <c r="B6011" t="s">
        <v>11711</v>
      </c>
      <c r="C6011" t="s">
        <v>2808</v>
      </c>
    </row>
    <row r="6012" spans="1:3" x14ac:dyDescent="0.4">
      <c r="A6012" s="1" t="s">
        <v>11712</v>
      </c>
      <c r="B6012" t="s">
        <v>11713</v>
      </c>
      <c r="C6012" t="s">
        <v>2808</v>
      </c>
    </row>
    <row r="6013" spans="1:3" x14ac:dyDescent="0.4">
      <c r="A6013" s="1" t="s">
        <v>11714</v>
      </c>
      <c r="B6013" t="s">
        <v>11715</v>
      </c>
      <c r="C6013" t="s">
        <v>2808</v>
      </c>
    </row>
    <row r="6014" spans="1:3" x14ac:dyDescent="0.4">
      <c r="A6014" s="1" t="s">
        <v>11716</v>
      </c>
      <c r="B6014" t="s">
        <v>11717</v>
      </c>
      <c r="C6014" t="s">
        <v>2808</v>
      </c>
    </row>
    <row r="6015" spans="1:3" x14ac:dyDescent="0.4">
      <c r="A6015" s="1" t="s">
        <v>11718</v>
      </c>
      <c r="B6015" t="s">
        <v>11719</v>
      </c>
      <c r="C6015" t="s">
        <v>2808</v>
      </c>
    </row>
    <row r="6016" spans="1:3" x14ac:dyDescent="0.4">
      <c r="A6016" s="1" t="s">
        <v>11720</v>
      </c>
      <c r="B6016" t="s">
        <v>11721</v>
      </c>
      <c r="C6016" t="s">
        <v>2808</v>
      </c>
    </row>
    <row r="6017" spans="1:3" x14ac:dyDescent="0.4">
      <c r="A6017" s="1" t="s">
        <v>11722</v>
      </c>
      <c r="B6017" t="s">
        <v>11723</v>
      </c>
      <c r="C6017" t="s">
        <v>2808</v>
      </c>
    </row>
    <row r="6018" spans="1:3" x14ac:dyDescent="0.4">
      <c r="A6018" s="1" t="s">
        <v>11724</v>
      </c>
      <c r="B6018" t="s">
        <v>11725</v>
      </c>
      <c r="C6018" t="s">
        <v>2808</v>
      </c>
    </row>
    <row r="6019" spans="1:3" x14ac:dyDescent="0.4">
      <c r="A6019" s="1" t="s">
        <v>11726</v>
      </c>
      <c r="B6019" t="s">
        <v>11727</v>
      </c>
      <c r="C6019" t="s">
        <v>2808</v>
      </c>
    </row>
    <row r="6020" spans="1:3" x14ac:dyDescent="0.4">
      <c r="A6020" s="1" t="s">
        <v>11728</v>
      </c>
      <c r="B6020" t="s">
        <v>11729</v>
      </c>
      <c r="C6020" t="s">
        <v>2808</v>
      </c>
    </row>
    <row r="6021" spans="1:3" x14ac:dyDescent="0.4">
      <c r="A6021" s="1" t="s">
        <v>11730</v>
      </c>
      <c r="B6021" t="s">
        <v>11731</v>
      </c>
      <c r="C6021" t="s">
        <v>2808</v>
      </c>
    </row>
    <row r="6022" spans="1:3" x14ac:dyDescent="0.4">
      <c r="A6022" s="1" t="s">
        <v>11732</v>
      </c>
      <c r="B6022" t="s">
        <v>11733</v>
      </c>
      <c r="C6022" t="s">
        <v>2808</v>
      </c>
    </row>
    <row r="6023" spans="1:3" x14ac:dyDescent="0.4">
      <c r="A6023" s="1" t="s">
        <v>11734</v>
      </c>
      <c r="B6023" t="s">
        <v>11735</v>
      </c>
      <c r="C6023" t="s">
        <v>2808</v>
      </c>
    </row>
    <row r="6024" spans="1:3" x14ac:dyDescent="0.4">
      <c r="A6024" s="1" t="s">
        <v>11736</v>
      </c>
      <c r="B6024" t="s">
        <v>11737</v>
      </c>
      <c r="C6024" t="s">
        <v>2808</v>
      </c>
    </row>
    <row r="6025" spans="1:3" x14ac:dyDescent="0.4">
      <c r="A6025" s="1" t="s">
        <v>11738</v>
      </c>
      <c r="B6025" t="s">
        <v>11739</v>
      </c>
      <c r="C6025" t="s">
        <v>2808</v>
      </c>
    </row>
    <row r="6026" spans="1:3" x14ac:dyDescent="0.4">
      <c r="A6026" s="1" t="s">
        <v>11740</v>
      </c>
      <c r="B6026" t="s">
        <v>11741</v>
      </c>
      <c r="C6026" t="s">
        <v>2808</v>
      </c>
    </row>
    <row r="6027" spans="1:3" x14ac:dyDescent="0.4">
      <c r="A6027" s="1" t="s">
        <v>11742</v>
      </c>
      <c r="B6027" t="s">
        <v>11743</v>
      </c>
      <c r="C6027" t="s">
        <v>2808</v>
      </c>
    </row>
    <row r="6028" spans="1:3" x14ac:dyDescent="0.4">
      <c r="A6028" s="1" t="s">
        <v>11744</v>
      </c>
      <c r="B6028" t="s">
        <v>11745</v>
      </c>
      <c r="C6028" t="s">
        <v>2808</v>
      </c>
    </row>
    <row r="6029" spans="1:3" x14ac:dyDescent="0.4">
      <c r="A6029" s="1" t="s">
        <v>11746</v>
      </c>
      <c r="B6029" t="s">
        <v>11747</v>
      </c>
      <c r="C6029" t="s">
        <v>2808</v>
      </c>
    </row>
    <row r="6030" spans="1:3" x14ac:dyDescent="0.4">
      <c r="A6030" s="1" t="s">
        <v>11748</v>
      </c>
      <c r="B6030" t="s">
        <v>11749</v>
      </c>
      <c r="C6030" t="s">
        <v>2808</v>
      </c>
    </row>
    <row r="6031" spans="1:3" x14ac:dyDescent="0.4">
      <c r="A6031" s="1" t="s">
        <v>11750</v>
      </c>
      <c r="B6031" t="s">
        <v>11751</v>
      </c>
      <c r="C6031" t="s">
        <v>2808</v>
      </c>
    </row>
    <row r="6032" spans="1:3" x14ac:dyDescent="0.4">
      <c r="A6032" s="1" t="s">
        <v>11752</v>
      </c>
      <c r="B6032" t="s">
        <v>11753</v>
      </c>
      <c r="C6032" t="s">
        <v>2808</v>
      </c>
    </row>
    <row r="6033" spans="1:3" x14ac:dyDescent="0.4">
      <c r="A6033" s="1" t="s">
        <v>11754</v>
      </c>
      <c r="B6033" t="s">
        <v>11755</v>
      </c>
      <c r="C6033" t="s">
        <v>2808</v>
      </c>
    </row>
    <row r="6034" spans="1:3" x14ac:dyDescent="0.4">
      <c r="A6034" s="1" t="s">
        <v>11756</v>
      </c>
      <c r="B6034" t="s">
        <v>11757</v>
      </c>
      <c r="C6034" t="s">
        <v>2808</v>
      </c>
    </row>
    <row r="6035" spans="1:3" x14ac:dyDescent="0.4">
      <c r="A6035" s="1" t="s">
        <v>11758</v>
      </c>
      <c r="B6035" t="e">
        <f>-終息-ﾘｻｲｸﾙﾄﾅｰ Y200621</f>
        <v>#NAME?</v>
      </c>
      <c r="C6035" t="s">
        <v>2808</v>
      </c>
    </row>
    <row r="6036" spans="1:3" x14ac:dyDescent="0.4">
      <c r="A6036" s="1" t="s">
        <v>11759</v>
      </c>
      <c r="B6036" t="e">
        <f>-終息-ﾘｻｲｸﾙﾄﾅｰ Y200622</f>
        <v>#NAME?</v>
      </c>
      <c r="C6036" t="s">
        <v>2808</v>
      </c>
    </row>
    <row r="6037" spans="1:3" x14ac:dyDescent="0.4">
      <c r="A6037" s="1" t="s">
        <v>11760</v>
      </c>
      <c r="B6037" t="e">
        <f>-終息-ﾘｻｲｸﾙﾄﾅｰ Y200623</f>
        <v>#NAME?</v>
      </c>
      <c r="C6037" t="s">
        <v>2808</v>
      </c>
    </row>
    <row r="6038" spans="1:3" x14ac:dyDescent="0.4">
      <c r="A6038" s="1" t="s">
        <v>11761</v>
      </c>
      <c r="B6038" t="e">
        <f>-終息-ﾘｻｲｸﾙﾄﾅｰ Y200624</f>
        <v>#NAME?</v>
      </c>
      <c r="C6038" t="s">
        <v>2808</v>
      </c>
    </row>
    <row r="6039" spans="1:3" x14ac:dyDescent="0.4">
      <c r="A6039" s="1" t="s">
        <v>11762</v>
      </c>
      <c r="B6039" t="s">
        <v>11763</v>
      </c>
      <c r="C6039" t="s">
        <v>2808</v>
      </c>
    </row>
    <row r="6040" spans="1:3" x14ac:dyDescent="0.4">
      <c r="A6040" s="1" t="s">
        <v>11764</v>
      </c>
      <c r="B6040" t="s">
        <v>11765</v>
      </c>
      <c r="C6040" t="s">
        <v>2808</v>
      </c>
    </row>
    <row r="6041" spans="1:3" x14ac:dyDescent="0.4">
      <c r="A6041" s="1" t="s">
        <v>11766</v>
      </c>
      <c r="B6041" t="s">
        <v>11767</v>
      </c>
      <c r="C6041" t="s">
        <v>2808</v>
      </c>
    </row>
    <row r="6042" spans="1:3" x14ac:dyDescent="0.4">
      <c r="A6042" s="1" t="s">
        <v>11768</v>
      </c>
      <c r="B6042" t="s">
        <v>11769</v>
      </c>
      <c r="C6042" t="s">
        <v>2808</v>
      </c>
    </row>
    <row r="6043" spans="1:3" x14ac:dyDescent="0.4">
      <c r="A6043" s="1" t="s">
        <v>11770</v>
      </c>
      <c r="B6043" t="s">
        <v>11771</v>
      </c>
      <c r="C6043" t="s">
        <v>2808</v>
      </c>
    </row>
    <row r="6044" spans="1:3" x14ac:dyDescent="0.4">
      <c r="A6044" s="1" t="s">
        <v>11772</v>
      </c>
      <c r="B6044" t="s">
        <v>11773</v>
      </c>
      <c r="C6044" t="s">
        <v>2808</v>
      </c>
    </row>
    <row r="6045" spans="1:3" x14ac:dyDescent="0.4">
      <c r="A6045" s="1" t="s">
        <v>11774</v>
      </c>
      <c r="B6045" t="s">
        <v>11775</v>
      </c>
      <c r="C6045" t="s">
        <v>2808</v>
      </c>
    </row>
    <row r="6046" spans="1:3" x14ac:dyDescent="0.4">
      <c r="A6046" s="1" t="s">
        <v>11776</v>
      </c>
      <c r="B6046" t="s">
        <v>11777</v>
      </c>
      <c r="C6046" t="s">
        <v>2808</v>
      </c>
    </row>
    <row r="6047" spans="1:3" x14ac:dyDescent="0.4">
      <c r="A6047" s="1" t="s">
        <v>11778</v>
      </c>
      <c r="B6047" t="s">
        <v>11779</v>
      </c>
      <c r="C6047" t="s">
        <v>2808</v>
      </c>
    </row>
    <row r="6048" spans="1:3" x14ac:dyDescent="0.4">
      <c r="A6048" s="1" t="s">
        <v>11780</v>
      </c>
      <c r="B6048" t="s">
        <v>11781</v>
      </c>
      <c r="C6048" t="s">
        <v>2808</v>
      </c>
    </row>
    <row r="6049" spans="1:3" x14ac:dyDescent="0.4">
      <c r="A6049" s="1" t="s">
        <v>11782</v>
      </c>
      <c r="B6049" t="s">
        <v>11783</v>
      </c>
      <c r="C6049" t="s">
        <v>2808</v>
      </c>
    </row>
    <row r="6050" spans="1:3" x14ac:dyDescent="0.4">
      <c r="A6050" s="1" t="s">
        <v>11784</v>
      </c>
      <c r="B6050" t="s">
        <v>11785</v>
      </c>
      <c r="C6050" t="s">
        <v>2808</v>
      </c>
    </row>
    <row r="6051" spans="1:3" x14ac:dyDescent="0.4">
      <c r="A6051" s="1" t="s">
        <v>11786</v>
      </c>
      <c r="B6051" t="s">
        <v>11787</v>
      </c>
      <c r="C6051" t="s">
        <v>2808</v>
      </c>
    </row>
    <row r="6052" spans="1:3" x14ac:dyDescent="0.4">
      <c r="A6052" s="1" t="s">
        <v>11788</v>
      </c>
      <c r="B6052" t="s">
        <v>11789</v>
      </c>
      <c r="C6052" t="s">
        <v>2808</v>
      </c>
    </row>
    <row r="6053" spans="1:3" x14ac:dyDescent="0.4">
      <c r="A6053" s="1" t="s">
        <v>11790</v>
      </c>
      <c r="B6053" t="s">
        <v>11791</v>
      </c>
      <c r="C6053" t="s">
        <v>2808</v>
      </c>
    </row>
    <row r="6054" spans="1:3" x14ac:dyDescent="0.4">
      <c r="A6054" s="1" t="s">
        <v>11792</v>
      </c>
      <c r="B6054" t="s">
        <v>11793</v>
      </c>
      <c r="C6054" t="s">
        <v>2808</v>
      </c>
    </row>
    <row r="6055" spans="1:3" x14ac:dyDescent="0.4">
      <c r="A6055" s="1" t="s">
        <v>11794</v>
      </c>
      <c r="B6055" t="s">
        <v>11795</v>
      </c>
      <c r="C6055" t="s">
        <v>2808</v>
      </c>
    </row>
    <row r="6056" spans="1:3" x14ac:dyDescent="0.4">
      <c r="A6056" s="1" t="s">
        <v>11796</v>
      </c>
      <c r="B6056" t="s">
        <v>11797</v>
      </c>
      <c r="C6056" t="s">
        <v>2808</v>
      </c>
    </row>
    <row r="6057" spans="1:3" x14ac:dyDescent="0.4">
      <c r="A6057" s="1" t="s">
        <v>11798</v>
      </c>
      <c r="B6057" t="s">
        <v>11799</v>
      </c>
      <c r="C6057" t="s">
        <v>2808</v>
      </c>
    </row>
    <row r="6058" spans="1:3" x14ac:dyDescent="0.4">
      <c r="A6058" s="1" t="s">
        <v>11800</v>
      </c>
      <c r="B6058" t="s">
        <v>11801</v>
      </c>
      <c r="C6058" t="s">
        <v>2808</v>
      </c>
    </row>
    <row r="6059" spans="1:3" x14ac:dyDescent="0.4">
      <c r="A6059" s="1" t="s">
        <v>11802</v>
      </c>
      <c r="B6059" t="s">
        <v>11803</v>
      </c>
      <c r="C6059" t="s">
        <v>2808</v>
      </c>
    </row>
    <row r="6060" spans="1:3" x14ac:dyDescent="0.4">
      <c r="A6060" s="1" t="s">
        <v>11804</v>
      </c>
      <c r="B6060" t="s">
        <v>11805</v>
      </c>
      <c r="C6060" t="s">
        <v>2808</v>
      </c>
    </row>
    <row r="6061" spans="1:3" x14ac:dyDescent="0.4">
      <c r="A6061" s="1" t="s">
        <v>11806</v>
      </c>
      <c r="B6061" t="s">
        <v>11807</v>
      </c>
      <c r="C6061" t="s">
        <v>2808</v>
      </c>
    </row>
    <row r="6062" spans="1:3" x14ac:dyDescent="0.4">
      <c r="A6062" s="1" t="s">
        <v>11808</v>
      </c>
      <c r="B6062" t="s">
        <v>11809</v>
      </c>
      <c r="C6062" t="s">
        <v>2808</v>
      </c>
    </row>
    <row r="6063" spans="1:3" x14ac:dyDescent="0.4">
      <c r="A6063" s="1" t="s">
        <v>11810</v>
      </c>
      <c r="B6063" t="s">
        <v>11811</v>
      </c>
      <c r="C6063" t="s">
        <v>2808</v>
      </c>
    </row>
    <row r="6064" spans="1:3" x14ac:dyDescent="0.4">
      <c r="A6064" s="1" t="s">
        <v>11812</v>
      </c>
      <c r="B6064" t="s">
        <v>11813</v>
      </c>
      <c r="C6064" t="s">
        <v>2808</v>
      </c>
    </row>
    <row r="6065" spans="1:3" x14ac:dyDescent="0.4">
      <c r="A6065" s="1" t="s">
        <v>11814</v>
      </c>
      <c r="B6065" t="s">
        <v>11815</v>
      </c>
      <c r="C6065" t="s">
        <v>2808</v>
      </c>
    </row>
    <row r="6066" spans="1:3" x14ac:dyDescent="0.4">
      <c r="A6066" s="1" t="s">
        <v>11816</v>
      </c>
      <c r="B6066" t="s">
        <v>11817</v>
      </c>
      <c r="C6066" t="s">
        <v>2808</v>
      </c>
    </row>
    <row r="6067" spans="1:3" x14ac:dyDescent="0.4">
      <c r="A6067" s="1" t="s">
        <v>11818</v>
      </c>
      <c r="B6067" t="s">
        <v>11819</v>
      </c>
      <c r="C6067" t="s">
        <v>2808</v>
      </c>
    </row>
    <row r="6068" spans="1:3" x14ac:dyDescent="0.4">
      <c r="A6068" s="1" t="s">
        <v>11820</v>
      </c>
      <c r="B6068" t="s">
        <v>11821</v>
      </c>
      <c r="C6068" t="s">
        <v>2808</v>
      </c>
    </row>
    <row r="6069" spans="1:3" x14ac:dyDescent="0.4">
      <c r="A6069" s="1" t="s">
        <v>11822</v>
      </c>
      <c r="B6069" t="s">
        <v>11823</v>
      </c>
      <c r="C6069" t="s">
        <v>2808</v>
      </c>
    </row>
    <row r="6070" spans="1:3" x14ac:dyDescent="0.4">
      <c r="A6070" s="1" t="s">
        <v>11824</v>
      </c>
      <c r="B6070" t="s">
        <v>11825</v>
      </c>
      <c r="C6070" t="s">
        <v>2808</v>
      </c>
    </row>
    <row r="6071" spans="1:3" x14ac:dyDescent="0.4">
      <c r="A6071" s="1" t="s">
        <v>11826</v>
      </c>
      <c r="B6071" t="s">
        <v>11827</v>
      </c>
      <c r="C6071" t="s">
        <v>2808</v>
      </c>
    </row>
    <row r="6072" spans="1:3" x14ac:dyDescent="0.4">
      <c r="A6072" s="1" t="s">
        <v>11828</v>
      </c>
      <c r="B6072" t="s">
        <v>11829</v>
      </c>
      <c r="C6072" t="s">
        <v>2808</v>
      </c>
    </row>
    <row r="6073" spans="1:3" x14ac:dyDescent="0.4">
      <c r="A6073" s="1" t="s">
        <v>11830</v>
      </c>
      <c r="B6073" t="s">
        <v>11831</v>
      </c>
      <c r="C6073" t="s">
        <v>2808</v>
      </c>
    </row>
    <row r="6074" spans="1:3" x14ac:dyDescent="0.4">
      <c r="A6074" s="1" t="s">
        <v>11832</v>
      </c>
      <c r="B6074" t="s">
        <v>11833</v>
      </c>
      <c r="C6074" t="s">
        <v>2808</v>
      </c>
    </row>
    <row r="6075" spans="1:3" x14ac:dyDescent="0.4">
      <c r="A6075" s="1" t="s">
        <v>11834</v>
      </c>
      <c r="B6075" t="s">
        <v>11835</v>
      </c>
      <c r="C6075" t="s">
        <v>2808</v>
      </c>
    </row>
    <row r="6076" spans="1:3" x14ac:dyDescent="0.4">
      <c r="A6076" s="1" t="s">
        <v>11836</v>
      </c>
      <c r="B6076" t="s">
        <v>11837</v>
      </c>
      <c r="C6076" t="s">
        <v>2808</v>
      </c>
    </row>
    <row r="6077" spans="1:3" x14ac:dyDescent="0.4">
      <c r="A6077" s="1" t="s">
        <v>11838</v>
      </c>
      <c r="B6077" t="s">
        <v>11839</v>
      </c>
      <c r="C6077" t="s">
        <v>2808</v>
      </c>
    </row>
    <row r="6078" spans="1:3" x14ac:dyDescent="0.4">
      <c r="A6078" s="1" t="s">
        <v>11840</v>
      </c>
      <c r="B6078" t="s">
        <v>11841</v>
      </c>
      <c r="C6078" t="s">
        <v>2808</v>
      </c>
    </row>
    <row r="6079" spans="1:3" x14ac:dyDescent="0.4">
      <c r="A6079" s="1" t="s">
        <v>11842</v>
      </c>
      <c r="B6079" t="s">
        <v>11843</v>
      </c>
      <c r="C6079" t="s">
        <v>2808</v>
      </c>
    </row>
    <row r="6080" spans="1:3" x14ac:dyDescent="0.4">
      <c r="A6080" s="1" t="s">
        <v>11844</v>
      </c>
      <c r="B6080" t="s">
        <v>11845</v>
      </c>
      <c r="C6080" t="s">
        <v>2808</v>
      </c>
    </row>
    <row r="6081" spans="1:3" x14ac:dyDescent="0.4">
      <c r="A6081" s="1" t="s">
        <v>11846</v>
      </c>
      <c r="B6081" t="s">
        <v>11847</v>
      </c>
      <c r="C6081" t="s">
        <v>2808</v>
      </c>
    </row>
    <row r="6082" spans="1:3" x14ac:dyDescent="0.4">
      <c r="A6082" s="1" t="s">
        <v>11848</v>
      </c>
      <c r="B6082" t="s">
        <v>11849</v>
      </c>
      <c r="C6082" t="s">
        <v>2808</v>
      </c>
    </row>
    <row r="6083" spans="1:3" x14ac:dyDescent="0.4">
      <c r="A6083" s="1" t="s">
        <v>11850</v>
      </c>
      <c r="B6083" t="s">
        <v>11851</v>
      </c>
      <c r="C6083" t="s">
        <v>2808</v>
      </c>
    </row>
    <row r="6084" spans="1:3" x14ac:dyDescent="0.4">
      <c r="A6084" s="1" t="s">
        <v>11852</v>
      </c>
      <c r="B6084" t="s">
        <v>11853</v>
      </c>
      <c r="C6084" t="s">
        <v>2808</v>
      </c>
    </row>
    <row r="6085" spans="1:3" x14ac:dyDescent="0.4">
      <c r="A6085" s="1" t="s">
        <v>11854</v>
      </c>
      <c r="B6085" t="s">
        <v>11855</v>
      </c>
      <c r="C6085" t="s">
        <v>2808</v>
      </c>
    </row>
    <row r="6086" spans="1:3" x14ac:dyDescent="0.4">
      <c r="A6086" s="1" t="s">
        <v>11856</v>
      </c>
      <c r="B6086" t="s">
        <v>11857</v>
      </c>
      <c r="C6086" t="s">
        <v>2808</v>
      </c>
    </row>
    <row r="6087" spans="1:3" x14ac:dyDescent="0.4">
      <c r="A6087" s="1" t="s">
        <v>11858</v>
      </c>
      <c r="B6087" t="s">
        <v>11859</v>
      </c>
      <c r="C6087" t="s">
        <v>2808</v>
      </c>
    </row>
    <row r="6088" spans="1:3" x14ac:dyDescent="0.4">
      <c r="A6088" s="1" t="s">
        <v>11860</v>
      </c>
      <c r="B6088" t="s">
        <v>11861</v>
      </c>
      <c r="C6088" t="s">
        <v>2808</v>
      </c>
    </row>
    <row r="6089" spans="1:3" x14ac:dyDescent="0.4">
      <c r="A6089" s="1" t="s">
        <v>11862</v>
      </c>
      <c r="B6089" t="s">
        <v>11863</v>
      </c>
      <c r="C6089" t="s">
        <v>2808</v>
      </c>
    </row>
    <row r="6090" spans="1:3" x14ac:dyDescent="0.4">
      <c r="A6090" s="1" t="s">
        <v>11864</v>
      </c>
      <c r="B6090" t="s">
        <v>11865</v>
      </c>
      <c r="C6090" t="s">
        <v>2808</v>
      </c>
    </row>
    <row r="6091" spans="1:3" x14ac:dyDescent="0.4">
      <c r="A6091" s="1" t="s">
        <v>11866</v>
      </c>
      <c r="B6091" t="s">
        <v>11867</v>
      </c>
      <c r="C6091" t="s">
        <v>2808</v>
      </c>
    </row>
    <row r="6092" spans="1:3" x14ac:dyDescent="0.4">
      <c r="A6092" s="1" t="s">
        <v>11868</v>
      </c>
      <c r="B6092" t="s">
        <v>11869</v>
      </c>
      <c r="C6092" t="s">
        <v>2808</v>
      </c>
    </row>
    <row r="6093" spans="1:3" x14ac:dyDescent="0.4">
      <c r="A6093" s="1" t="s">
        <v>11870</v>
      </c>
      <c r="B6093" t="s">
        <v>11871</v>
      </c>
      <c r="C6093" t="s">
        <v>2808</v>
      </c>
    </row>
    <row r="6094" spans="1:3" x14ac:dyDescent="0.4">
      <c r="A6094" s="1" t="s">
        <v>11872</v>
      </c>
      <c r="B6094" t="s">
        <v>11873</v>
      </c>
      <c r="C6094" t="s">
        <v>2808</v>
      </c>
    </row>
    <row r="6095" spans="1:3" x14ac:dyDescent="0.4">
      <c r="A6095" s="1" t="s">
        <v>11874</v>
      </c>
      <c r="B6095" t="s">
        <v>11875</v>
      </c>
      <c r="C6095" t="s">
        <v>2808</v>
      </c>
    </row>
    <row r="6096" spans="1:3" x14ac:dyDescent="0.4">
      <c r="A6096" s="1" t="s">
        <v>11876</v>
      </c>
      <c r="B6096" t="s">
        <v>11877</v>
      </c>
      <c r="C6096" t="s">
        <v>2808</v>
      </c>
    </row>
    <row r="6097" spans="1:3" x14ac:dyDescent="0.4">
      <c r="A6097" s="1" t="s">
        <v>11878</v>
      </c>
      <c r="B6097" t="s">
        <v>11879</v>
      </c>
      <c r="C6097" t="s">
        <v>2808</v>
      </c>
    </row>
    <row r="6098" spans="1:3" x14ac:dyDescent="0.4">
      <c r="A6098" s="1" t="s">
        <v>11880</v>
      </c>
      <c r="B6098" t="s">
        <v>11881</v>
      </c>
      <c r="C6098" t="s">
        <v>2808</v>
      </c>
    </row>
    <row r="6099" spans="1:3" x14ac:dyDescent="0.4">
      <c r="A6099" s="1" t="s">
        <v>11882</v>
      </c>
      <c r="B6099" t="s">
        <v>11883</v>
      </c>
      <c r="C6099" t="s">
        <v>2808</v>
      </c>
    </row>
    <row r="6100" spans="1:3" x14ac:dyDescent="0.4">
      <c r="A6100" s="1" t="s">
        <v>11884</v>
      </c>
      <c r="B6100" t="s">
        <v>11885</v>
      </c>
      <c r="C6100" t="s">
        <v>2808</v>
      </c>
    </row>
    <row r="6101" spans="1:3" x14ac:dyDescent="0.4">
      <c r="A6101" s="1" t="s">
        <v>11886</v>
      </c>
      <c r="B6101" t="s">
        <v>11887</v>
      </c>
      <c r="C6101" t="s">
        <v>2808</v>
      </c>
    </row>
    <row r="6102" spans="1:3" x14ac:dyDescent="0.4">
      <c r="A6102" s="1" t="s">
        <v>11888</v>
      </c>
      <c r="B6102" t="s">
        <v>11889</v>
      </c>
      <c r="C6102" t="s">
        <v>2808</v>
      </c>
    </row>
    <row r="6103" spans="1:3" x14ac:dyDescent="0.4">
      <c r="A6103" s="1" t="s">
        <v>11890</v>
      </c>
      <c r="B6103" t="s">
        <v>11891</v>
      </c>
      <c r="C6103" t="s">
        <v>2808</v>
      </c>
    </row>
    <row r="6104" spans="1:3" x14ac:dyDescent="0.4">
      <c r="A6104" s="1" t="s">
        <v>11892</v>
      </c>
      <c r="B6104" t="s">
        <v>11893</v>
      </c>
      <c r="C6104" t="s">
        <v>2808</v>
      </c>
    </row>
    <row r="6105" spans="1:3" x14ac:dyDescent="0.4">
      <c r="A6105" s="1" t="s">
        <v>11894</v>
      </c>
      <c r="B6105" t="s">
        <v>11895</v>
      </c>
      <c r="C6105" t="s">
        <v>2808</v>
      </c>
    </row>
    <row r="6106" spans="1:3" x14ac:dyDescent="0.4">
      <c r="A6106" s="1" t="s">
        <v>11896</v>
      </c>
      <c r="B6106" t="s">
        <v>11897</v>
      </c>
      <c r="C6106" t="s">
        <v>2808</v>
      </c>
    </row>
    <row r="6107" spans="1:3" x14ac:dyDescent="0.4">
      <c r="A6107" s="1" t="s">
        <v>11898</v>
      </c>
      <c r="B6107" t="s">
        <v>11899</v>
      </c>
      <c r="C6107" t="s">
        <v>2808</v>
      </c>
    </row>
    <row r="6108" spans="1:3" x14ac:dyDescent="0.4">
      <c r="A6108" s="1" t="s">
        <v>11900</v>
      </c>
      <c r="B6108" t="s">
        <v>11901</v>
      </c>
      <c r="C6108" t="s">
        <v>2808</v>
      </c>
    </row>
    <row r="6109" spans="1:3" x14ac:dyDescent="0.4">
      <c r="A6109" s="1" t="s">
        <v>11902</v>
      </c>
      <c r="B6109" t="s">
        <v>11903</v>
      </c>
      <c r="C6109" t="s">
        <v>2808</v>
      </c>
    </row>
    <row r="6110" spans="1:3" x14ac:dyDescent="0.4">
      <c r="A6110" s="1" t="s">
        <v>11904</v>
      </c>
      <c r="B6110" t="s">
        <v>11905</v>
      </c>
      <c r="C6110" t="s">
        <v>2808</v>
      </c>
    </row>
    <row r="6111" spans="1:3" x14ac:dyDescent="0.4">
      <c r="A6111" s="1" t="s">
        <v>11906</v>
      </c>
      <c r="B6111" t="s">
        <v>11907</v>
      </c>
      <c r="C6111" t="s">
        <v>2808</v>
      </c>
    </row>
    <row r="6112" spans="1:3" x14ac:dyDescent="0.4">
      <c r="A6112" s="1" t="s">
        <v>11908</v>
      </c>
      <c r="B6112" t="s">
        <v>11909</v>
      </c>
      <c r="C6112" t="s">
        <v>2808</v>
      </c>
    </row>
    <row r="6113" spans="1:3" x14ac:dyDescent="0.4">
      <c r="A6113" s="1" t="s">
        <v>11910</v>
      </c>
      <c r="B6113" t="s">
        <v>11911</v>
      </c>
      <c r="C6113" t="s">
        <v>2808</v>
      </c>
    </row>
    <row r="6114" spans="1:3" x14ac:dyDescent="0.4">
      <c r="A6114" s="1" t="s">
        <v>11912</v>
      </c>
      <c r="B6114" t="s">
        <v>11913</v>
      </c>
      <c r="C6114" t="s">
        <v>2808</v>
      </c>
    </row>
    <row r="6115" spans="1:3" x14ac:dyDescent="0.4">
      <c r="A6115" s="1" t="s">
        <v>11914</v>
      </c>
      <c r="B6115" t="s">
        <v>11915</v>
      </c>
      <c r="C6115" t="s">
        <v>2808</v>
      </c>
    </row>
    <row r="6116" spans="1:3" x14ac:dyDescent="0.4">
      <c r="A6116" s="1" t="s">
        <v>11916</v>
      </c>
      <c r="B6116" t="s">
        <v>11917</v>
      </c>
      <c r="C6116" t="s">
        <v>2808</v>
      </c>
    </row>
    <row r="6117" spans="1:3" x14ac:dyDescent="0.4">
      <c r="A6117" s="1" t="s">
        <v>11918</v>
      </c>
      <c r="B6117" t="s">
        <v>11919</v>
      </c>
      <c r="C6117" t="s">
        <v>2808</v>
      </c>
    </row>
    <row r="6118" spans="1:3" x14ac:dyDescent="0.4">
      <c r="A6118" s="1" t="s">
        <v>11920</v>
      </c>
      <c r="B6118" t="s">
        <v>11921</v>
      </c>
      <c r="C6118" t="s">
        <v>2808</v>
      </c>
    </row>
    <row r="6119" spans="1:3" x14ac:dyDescent="0.4">
      <c r="A6119" s="1" t="s">
        <v>11922</v>
      </c>
      <c r="B6119" t="s">
        <v>11923</v>
      </c>
      <c r="C6119" t="s">
        <v>2808</v>
      </c>
    </row>
    <row r="6120" spans="1:3" x14ac:dyDescent="0.4">
      <c r="A6120" s="1" t="s">
        <v>11924</v>
      </c>
      <c r="B6120" t="s">
        <v>11925</v>
      </c>
      <c r="C6120" t="s">
        <v>2808</v>
      </c>
    </row>
    <row r="6121" spans="1:3" x14ac:dyDescent="0.4">
      <c r="A6121" s="1" t="s">
        <v>11926</v>
      </c>
      <c r="B6121" t="s">
        <v>11927</v>
      </c>
      <c r="C6121" t="s">
        <v>2808</v>
      </c>
    </row>
    <row r="6122" spans="1:3" x14ac:dyDescent="0.4">
      <c r="A6122" s="1" t="s">
        <v>11928</v>
      </c>
      <c r="B6122" t="s">
        <v>11929</v>
      </c>
      <c r="C6122" t="s">
        <v>2808</v>
      </c>
    </row>
    <row r="6123" spans="1:3" x14ac:dyDescent="0.4">
      <c r="A6123" s="1" t="s">
        <v>11930</v>
      </c>
      <c r="B6123" t="s">
        <v>11931</v>
      </c>
      <c r="C6123" t="s">
        <v>2808</v>
      </c>
    </row>
    <row r="6124" spans="1:3" x14ac:dyDescent="0.4">
      <c r="A6124" s="1" t="s">
        <v>11932</v>
      </c>
      <c r="B6124" t="s">
        <v>11933</v>
      </c>
      <c r="C6124" t="s">
        <v>2808</v>
      </c>
    </row>
    <row r="6125" spans="1:3" x14ac:dyDescent="0.4">
      <c r="A6125" s="1" t="s">
        <v>11934</v>
      </c>
      <c r="B6125" t="s">
        <v>11935</v>
      </c>
      <c r="C6125" t="s">
        <v>2808</v>
      </c>
    </row>
    <row r="6126" spans="1:3" x14ac:dyDescent="0.4">
      <c r="A6126" s="1" t="s">
        <v>11936</v>
      </c>
      <c r="B6126" t="s">
        <v>11937</v>
      </c>
      <c r="C6126" t="s">
        <v>2808</v>
      </c>
    </row>
    <row r="6127" spans="1:3" x14ac:dyDescent="0.4">
      <c r="A6127" s="1" t="s">
        <v>11938</v>
      </c>
      <c r="B6127" t="s">
        <v>11939</v>
      </c>
      <c r="C6127" t="s">
        <v>2808</v>
      </c>
    </row>
    <row r="6128" spans="1:3" x14ac:dyDescent="0.4">
      <c r="A6128" s="1" t="s">
        <v>11940</v>
      </c>
      <c r="B6128" t="s">
        <v>11941</v>
      </c>
      <c r="C6128" t="s">
        <v>2808</v>
      </c>
    </row>
    <row r="6129" spans="1:3" x14ac:dyDescent="0.4">
      <c r="A6129" s="1" t="s">
        <v>11942</v>
      </c>
      <c r="B6129" t="s">
        <v>11943</v>
      </c>
      <c r="C6129" t="s">
        <v>2808</v>
      </c>
    </row>
    <row r="6130" spans="1:3" x14ac:dyDescent="0.4">
      <c r="A6130" s="1" t="s">
        <v>11944</v>
      </c>
      <c r="B6130" t="s">
        <v>11945</v>
      </c>
      <c r="C6130" t="s">
        <v>2808</v>
      </c>
    </row>
    <row r="6131" spans="1:3" x14ac:dyDescent="0.4">
      <c r="A6131" s="1" t="s">
        <v>11946</v>
      </c>
      <c r="B6131" t="s">
        <v>11947</v>
      </c>
      <c r="C6131" t="s">
        <v>2808</v>
      </c>
    </row>
    <row r="6132" spans="1:3" x14ac:dyDescent="0.4">
      <c r="A6132" s="1" t="s">
        <v>11948</v>
      </c>
      <c r="B6132" t="s">
        <v>11949</v>
      </c>
      <c r="C6132" t="s">
        <v>2808</v>
      </c>
    </row>
    <row r="6133" spans="1:3" x14ac:dyDescent="0.4">
      <c r="A6133" s="1" t="s">
        <v>11950</v>
      </c>
      <c r="B6133" t="s">
        <v>11951</v>
      </c>
      <c r="C6133" t="s">
        <v>2808</v>
      </c>
    </row>
    <row r="6134" spans="1:3" x14ac:dyDescent="0.4">
      <c r="A6134" s="1" t="s">
        <v>11952</v>
      </c>
      <c r="B6134" t="s">
        <v>11953</v>
      </c>
      <c r="C6134" t="s">
        <v>2808</v>
      </c>
    </row>
    <row r="6135" spans="1:3" x14ac:dyDescent="0.4">
      <c r="A6135" s="1" t="s">
        <v>11954</v>
      </c>
      <c r="B6135" t="s">
        <v>11955</v>
      </c>
      <c r="C6135" t="s">
        <v>2808</v>
      </c>
    </row>
    <row r="6136" spans="1:3" x14ac:dyDescent="0.4">
      <c r="A6136" s="1" t="s">
        <v>11956</v>
      </c>
      <c r="B6136" t="s">
        <v>11957</v>
      </c>
      <c r="C6136" t="s">
        <v>2808</v>
      </c>
    </row>
    <row r="6137" spans="1:3" x14ac:dyDescent="0.4">
      <c r="A6137" s="1" t="s">
        <v>11958</v>
      </c>
      <c r="B6137" t="s">
        <v>11959</v>
      </c>
      <c r="C6137" t="s">
        <v>2808</v>
      </c>
    </row>
    <row r="6138" spans="1:3" x14ac:dyDescent="0.4">
      <c r="A6138" s="1" t="s">
        <v>11960</v>
      </c>
      <c r="B6138" t="s">
        <v>11961</v>
      </c>
      <c r="C6138" t="s">
        <v>2808</v>
      </c>
    </row>
    <row r="6139" spans="1:3" x14ac:dyDescent="0.4">
      <c r="A6139" s="1" t="s">
        <v>11962</v>
      </c>
      <c r="B6139" t="s">
        <v>11963</v>
      </c>
      <c r="C6139" t="s">
        <v>2808</v>
      </c>
    </row>
    <row r="6140" spans="1:3" x14ac:dyDescent="0.4">
      <c r="A6140" s="1" t="s">
        <v>11964</v>
      </c>
      <c r="B6140" t="s">
        <v>11965</v>
      </c>
      <c r="C6140" t="s">
        <v>2808</v>
      </c>
    </row>
    <row r="6141" spans="1:3" x14ac:dyDescent="0.4">
      <c r="A6141" s="1" t="s">
        <v>11966</v>
      </c>
      <c r="B6141" t="s">
        <v>11967</v>
      </c>
      <c r="C6141" t="s">
        <v>2808</v>
      </c>
    </row>
    <row r="6142" spans="1:3" x14ac:dyDescent="0.4">
      <c r="A6142" s="1" t="s">
        <v>11968</v>
      </c>
      <c r="B6142" t="s">
        <v>11969</v>
      </c>
      <c r="C6142" t="s">
        <v>2808</v>
      </c>
    </row>
    <row r="6143" spans="1:3" x14ac:dyDescent="0.4">
      <c r="A6143" s="1" t="s">
        <v>11970</v>
      </c>
      <c r="B6143" t="s">
        <v>11971</v>
      </c>
      <c r="C6143" t="s">
        <v>2808</v>
      </c>
    </row>
    <row r="6144" spans="1:3" x14ac:dyDescent="0.4">
      <c r="A6144" s="1" t="s">
        <v>11972</v>
      </c>
      <c r="B6144" t="s">
        <v>11973</v>
      </c>
      <c r="C6144" t="s">
        <v>2808</v>
      </c>
    </row>
    <row r="6145" spans="1:3" x14ac:dyDescent="0.4">
      <c r="A6145" s="1" t="s">
        <v>11974</v>
      </c>
      <c r="B6145" t="s">
        <v>11975</v>
      </c>
      <c r="C6145" t="s">
        <v>2808</v>
      </c>
    </row>
    <row r="6146" spans="1:3" x14ac:dyDescent="0.4">
      <c r="A6146" s="1" t="s">
        <v>11976</v>
      </c>
      <c r="B6146" t="s">
        <v>11977</v>
      </c>
      <c r="C6146" t="s">
        <v>2808</v>
      </c>
    </row>
    <row r="6147" spans="1:3" x14ac:dyDescent="0.4">
      <c r="A6147" s="1" t="s">
        <v>11978</v>
      </c>
      <c r="B6147" t="s">
        <v>11979</v>
      </c>
      <c r="C6147" t="s">
        <v>2808</v>
      </c>
    </row>
    <row r="6148" spans="1:3" x14ac:dyDescent="0.4">
      <c r="A6148" s="1" t="s">
        <v>11980</v>
      </c>
      <c r="B6148" t="s">
        <v>11981</v>
      </c>
      <c r="C6148" t="s">
        <v>2808</v>
      </c>
    </row>
    <row r="6149" spans="1:3" x14ac:dyDescent="0.4">
      <c r="A6149" s="1" t="s">
        <v>11982</v>
      </c>
      <c r="B6149" t="s">
        <v>11983</v>
      </c>
      <c r="C6149" t="s">
        <v>2808</v>
      </c>
    </row>
    <row r="6150" spans="1:3" x14ac:dyDescent="0.4">
      <c r="A6150" s="1" t="s">
        <v>11984</v>
      </c>
      <c r="B6150" t="s">
        <v>11985</v>
      </c>
      <c r="C6150" t="s">
        <v>2808</v>
      </c>
    </row>
    <row r="6151" spans="1:3" x14ac:dyDescent="0.4">
      <c r="A6151" s="1" t="s">
        <v>11986</v>
      </c>
      <c r="B6151" t="s">
        <v>11987</v>
      </c>
      <c r="C6151" t="s">
        <v>2808</v>
      </c>
    </row>
    <row r="6152" spans="1:3" x14ac:dyDescent="0.4">
      <c r="A6152" s="1" t="s">
        <v>11988</v>
      </c>
      <c r="B6152" t="s">
        <v>11989</v>
      </c>
      <c r="C6152" t="s">
        <v>2808</v>
      </c>
    </row>
    <row r="6153" spans="1:3" x14ac:dyDescent="0.4">
      <c r="A6153" s="1" t="s">
        <v>11990</v>
      </c>
      <c r="B6153" t="s">
        <v>11991</v>
      </c>
      <c r="C6153" t="s">
        <v>2808</v>
      </c>
    </row>
    <row r="6154" spans="1:3" x14ac:dyDescent="0.4">
      <c r="A6154" s="1" t="s">
        <v>11992</v>
      </c>
      <c r="B6154" t="s">
        <v>11993</v>
      </c>
      <c r="C6154" t="s">
        <v>2808</v>
      </c>
    </row>
    <row r="6155" spans="1:3" x14ac:dyDescent="0.4">
      <c r="A6155" s="1" t="s">
        <v>11994</v>
      </c>
      <c r="B6155" t="s">
        <v>11995</v>
      </c>
      <c r="C6155" t="s">
        <v>2808</v>
      </c>
    </row>
    <row r="6156" spans="1:3" x14ac:dyDescent="0.4">
      <c r="A6156" s="1" t="s">
        <v>11996</v>
      </c>
      <c r="B6156" t="s">
        <v>11997</v>
      </c>
      <c r="C6156" t="s">
        <v>2808</v>
      </c>
    </row>
    <row r="6157" spans="1:3" x14ac:dyDescent="0.4">
      <c r="A6157" s="1" t="s">
        <v>11998</v>
      </c>
      <c r="B6157" t="s">
        <v>11999</v>
      </c>
      <c r="C6157" t="s">
        <v>2808</v>
      </c>
    </row>
    <row r="6158" spans="1:3" x14ac:dyDescent="0.4">
      <c r="A6158" s="1" t="s">
        <v>12000</v>
      </c>
      <c r="B6158" t="s">
        <v>12001</v>
      </c>
      <c r="C6158" t="s">
        <v>2808</v>
      </c>
    </row>
    <row r="6159" spans="1:3" x14ac:dyDescent="0.4">
      <c r="A6159" s="1" t="s">
        <v>12002</v>
      </c>
      <c r="B6159" t="s">
        <v>12003</v>
      </c>
      <c r="C6159" t="s">
        <v>2808</v>
      </c>
    </row>
    <row r="6160" spans="1:3" x14ac:dyDescent="0.4">
      <c r="A6160" s="1" t="s">
        <v>12004</v>
      </c>
      <c r="B6160" t="s">
        <v>12005</v>
      </c>
      <c r="C6160" t="s">
        <v>2808</v>
      </c>
    </row>
    <row r="6161" spans="1:3" x14ac:dyDescent="0.4">
      <c r="A6161" s="1" t="s">
        <v>12006</v>
      </c>
      <c r="B6161" t="s">
        <v>12007</v>
      </c>
      <c r="C6161" t="s">
        <v>2808</v>
      </c>
    </row>
    <row r="6162" spans="1:3" x14ac:dyDescent="0.4">
      <c r="A6162" s="1" t="s">
        <v>12008</v>
      </c>
      <c r="B6162" t="s">
        <v>12009</v>
      </c>
      <c r="C6162" t="s">
        <v>2808</v>
      </c>
    </row>
    <row r="6163" spans="1:3" x14ac:dyDescent="0.4">
      <c r="A6163" s="1" t="s">
        <v>12010</v>
      </c>
      <c r="B6163" t="s">
        <v>12011</v>
      </c>
      <c r="C6163" t="s">
        <v>2808</v>
      </c>
    </row>
    <row r="6164" spans="1:3" x14ac:dyDescent="0.4">
      <c r="A6164" s="1" t="s">
        <v>12012</v>
      </c>
      <c r="B6164" t="s">
        <v>12013</v>
      </c>
      <c r="C6164" t="s">
        <v>2808</v>
      </c>
    </row>
    <row r="6165" spans="1:3" x14ac:dyDescent="0.4">
      <c r="A6165" s="1" t="s">
        <v>12014</v>
      </c>
      <c r="B6165" t="s">
        <v>12015</v>
      </c>
      <c r="C6165" t="s">
        <v>2808</v>
      </c>
    </row>
    <row r="6166" spans="1:3" x14ac:dyDescent="0.4">
      <c r="A6166" s="1" t="s">
        <v>12016</v>
      </c>
      <c r="B6166" t="s">
        <v>12017</v>
      </c>
      <c r="C6166" t="s">
        <v>2808</v>
      </c>
    </row>
    <row r="6167" spans="1:3" x14ac:dyDescent="0.4">
      <c r="A6167" s="1" t="s">
        <v>12018</v>
      </c>
      <c r="B6167" t="e">
        <f>-終息-ﾘｻｲｸﾙﾄﾅｰ Y350245</f>
        <v>#NAME?</v>
      </c>
      <c r="C6167" t="s">
        <v>2808</v>
      </c>
    </row>
    <row r="6168" spans="1:3" x14ac:dyDescent="0.4">
      <c r="A6168" s="1" t="s">
        <v>12019</v>
      </c>
      <c r="B6168" t="s">
        <v>12020</v>
      </c>
      <c r="C6168" t="s">
        <v>2808</v>
      </c>
    </row>
    <row r="6169" spans="1:3" x14ac:dyDescent="0.4">
      <c r="A6169" s="1" t="s">
        <v>12021</v>
      </c>
      <c r="B6169" t="s">
        <v>12022</v>
      </c>
      <c r="C6169" t="s">
        <v>2808</v>
      </c>
    </row>
    <row r="6170" spans="1:3" x14ac:dyDescent="0.4">
      <c r="A6170" s="1" t="s">
        <v>12023</v>
      </c>
      <c r="B6170" t="e">
        <f>-終息-ﾘｻｲｸﾙﾄﾞﾗﾑ Y350322</f>
        <v>#NAME?</v>
      </c>
      <c r="C6170" t="s">
        <v>2808</v>
      </c>
    </row>
    <row r="6171" spans="1:3" x14ac:dyDescent="0.4">
      <c r="A6171" s="1" t="s">
        <v>12024</v>
      </c>
      <c r="B6171" t="s">
        <v>12025</v>
      </c>
      <c r="C6171" t="s">
        <v>2808</v>
      </c>
    </row>
    <row r="6172" spans="1:3" x14ac:dyDescent="0.4">
      <c r="A6172" s="1" t="s">
        <v>12026</v>
      </c>
      <c r="B6172" t="e">
        <f>-終息-ﾘｻｲｸﾙﾄﾞﾗﾑ Y350441</f>
        <v>#NAME?</v>
      </c>
      <c r="C6172" t="s">
        <v>2808</v>
      </c>
    </row>
    <row r="6173" spans="1:3" x14ac:dyDescent="0.4">
      <c r="A6173" s="1" t="s">
        <v>12027</v>
      </c>
      <c r="B6173" t="s">
        <v>12028</v>
      </c>
      <c r="C6173" t="s">
        <v>2808</v>
      </c>
    </row>
    <row r="6174" spans="1:3" x14ac:dyDescent="0.4">
      <c r="A6174" s="1" t="s">
        <v>12029</v>
      </c>
      <c r="B6174" t="s">
        <v>12030</v>
      </c>
      <c r="C6174" t="s">
        <v>2808</v>
      </c>
    </row>
    <row r="6175" spans="1:3" x14ac:dyDescent="0.4">
      <c r="A6175" s="1" t="s">
        <v>12031</v>
      </c>
      <c r="B6175" t="s">
        <v>12032</v>
      </c>
      <c r="C6175" t="s">
        <v>2808</v>
      </c>
    </row>
    <row r="6176" spans="1:3" x14ac:dyDescent="0.4">
      <c r="A6176" s="1" t="s">
        <v>12033</v>
      </c>
      <c r="B6176" t="e">
        <f>-終息-ﾘｻｲｸﾙﾄﾅｰ Y350587</f>
        <v>#NAME?</v>
      </c>
      <c r="C6176" t="s">
        <v>2808</v>
      </c>
    </row>
    <row r="6177" spans="1:3" x14ac:dyDescent="0.4">
      <c r="A6177" s="1" t="s">
        <v>12034</v>
      </c>
      <c r="B6177" t="s">
        <v>12035</v>
      </c>
      <c r="C6177" t="s">
        <v>2808</v>
      </c>
    </row>
    <row r="6178" spans="1:3" x14ac:dyDescent="0.4">
      <c r="A6178" s="1" t="s">
        <v>12036</v>
      </c>
      <c r="B6178" t="s">
        <v>12037</v>
      </c>
      <c r="C6178" t="s">
        <v>2808</v>
      </c>
    </row>
    <row r="6179" spans="1:3" x14ac:dyDescent="0.4">
      <c r="A6179" s="1" t="s">
        <v>12038</v>
      </c>
      <c r="B6179" t="s">
        <v>12039</v>
      </c>
      <c r="C6179" t="s">
        <v>2808</v>
      </c>
    </row>
    <row r="6180" spans="1:3" x14ac:dyDescent="0.4">
      <c r="A6180" s="1" t="s">
        <v>12040</v>
      </c>
      <c r="B6180" t="s">
        <v>12041</v>
      </c>
      <c r="C6180" t="s">
        <v>2808</v>
      </c>
    </row>
    <row r="6181" spans="1:3" x14ac:dyDescent="0.4">
      <c r="A6181" s="1" t="s">
        <v>12042</v>
      </c>
      <c r="B6181" t="s">
        <v>12043</v>
      </c>
      <c r="C6181" t="s">
        <v>2808</v>
      </c>
    </row>
    <row r="6182" spans="1:3" x14ac:dyDescent="0.4">
      <c r="A6182" s="1" t="s">
        <v>12044</v>
      </c>
      <c r="B6182" t="s">
        <v>12045</v>
      </c>
      <c r="C6182" t="s">
        <v>2808</v>
      </c>
    </row>
    <row r="6183" spans="1:3" x14ac:dyDescent="0.4">
      <c r="A6183" s="1" t="s">
        <v>12046</v>
      </c>
      <c r="B6183" t="s">
        <v>12047</v>
      </c>
      <c r="C6183" t="s">
        <v>2808</v>
      </c>
    </row>
    <row r="6184" spans="1:3" x14ac:dyDescent="0.4">
      <c r="A6184" s="1" t="s">
        <v>12048</v>
      </c>
      <c r="B6184" t="s">
        <v>12049</v>
      </c>
      <c r="C6184" t="s">
        <v>2808</v>
      </c>
    </row>
    <row r="6185" spans="1:3" x14ac:dyDescent="0.4">
      <c r="A6185" s="1" t="s">
        <v>12050</v>
      </c>
      <c r="B6185" t="s">
        <v>12051</v>
      </c>
      <c r="C6185" t="s">
        <v>2808</v>
      </c>
    </row>
    <row r="6186" spans="1:3" x14ac:dyDescent="0.4">
      <c r="A6186" s="1" t="s">
        <v>12052</v>
      </c>
      <c r="B6186" t="s">
        <v>12053</v>
      </c>
      <c r="C6186" t="s">
        <v>2808</v>
      </c>
    </row>
    <row r="6187" spans="1:3" x14ac:dyDescent="0.4">
      <c r="A6187" s="1" t="s">
        <v>12054</v>
      </c>
      <c r="B6187" t="s">
        <v>12055</v>
      </c>
      <c r="C6187" t="s">
        <v>2808</v>
      </c>
    </row>
    <row r="6188" spans="1:3" x14ac:dyDescent="0.4">
      <c r="A6188" s="1" t="s">
        <v>12056</v>
      </c>
      <c r="B6188" t="s">
        <v>12057</v>
      </c>
      <c r="C6188" t="s">
        <v>2808</v>
      </c>
    </row>
    <row r="6189" spans="1:3" x14ac:dyDescent="0.4">
      <c r="A6189" s="1" t="s">
        <v>12058</v>
      </c>
      <c r="B6189" t="s">
        <v>12059</v>
      </c>
      <c r="C6189" t="s">
        <v>2808</v>
      </c>
    </row>
    <row r="6190" spans="1:3" x14ac:dyDescent="0.4">
      <c r="A6190" s="1" t="s">
        <v>12060</v>
      </c>
      <c r="B6190" t="s">
        <v>12061</v>
      </c>
      <c r="C6190" t="s">
        <v>2808</v>
      </c>
    </row>
    <row r="6191" spans="1:3" x14ac:dyDescent="0.4">
      <c r="A6191" s="1" t="s">
        <v>12062</v>
      </c>
      <c r="B6191" t="s">
        <v>12063</v>
      </c>
      <c r="C6191" t="s">
        <v>2808</v>
      </c>
    </row>
    <row r="6192" spans="1:3" x14ac:dyDescent="0.4">
      <c r="A6192" s="1" t="s">
        <v>12064</v>
      </c>
      <c r="B6192" t="s">
        <v>12065</v>
      </c>
      <c r="C6192" t="s">
        <v>2808</v>
      </c>
    </row>
    <row r="6193" spans="1:3" x14ac:dyDescent="0.4">
      <c r="A6193" s="1" t="s">
        <v>12066</v>
      </c>
      <c r="B6193" t="s">
        <v>12067</v>
      </c>
      <c r="C6193" t="s">
        <v>2808</v>
      </c>
    </row>
    <row r="6194" spans="1:3" x14ac:dyDescent="0.4">
      <c r="A6194" s="1" t="s">
        <v>12068</v>
      </c>
      <c r="B6194" t="s">
        <v>12069</v>
      </c>
      <c r="C6194" t="s">
        <v>2808</v>
      </c>
    </row>
    <row r="6195" spans="1:3" x14ac:dyDescent="0.4">
      <c r="A6195" s="1" t="s">
        <v>12070</v>
      </c>
      <c r="B6195" t="s">
        <v>12071</v>
      </c>
      <c r="C6195" t="s">
        <v>2808</v>
      </c>
    </row>
    <row r="6196" spans="1:3" x14ac:dyDescent="0.4">
      <c r="A6196" s="1" t="s">
        <v>12072</v>
      </c>
      <c r="B6196" t="s">
        <v>12073</v>
      </c>
      <c r="C6196" t="s">
        <v>2808</v>
      </c>
    </row>
    <row r="6197" spans="1:3" x14ac:dyDescent="0.4">
      <c r="A6197" s="1" t="s">
        <v>12074</v>
      </c>
      <c r="B6197" t="s">
        <v>12075</v>
      </c>
      <c r="C6197" t="s">
        <v>2808</v>
      </c>
    </row>
    <row r="6198" spans="1:3" x14ac:dyDescent="0.4">
      <c r="A6198" s="1" t="s">
        <v>12076</v>
      </c>
      <c r="B6198" t="s">
        <v>12077</v>
      </c>
      <c r="C6198" t="s">
        <v>2808</v>
      </c>
    </row>
    <row r="6199" spans="1:3" x14ac:dyDescent="0.4">
      <c r="A6199" s="1" t="s">
        <v>12078</v>
      </c>
      <c r="B6199" t="s">
        <v>12079</v>
      </c>
      <c r="C6199" t="s">
        <v>2808</v>
      </c>
    </row>
    <row r="6200" spans="1:3" x14ac:dyDescent="0.4">
      <c r="A6200" s="1" t="s">
        <v>12080</v>
      </c>
      <c r="B6200" t="s">
        <v>12081</v>
      </c>
      <c r="C6200" t="s">
        <v>2808</v>
      </c>
    </row>
    <row r="6201" spans="1:3" x14ac:dyDescent="0.4">
      <c r="A6201" s="1" t="s">
        <v>12082</v>
      </c>
      <c r="B6201" t="s">
        <v>12083</v>
      </c>
      <c r="C6201" t="s">
        <v>2808</v>
      </c>
    </row>
    <row r="6202" spans="1:3" x14ac:dyDescent="0.4">
      <c r="A6202" s="1" t="s">
        <v>12084</v>
      </c>
      <c r="B6202" t="s">
        <v>12085</v>
      </c>
      <c r="C6202" t="s">
        <v>2808</v>
      </c>
    </row>
    <row r="6203" spans="1:3" x14ac:dyDescent="0.4">
      <c r="A6203" s="1" t="s">
        <v>12086</v>
      </c>
      <c r="B6203" t="s">
        <v>12087</v>
      </c>
      <c r="C6203" t="s">
        <v>2808</v>
      </c>
    </row>
    <row r="6204" spans="1:3" x14ac:dyDescent="0.4">
      <c r="A6204" s="1" t="s">
        <v>12088</v>
      </c>
      <c r="B6204" t="s">
        <v>12089</v>
      </c>
      <c r="C6204" t="s">
        <v>2808</v>
      </c>
    </row>
    <row r="6205" spans="1:3" x14ac:dyDescent="0.4">
      <c r="A6205" s="1" t="s">
        <v>12090</v>
      </c>
      <c r="B6205" t="s">
        <v>12091</v>
      </c>
      <c r="C6205" t="s">
        <v>2808</v>
      </c>
    </row>
    <row r="6206" spans="1:3" x14ac:dyDescent="0.4">
      <c r="A6206" s="1" t="s">
        <v>12092</v>
      </c>
      <c r="B6206" t="s">
        <v>12093</v>
      </c>
      <c r="C6206" t="s">
        <v>2808</v>
      </c>
    </row>
    <row r="6207" spans="1:3" x14ac:dyDescent="0.4">
      <c r="A6207" s="1" t="s">
        <v>12094</v>
      </c>
      <c r="B6207" t="s">
        <v>12095</v>
      </c>
      <c r="C6207" t="s">
        <v>2808</v>
      </c>
    </row>
    <row r="6208" spans="1:3" x14ac:dyDescent="0.4">
      <c r="A6208" s="1" t="s">
        <v>12096</v>
      </c>
      <c r="B6208" t="s">
        <v>12097</v>
      </c>
      <c r="C6208" t="s">
        <v>2808</v>
      </c>
    </row>
    <row r="6209" spans="1:3" x14ac:dyDescent="0.4">
      <c r="A6209" s="1" t="s">
        <v>12098</v>
      </c>
      <c r="B6209" t="s">
        <v>12099</v>
      </c>
      <c r="C6209" t="s">
        <v>2808</v>
      </c>
    </row>
    <row r="6210" spans="1:3" x14ac:dyDescent="0.4">
      <c r="A6210" s="1" t="s">
        <v>12100</v>
      </c>
      <c r="B6210" t="s">
        <v>12101</v>
      </c>
      <c r="C6210" t="s">
        <v>2808</v>
      </c>
    </row>
    <row r="6211" spans="1:3" x14ac:dyDescent="0.4">
      <c r="A6211" s="1" t="s">
        <v>12102</v>
      </c>
      <c r="B6211" t="s">
        <v>12103</v>
      </c>
      <c r="C6211" t="s">
        <v>2808</v>
      </c>
    </row>
    <row r="6212" spans="1:3" x14ac:dyDescent="0.4">
      <c r="A6212" s="1" t="s">
        <v>12104</v>
      </c>
      <c r="B6212" t="s">
        <v>12105</v>
      </c>
      <c r="C6212" t="s">
        <v>2808</v>
      </c>
    </row>
    <row r="6213" spans="1:3" x14ac:dyDescent="0.4">
      <c r="A6213" s="1" t="s">
        <v>12106</v>
      </c>
      <c r="B6213" t="e">
        <f>-終息-ﾘｻｲｸﾙﾄﾞﾗﾑ DK20B</f>
        <v>#NAME?</v>
      </c>
      <c r="C6213" t="s">
        <v>2808</v>
      </c>
    </row>
    <row r="6214" spans="1:3" x14ac:dyDescent="0.4">
      <c r="A6214" s="1" t="s">
        <v>12107</v>
      </c>
      <c r="B6214" t="s">
        <v>12108</v>
      </c>
      <c r="C6214" t="s">
        <v>2808</v>
      </c>
    </row>
    <row r="6215" spans="1:3" x14ac:dyDescent="0.4">
      <c r="A6215" s="1" t="s">
        <v>12109</v>
      </c>
      <c r="B6215" t="s">
        <v>12110</v>
      </c>
      <c r="C6215" t="s">
        <v>2808</v>
      </c>
    </row>
    <row r="6216" spans="1:3" x14ac:dyDescent="0.4">
      <c r="A6216" s="1" t="s">
        <v>12111</v>
      </c>
      <c r="B6216" t="s">
        <v>12112</v>
      </c>
      <c r="C6216" t="s">
        <v>2808</v>
      </c>
    </row>
    <row r="6217" spans="1:3" x14ac:dyDescent="0.4">
      <c r="A6217" s="1" t="s">
        <v>12113</v>
      </c>
      <c r="B6217" t="s">
        <v>12114</v>
      </c>
      <c r="C6217" t="s">
        <v>2808</v>
      </c>
    </row>
    <row r="6218" spans="1:3" x14ac:dyDescent="0.4">
      <c r="A6218" s="1" t="s">
        <v>12115</v>
      </c>
      <c r="B6218" t="s">
        <v>12116</v>
      </c>
      <c r="C6218" t="s">
        <v>2808</v>
      </c>
    </row>
    <row r="6219" spans="1:3" x14ac:dyDescent="0.4">
      <c r="A6219" s="1" t="s">
        <v>12117</v>
      </c>
      <c r="B6219" t="s">
        <v>12118</v>
      </c>
      <c r="C6219" t="s">
        <v>2808</v>
      </c>
    </row>
    <row r="6220" spans="1:3" x14ac:dyDescent="0.4">
      <c r="A6220" s="1" t="s">
        <v>12119</v>
      </c>
      <c r="B6220" t="s">
        <v>12120</v>
      </c>
      <c r="C6220" t="s">
        <v>2808</v>
      </c>
    </row>
    <row r="6221" spans="1:3" x14ac:dyDescent="0.4">
      <c r="A6221" s="1" t="s">
        <v>12121</v>
      </c>
      <c r="B6221" t="s">
        <v>12122</v>
      </c>
      <c r="C6221" t="s">
        <v>2808</v>
      </c>
    </row>
    <row r="6222" spans="1:3" x14ac:dyDescent="0.4">
      <c r="A6222" s="1" t="s">
        <v>12123</v>
      </c>
      <c r="B6222" t="s">
        <v>12124</v>
      </c>
      <c r="C6222" t="s">
        <v>2808</v>
      </c>
    </row>
    <row r="6223" spans="1:3" x14ac:dyDescent="0.4">
      <c r="A6223" s="1" t="s">
        <v>12125</v>
      </c>
      <c r="B6223" t="s">
        <v>12126</v>
      </c>
      <c r="C6223" t="s">
        <v>2808</v>
      </c>
    </row>
    <row r="6224" spans="1:3" x14ac:dyDescent="0.4">
      <c r="A6224" s="1" t="s">
        <v>12127</v>
      </c>
      <c r="B6224" t="s">
        <v>12128</v>
      </c>
      <c r="C6224" t="s">
        <v>2808</v>
      </c>
    </row>
    <row r="6225" spans="1:3" x14ac:dyDescent="0.4">
      <c r="A6225" s="1" t="s">
        <v>12129</v>
      </c>
      <c r="B6225" t="s">
        <v>12130</v>
      </c>
      <c r="C6225" t="s">
        <v>2808</v>
      </c>
    </row>
    <row r="6226" spans="1:3" x14ac:dyDescent="0.4">
      <c r="A6226" s="1" t="s">
        <v>12131</v>
      </c>
      <c r="B6226" t="s">
        <v>12132</v>
      </c>
      <c r="C6226" t="s">
        <v>2808</v>
      </c>
    </row>
    <row r="6227" spans="1:3" x14ac:dyDescent="0.4">
      <c r="A6227" s="1" t="s">
        <v>12133</v>
      </c>
      <c r="B6227" t="s">
        <v>12134</v>
      </c>
      <c r="C6227" t="s">
        <v>2808</v>
      </c>
    </row>
    <row r="6228" spans="1:3" x14ac:dyDescent="0.4">
      <c r="A6228" s="1" t="s">
        <v>12135</v>
      </c>
      <c r="B6228" t="s">
        <v>12136</v>
      </c>
      <c r="C6228" t="s">
        <v>2808</v>
      </c>
    </row>
    <row r="6229" spans="1:3" x14ac:dyDescent="0.4">
      <c r="A6229" s="1" t="s">
        <v>12137</v>
      </c>
      <c r="B6229" t="s">
        <v>12138</v>
      </c>
      <c r="C6229" t="s">
        <v>2808</v>
      </c>
    </row>
    <row r="6230" spans="1:3" x14ac:dyDescent="0.4">
      <c r="A6230" s="1" t="s">
        <v>12139</v>
      </c>
      <c r="B6230" t="s">
        <v>12140</v>
      </c>
      <c r="C6230" t="s">
        <v>2808</v>
      </c>
    </row>
    <row r="6231" spans="1:3" x14ac:dyDescent="0.4">
      <c r="A6231" s="1" t="s">
        <v>12141</v>
      </c>
      <c r="B6231" t="s">
        <v>12142</v>
      </c>
      <c r="C6231" t="s">
        <v>2808</v>
      </c>
    </row>
    <row r="6232" spans="1:3" x14ac:dyDescent="0.4">
      <c r="A6232" s="1" t="s">
        <v>12143</v>
      </c>
      <c r="B6232" t="s">
        <v>12144</v>
      </c>
      <c r="C6232" t="s">
        <v>2808</v>
      </c>
    </row>
    <row r="6233" spans="1:3" x14ac:dyDescent="0.4">
      <c r="A6233" s="1" t="s">
        <v>12145</v>
      </c>
      <c r="B6233" t="s">
        <v>12146</v>
      </c>
      <c r="C6233" t="s">
        <v>2808</v>
      </c>
    </row>
    <row r="6234" spans="1:3" x14ac:dyDescent="0.4">
      <c r="A6234" s="1" t="s">
        <v>12147</v>
      </c>
      <c r="B6234" t="s">
        <v>12148</v>
      </c>
      <c r="C6234" t="s">
        <v>2808</v>
      </c>
    </row>
    <row r="6235" spans="1:3" x14ac:dyDescent="0.4">
      <c r="A6235" s="1" t="s">
        <v>12149</v>
      </c>
      <c r="B6235" t="s">
        <v>12150</v>
      </c>
      <c r="C6235" t="s">
        <v>2808</v>
      </c>
    </row>
    <row r="6236" spans="1:3" x14ac:dyDescent="0.4">
      <c r="A6236" s="1" t="s">
        <v>12151</v>
      </c>
      <c r="B6236" t="s">
        <v>12152</v>
      </c>
      <c r="C6236" t="s">
        <v>2808</v>
      </c>
    </row>
    <row r="6237" spans="1:3" x14ac:dyDescent="0.4">
      <c r="A6237" s="1" t="s">
        <v>12153</v>
      </c>
      <c r="B6237" t="s">
        <v>12154</v>
      </c>
      <c r="C6237" t="s">
        <v>2808</v>
      </c>
    </row>
    <row r="6238" spans="1:3" x14ac:dyDescent="0.4">
      <c r="A6238" s="1" t="s">
        <v>12155</v>
      </c>
      <c r="B6238" t="s">
        <v>12156</v>
      </c>
      <c r="C6238" t="s">
        <v>2808</v>
      </c>
    </row>
    <row r="6239" spans="1:3" x14ac:dyDescent="0.4">
      <c r="A6239" s="1" t="s">
        <v>12157</v>
      </c>
      <c r="B6239" t="s">
        <v>12158</v>
      </c>
      <c r="C6239" t="s">
        <v>2808</v>
      </c>
    </row>
    <row r="6240" spans="1:3" x14ac:dyDescent="0.4">
      <c r="A6240" s="1" t="s">
        <v>12159</v>
      </c>
      <c r="B6240" t="s">
        <v>12160</v>
      </c>
      <c r="C6240" t="s">
        <v>2808</v>
      </c>
    </row>
    <row r="6241" spans="1:3" x14ac:dyDescent="0.4">
      <c r="A6241" s="1" t="s">
        <v>12161</v>
      </c>
      <c r="B6241" t="s">
        <v>12162</v>
      </c>
      <c r="C6241" t="s">
        <v>2808</v>
      </c>
    </row>
    <row r="6242" spans="1:3" x14ac:dyDescent="0.4">
      <c r="A6242" s="1" t="s">
        <v>12163</v>
      </c>
      <c r="B6242" t="s">
        <v>12164</v>
      </c>
      <c r="C6242" t="s">
        <v>2808</v>
      </c>
    </row>
    <row r="6243" spans="1:3" x14ac:dyDescent="0.4">
      <c r="A6243" s="1" t="s">
        <v>12165</v>
      </c>
      <c r="B6243" t="s">
        <v>12166</v>
      </c>
      <c r="C6243" t="s">
        <v>2808</v>
      </c>
    </row>
    <row r="6244" spans="1:3" x14ac:dyDescent="0.4">
      <c r="A6244" s="1" t="s">
        <v>12167</v>
      </c>
      <c r="B6244" t="s">
        <v>12168</v>
      </c>
      <c r="C6244" t="s">
        <v>2808</v>
      </c>
    </row>
    <row r="6245" spans="1:3" x14ac:dyDescent="0.4">
      <c r="A6245" s="1" t="s">
        <v>12169</v>
      </c>
      <c r="B6245" t="s">
        <v>12170</v>
      </c>
      <c r="C6245" t="s">
        <v>2808</v>
      </c>
    </row>
    <row r="6246" spans="1:3" x14ac:dyDescent="0.4">
      <c r="A6246" s="1" t="s">
        <v>12171</v>
      </c>
      <c r="B6246" t="s">
        <v>12172</v>
      </c>
      <c r="C6246" t="s">
        <v>2808</v>
      </c>
    </row>
    <row r="6247" spans="1:3" x14ac:dyDescent="0.4">
      <c r="A6247" s="1" t="s">
        <v>12173</v>
      </c>
      <c r="B6247" t="s">
        <v>12174</v>
      </c>
      <c r="C6247" t="s">
        <v>2808</v>
      </c>
    </row>
    <row r="6248" spans="1:3" x14ac:dyDescent="0.4">
      <c r="A6248" s="1" t="s">
        <v>12175</v>
      </c>
      <c r="B6248" t="s">
        <v>12176</v>
      </c>
      <c r="C6248" t="s">
        <v>2808</v>
      </c>
    </row>
    <row r="6249" spans="1:3" x14ac:dyDescent="0.4">
      <c r="A6249" s="1" t="s">
        <v>12177</v>
      </c>
      <c r="B6249" t="s">
        <v>12178</v>
      </c>
      <c r="C6249" t="s">
        <v>2808</v>
      </c>
    </row>
    <row r="6250" spans="1:3" x14ac:dyDescent="0.4">
      <c r="A6250" s="1" t="s">
        <v>12179</v>
      </c>
      <c r="B6250" t="s">
        <v>12180</v>
      </c>
      <c r="C6250" t="s">
        <v>2808</v>
      </c>
    </row>
    <row r="6251" spans="1:3" x14ac:dyDescent="0.4">
      <c r="A6251" s="1" t="s">
        <v>12181</v>
      </c>
      <c r="B6251" t="s">
        <v>12182</v>
      </c>
      <c r="C6251" t="s">
        <v>2808</v>
      </c>
    </row>
    <row r="6252" spans="1:3" x14ac:dyDescent="0.4">
      <c r="A6252" s="1" t="s">
        <v>12183</v>
      </c>
      <c r="B6252" t="s">
        <v>12184</v>
      </c>
      <c r="C6252" t="s">
        <v>2808</v>
      </c>
    </row>
    <row r="6253" spans="1:3" x14ac:dyDescent="0.4">
      <c r="A6253" s="1" t="s">
        <v>12185</v>
      </c>
      <c r="B6253" t="s">
        <v>12186</v>
      </c>
      <c r="C6253" t="s">
        <v>2808</v>
      </c>
    </row>
    <row r="6254" spans="1:3" x14ac:dyDescent="0.4">
      <c r="A6254" s="1" t="s">
        <v>12187</v>
      </c>
      <c r="B6254" t="s">
        <v>12188</v>
      </c>
      <c r="C6254" t="s">
        <v>2808</v>
      </c>
    </row>
    <row r="6255" spans="1:3" x14ac:dyDescent="0.4">
      <c r="A6255" s="1" t="s">
        <v>12189</v>
      </c>
      <c r="B6255" t="s">
        <v>12190</v>
      </c>
      <c r="C6255" t="s">
        <v>2808</v>
      </c>
    </row>
    <row r="6256" spans="1:3" x14ac:dyDescent="0.4">
      <c r="A6256" s="1" t="s">
        <v>12191</v>
      </c>
      <c r="B6256" t="s">
        <v>12192</v>
      </c>
      <c r="C6256" t="s">
        <v>2808</v>
      </c>
    </row>
    <row r="6257" spans="1:3" x14ac:dyDescent="0.4">
      <c r="A6257" s="1" t="s">
        <v>12193</v>
      </c>
      <c r="B6257" t="s">
        <v>12194</v>
      </c>
      <c r="C6257" t="s">
        <v>2808</v>
      </c>
    </row>
    <row r="6258" spans="1:3" x14ac:dyDescent="0.4">
      <c r="A6258" s="1" t="s">
        <v>12195</v>
      </c>
      <c r="B6258" t="s">
        <v>12196</v>
      </c>
      <c r="C6258" t="s">
        <v>2808</v>
      </c>
    </row>
    <row r="6259" spans="1:3" x14ac:dyDescent="0.4">
      <c r="A6259" s="1" t="s">
        <v>12197</v>
      </c>
      <c r="B6259" t="s">
        <v>12198</v>
      </c>
      <c r="C6259" t="s">
        <v>2808</v>
      </c>
    </row>
    <row r="6260" spans="1:3" x14ac:dyDescent="0.4">
      <c r="A6260" s="1" t="s">
        <v>12199</v>
      </c>
      <c r="B6260" t="s">
        <v>12200</v>
      </c>
      <c r="C6260" t="s">
        <v>2808</v>
      </c>
    </row>
    <row r="6261" spans="1:3" x14ac:dyDescent="0.4">
      <c r="A6261" s="1" t="s">
        <v>12201</v>
      </c>
      <c r="B6261" t="s">
        <v>12202</v>
      </c>
      <c r="C6261" t="s">
        <v>2808</v>
      </c>
    </row>
    <row r="6262" spans="1:3" x14ac:dyDescent="0.4">
      <c r="A6262" s="1" t="s">
        <v>12203</v>
      </c>
      <c r="B6262" t="s">
        <v>12204</v>
      </c>
      <c r="C6262" t="s">
        <v>2808</v>
      </c>
    </row>
    <row r="6263" spans="1:3" x14ac:dyDescent="0.4">
      <c r="A6263" s="1" t="s">
        <v>12205</v>
      </c>
      <c r="B6263" t="s">
        <v>12206</v>
      </c>
      <c r="C6263" t="s">
        <v>2808</v>
      </c>
    </row>
    <row r="6264" spans="1:3" x14ac:dyDescent="0.4">
      <c r="A6264" s="1" t="s">
        <v>12207</v>
      </c>
      <c r="B6264" t="s">
        <v>12208</v>
      </c>
      <c r="C6264" t="s">
        <v>2808</v>
      </c>
    </row>
    <row r="6265" spans="1:3" x14ac:dyDescent="0.4">
      <c r="A6265" s="1" t="s">
        <v>12209</v>
      </c>
      <c r="B6265" t="s">
        <v>12210</v>
      </c>
      <c r="C6265" t="s">
        <v>2808</v>
      </c>
    </row>
    <row r="6266" spans="1:3" x14ac:dyDescent="0.4">
      <c r="A6266" s="1" t="s">
        <v>12211</v>
      </c>
      <c r="B6266" t="s">
        <v>12212</v>
      </c>
      <c r="C6266" t="s">
        <v>2808</v>
      </c>
    </row>
    <row r="6267" spans="1:3" x14ac:dyDescent="0.4">
      <c r="A6267" s="1" t="s">
        <v>12213</v>
      </c>
      <c r="B6267" t="s">
        <v>12214</v>
      </c>
      <c r="C6267" t="s">
        <v>2808</v>
      </c>
    </row>
    <row r="6268" spans="1:3" x14ac:dyDescent="0.4">
      <c r="A6268" s="1" t="s">
        <v>12215</v>
      </c>
      <c r="B6268" t="s">
        <v>12216</v>
      </c>
      <c r="C6268" t="s">
        <v>2808</v>
      </c>
    </row>
    <row r="6269" spans="1:3" x14ac:dyDescent="0.4">
      <c r="A6269" s="1" t="s">
        <v>12217</v>
      </c>
      <c r="B6269" t="s">
        <v>12218</v>
      </c>
      <c r="C6269" t="s">
        <v>2808</v>
      </c>
    </row>
    <row r="6270" spans="1:3" x14ac:dyDescent="0.4">
      <c r="A6270" s="1" t="s">
        <v>12219</v>
      </c>
      <c r="B6270" t="s">
        <v>12220</v>
      </c>
      <c r="C6270" t="s">
        <v>2808</v>
      </c>
    </row>
    <row r="6271" spans="1:3" x14ac:dyDescent="0.4">
      <c r="A6271" s="1" t="s">
        <v>12221</v>
      </c>
      <c r="B6271" t="s">
        <v>12222</v>
      </c>
      <c r="C6271" t="s">
        <v>2808</v>
      </c>
    </row>
    <row r="6272" spans="1:3" x14ac:dyDescent="0.4">
      <c r="A6272" s="1" t="s">
        <v>12223</v>
      </c>
      <c r="B6272" t="s">
        <v>12224</v>
      </c>
      <c r="C6272" t="s">
        <v>2808</v>
      </c>
    </row>
    <row r="6273" spans="1:3" x14ac:dyDescent="0.4">
      <c r="A6273" s="1" t="s">
        <v>12225</v>
      </c>
      <c r="B6273" t="s">
        <v>12226</v>
      </c>
      <c r="C6273" t="s">
        <v>2808</v>
      </c>
    </row>
    <row r="6274" spans="1:3" x14ac:dyDescent="0.4">
      <c r="A6274" s="1" t="s">
        <v>12227</v>
      </c>
      <c r="B6274" t="s">
        <v>12228</v>
      </c>
      <c r="C6274" t="s">
        <v>2808</v>
      </c>
    </row>
    <row r="6275" spans="1:3" x14ac:dyDescent="0.4">
      <c r="A6275" s="1" t="s">
        <v>12229</v>
      </c>
      <c r="B6275" t="s">
        <v>12230</v>
      </c>
      <c r="C6275" t="s">
        <v>2808</v>
      </c>
    </row>
    <row r="6276" spans="1:3" x14ac:dyDescent="0.4">
      <c r="A6276" s="1" t="s">
        <v>12231</v>
      </c>
      <c r="B6276" t="s">
        <v>12232</v>
      </c>
      <c r="C6276" t="s">
        <v>2808</v>
      </c>
    </row>
    <row r="6277" spans="1:3" x14ac:dyDescent="0.4">
      <c r="A6277" s="1" t="s">
        <v>12233</v>
      </c>
      <c r="B6277" t="s">
        <v>12234</v>
      </c>
      <c r="C6277" t="s">
        <v>2808</v>
      </c>
    </row>
    <row r="6278" spans="1:3" x14ac:dyDescent="0.4">
      <c r="A6278" s="1" t="s">
        <v>12235</v>
      </c>
      <c r="B6278" t="s">
        <v>12236</v>
      </c>
      <c r="C6278" t="s">
        <v>2808</v>
      </c>
    </row>
    <row r="6279" spans="1:3" x14ac:dyDescent="0.4">
      <c r="A6279" s="1" t="s">
        <v>12237</v>
      </c>
      <c r="B6279" t="s">
        <v>12238</v>
      </c>
      <c r="C6279" t="s">
        <v>2808</v>
      </c>
    </row>
    <row r="6280" spans="1:3" x14ac:dyDescent="0.4">
      <c r="A6280" s="1" t="s">
        <v>12239</v>
      </c>
      <c r="B6280" t="e">
        <f>-終息-ﾘｻｲｸﾙﾄﾅｰ DJ5-TSC-N</f>
        <v>#NAME?</v>
      </c>
      <c r="C6280" t="s">
        <v>2808</v>
      </c>
    </row>
    <row r="6281" spans="1:3" x14ac:dyDescent="0.4">
      <c r="A6281" s="1" t="s">
        <v>12240</v>
      </c>
      <c r="B6281" t="e">
        <f>-終息-ﾘｻｲｸﾙﾄﾅｰ DJ5-TSM-N</f>
        <v>#NAME?</v>
      </c>
      <c r="C6281" t="s">
        <v>2808</v>
      </c>
    </row>
    <row r="6282" spans="1:3" x14ac:dyDescent="0.4">
      <c r="A6282" s="1" t="s">
        <v>12241</v>
      </c>
      <c r="B6282" t="e">
        <f>-終息-ﾘｻｲｸﾙﾄﾅｰ DJ5-TSK-N ﾌﾞﾗｯｸ</f>
        <v>#NAME?</v>
      </c>
      <c r="C6282" t="s">
        <v>2808</v>
      </c>
    </row>
    <row r="6283" spans="1:3" x14ac:dyDescent="0.4">
      <c r="A6283" s="1" t="s">
        <v>12242</v>
      </c>
      <c r="B6283" t="s">
        <v>12243</v>
      </c>
      <c r="C6283" t="s">
        <v>2808</v>
      </c>
    </row>
    <row r="6284" spans="1:3" x14ac:dyDescent="0.4">
      <c r="A6284" s="1" t="s">
        <v>12244</v>
      </c>
      <c r="B6284" t="s">
        <v>12245</v>
      </c>
      <c r="C6284" t="s">
        <v>2808</v>
      </c>
    </row>
    <row r="6285" spans="1:3" x14ac:dyDescent="0.4">
      <c r="A6285" s="1" t="s">
        <v>12246</v>
      </c>
      <c r="B6285" t="s">
        <v>12247</v>
      </c>
      <c r="C6285" t="s">
        <v>2808</v>
      </c>
    </row>
    <row r="6286" spans="1:3" x14ac:dyDescent="0.4">
      <c r="A6286" s="1" t="s">
        <v>12248</v>
      </c>
      <c r="B6286" t="s">
        <v>12249</v>
      </c>
      <c r="C6286" t="s">
        <v>2808</v>
      </c>
    </row>
    <row r="6287" spans="1:3" x14ac:dyDescent="0.4">
      <c r="A6287" s="1" t="s">
        <v>12250</v>
      </c>
      <c r="B6287" t="s">
        <v>12251</v>
      </c>
      <c r="C6287" t="s">
        <v>2808</v>
      </c>
    </row>
    <row r="6288" spans="1:3" x14ac:dyDescent="0.4">
      <c r="A6288" s="1" t="s">
        <v>12252</v>
      </c>
      <c r="B6288" t="s">
        <v>12253</v>
      </c>
      <c r="C6288" t="s">
        <v>2808</v>
      </c>
    </row>
    <row r="6289" spans="1:3" x14ac:dyDescent="0.4">
      <c r="A6289" s="1" t="s">
        <v>12254</v>
      </c>
      <c r="B6289" t="s">
        <v>12255</v>
      </c>
      <c r="C6289" t="s">
        <v>2808</v>
      </c>
    </row>
    <row r="6290" spans="1:3" x14ac:dyDescent="0.4">
      <c r="A6290" s="1" t="s">
        <v>12256</v>
      </c>
      <c r="B6290" t="s">
        <v>12257</v>
      </c>
      <c r="C6290" t="s">
        <v>2808</v>
      </c>
    </row>
    <row r="6291" spans="1:3" x14ac:dyDescent="0.4">
      <c r="A6291" s="1" t="s">
        <v>12258</v>
      </c>
      <c r="B6291" t="s">
        <v>12259</v>
      </c>
      <c r="C6291" t="s">
        <v>2808</v>
      </c>
    </row>
    <row r="6292" spans="1:3" x14ac:dyDescent="0.4">
      <c r="A6292" s="1" t="s">
        <v>12260</v>
      </c>
      <c r="B6292" t="s">
        <v>12261</v>
      </c>
      <c r="C6292" t="s">
        <v>2808</v>
      </c>
    </row>
    <row r="6293" spans="1:3" x14ac:dyDescent="0.4">
      <c r="A6293" s="1" t="s">
        <v>12262</v>
      </c>
      <c r="B6293" t="s">
        <v>12263</v>
      </c>
      <c r="C6293" t="s">
        <v>2808</v>
      </c>
    </row>
    <row r="6294" spans="1:3" x14ac:dyDescent="0.4">
      <c r="A6294" s="1" t="s">
        <v>12264</v>
      </c>
      <c r="B6294" t="s">
        <v>12265</v>
      </c>
      <c r="C6294" t="s">
        <v>2808</v>
      </c>
    </row>
    <row r="6295" spans="1:3" x14ac:dyDescent="0.4">
      <c r="A6295" s="1" t="s">
        <v>12266</v>
      </c>
      <c r="B6295" t="s">
        <v>12267</v>
      </c>
      <c r="C6295" t="s">
        <v>2808</v>
      </c>
    </row>
    <row r="6296" spans="1:3" x14ac:dyDescent="0.4">
      <c r="A6296" s="1" t="s">
        <v>12268</v>
      </c>
      <c r="B6296" t="s">
        <v>12269</v>
      </c>
      <c r="C6296" t="s">
        <v>2808</v>
      </c>
    </row>
    <row r="6297" spans="1:3" x14ac:dyDescent="0.4">
      <c r="A6297" s="1" t="s">
        <v>12270</v>
      </c>
      <c r="B6297" t="s">
        <v>12271</v>
      </c>
      <c r="C6297" t="s">
        <v>2808</v>
      </c>
    </row>
    <row r="6298" spans="1:3" x14ac:dyDescent="0.4">
      <c r="A6298" s="1" t="s">
        <v>12272</v>
      </c>
      <c r="B6298" t="s">
        <v>12273</v>
      </c>
      <c r="C6298" t="s">
        <v>2808</v>
      </c>
    </row>
    <row r="6299" spans="1:3" x14ac:dyDescent="0.4">
      <c r="A6299" s="1" t="s">
        <v>12274</v>
      </c>
      <c r="B6299" t="s">
        <v>12275</v>
      </c>
      <c r="C6299" t="s">
        <v>2808</v>
      </c>
    </row>
    <row r="6300" spans="1:3" x14ac:dyDescent="0.4">
      <c r="A6300" s="1" t="s">
        <v>12276</v>
      </c>
      <c r="B6300" t="s">
        <v>12277</v>
      </c>
      <c r="C6300" t="s">
        <v>2808</v>
      </c>
    </row>
    <row r="6301" spans="1:3" x14ac:dyDescent="0.4">
      <c r="A6301" s="1" t="s">
        <v>12278</v>
      </c>
      <c r="B6301" t="s">
        <v>12279</v>
      </c>
      <c r="C6301" t="s">
        <v>2808</v>
      </c>
    </row>
    <row r="6302" spans="1:3" x14ac:dyDescent="0.4">
      <c r="A6302" s="1" t="s">
        <v>12280</v>
      </c>
      <c r="B6302" t="s">
        <v>12281</v>
      </c>
      <c r="C6302" t="s">
        <v>2808</v>
      </c>
    </row>
    <row r="6303" spans="1:3" x14ac:dyDescent="0.4">
      <c r="A6303" s="1" t="s">
        <v>12282</v>
      </c>
      <c r="B6303" t="s">
        <v>12283</v>
      </c>
      <c r="C6303" t="s">
        <v>2808</v>
      </c>
    </row>
    <row r="6304" spans="1:3" x14ac:dyDescent="0.4">
      <c r="A6304" s="1" t="s">
        <v>12284</v>
      </c>
      <c r="B6304" t="s">
        <v>12285</v>
      </c>
      <c r="C6304" t="s">
        <v>2808</v>
      </c>
    </row>
    <row r="6305" spans="1:3" x14ac:dyDescent="0.4">
      <c r="A6305" s="1" t="s">
        <v>12286</v>
      </c>
      <c r="B6305" t="s">
        <v>12287</v>
      </c>
      <c r="C6305" t="s">
        <v>2808</v>
      </c>
    </row>
    <row r="6306" spans="1:3" x14ac:dyDescent="0.4">
      <c r="A6306" s="1" t="s">
        <v>12288</v>
      </c>
      <c r="B6306" t="s">
        <v>12289</v>
      </c>
      <c r="C6306" t="s">
        <v>2808</v>
      </c>
    </row>
    <row r="6307" spans="1:3" x14ac:dyDescent="0.4">
      <c r="A6307" s="1" t="s">
        <v>12290</v>
      </c>
      <c r="B6307" t="s">
        <v>12291</v>
      </c>
      <c r="C6307" t="s">
        <v>2808</v>
      </c>
    </row>
    <row r="6308" spans="1:3" x14ac:dyDescent="0.4">
      <c r="A6308" s="1" t="s">
        <v>12292</v>
      </c>
      <c r="B6308" t="s">
        <v>12293</v>
      </c>
      <c r="C6308" t="s">
        <v>2808</v>
      </c>
    </row>
    <row r="6309" spans="1:3" x14ac:dyDescent="0.4">
      <c r="A6309" s="1" t="s">
        <v>12294</v>
      </c>
      <c r="B6309" t="s">
        <v>12295</v>
      </c>
      <c r="C6309" t="s">
        <v>2808</v>
      </c>
    </row>
    <row r="6310" spans="1:3" x14ac:dyDescent="0.4">
      <c r="A6310" s="1" t="s">
        <v>12296</v>
      </c>
      <c r="B6310" t="s">
        <v>12297</v>
      </c>
      <c r="C6310" t="s">
        <v>2808</v>
      </c>
    </row>
    <row r="6311" spans="1:3" x14ac:dyDescent="0.4">
      <c r="A6311" s="1" t="s">
        <v>12298</v>
      </c>
      <c r="B6311" t="s">
        <v>12299</v>
      </c>
      <c r="C6311" t="s">
        <v>2808</v>
      </c>
    </row>
    <row r="6312" spans="1:3" x14ac:dyDescent="0.4">
      <c r="A6312" s="1" t="s">
        <v>12300</v>
      </c>
      <c r="B6312" t="s">
        <v>12301</v>
      </c>
      <c r="C6312" t="s">
        <v>144</v>
      </c>
    </row>
    <row r="6313" spans="1:3" x14ac:dyDescent="0.4">
      <c r="A6313" s="1" t="s">
        <v>12302</v>
      </c>
      <c r="B6313" t="s">
        <v>12303</v>
      </c>
      <c r="C6313" t="s">
        <v>2808</v>
      </c>
    </row>
    <row r="6314" spans="1:3" x14ac:dyDescent="0.4">
      <c r="A6314" s="1" t="s">
        <v>12304</v>
      </c>
      <c r="B6314" t="s">
        <v>12305</v>
      </c>
      <c r="C6314" t="s">
        <v>2808</v>
      </c>
    </row>
    <row r="6315" spans="1:3" x14ac:dyDescent="0.4">
      <c r="A6315" s="1" t="s">
        <v>12306</v>
      </c>
      <c r="B6315" t="s">
        <v>12307</v>
      </c>
      <c r="C6315" t="s">
        <v>2808</v>
      </c>
    </row>
    <row r="6316" spans="1:3" x14ac:dyDescent="0.4">
      <c r="A6316" s="1" t="s">
        <v>12308</v>
      </c>
      <c r="B6316" t="s">
        <v>12309</v>
      </c>
      <c r="C6316" t="s">
        <v>2808</v>
      </c>
    </row>
    <row r="6317" spans="1:3" x14ac:dyDescent="0.4">
      <c r="A6317" s="1" t="s">
        <v>12310</v>
      </c>
      <c r="B6317" t="s">
        <v>12311</v>
      </c>
      <c r="C6317" t="s">
        <v>2808</v>
      </c>
    </row>
    <row r="6318" spans="1:3" x14ac:dyDescent="0.4">
      <c r="A6318" s="1" t="s">
        <v>12312</v>
      </c>
      <c r="B6318" t="s">
        <v>12313</v>
      </c>
      <c r="C6318" t="s">
        <v>2808</v>
      </c>
    </row>
    <row r="6319" spans="1:3" x14ac:dyDescent="0.4">
      <c r="A6319" s="1" t="s">
        <v>12314</v>
      </c>
      <c r="B6319" t="s">
        <v>12315</v>
      </c>
      <c r="C6319" t="s">
        <v>2808</v>
      </c>
    </row>
    <row r="6320" spans="1:3" x14ac:dyDescent="0.4">
      <c r="A6320" s="1" t="s">
        <v>12316</v>
      </c>
      <c r="B6320" t="s">
        <v>12317</v>
      </c>
      <c r="C6320" t="s">
        <v>2808</v>
      </c>
    </row>
    <row r="6321" spans="1:3" x14ac:dyDescent="0.4">
      <c r="A6321" s="1" t="s">
        <v>12318</v>
      </c>
      <c r="B6321" t="s">
        <v>12319</v>
      </c>
      <c r="C6321" t="s">
        <v>2808</v>
      </c>
    </row>
    <row r="6322" spans="1:3" x14ac:dyDescent="0.4">
      <c r="A6322" s="1" t="s">
        <v>12320</v>
      </c>
      <c r="B6322" t="s">
        <v>12321</v>
      </c>
      <c r="C6322" t="s">
        <v>2808</v>
      </c>
    </row>
    <row r="6323" spans="1:3" x14ac:dyDescent="0.4">
      <c r="A6323" s="1" t="s">
        <v>12322</v>
      </c>
      <c r="B6323" t="s">
        <v>12323</v>
      </c>
      <c r="C6323" t="s">
        <v>2808</v>
      </c>
    </row>
    <row r="6324" spans="1:3" x14ac:dyDescent="0.4">
      <c r="A6324" s="1" t="s">
        <v>12324</v>
      </c>
      <c r="B6324" t="s">
        <v>12325</v>
      </c>
      <c r="C6324" t="s">
        <v>2808</v>
      </c>
    </row>
    <row r="6325" spans="1:3" x14ac:dyDescent="0.4">
      <c r="A6325" s="1" t="s">
        <v>12326</v>
      </c>
      <c r="B6325" t="s">
        <v>12327</v>
      </c>
      <c r="C6325" t="s">
        <v>144</v>
      </c>
    </row>
    <row r="6326" spans="1:3" x14ac:dyDescent="0.4">
      <c r="A6326" s="1" t="s">
        <v>12328</v>
      </c>
      <c r="B6326" t="s">
        <v>12329</v>
      </c>
      <c r="C6326" t="s">
        <v>2808</v>
      </c>
    </row>
    <row r="6327" spans="1:3" x14ac:dyDescent="0.4">
      <c r="A6327" s="1" t="s">
        <v>12330</v>
      </c>
      <c r="B6327" t="s">
        <v>12331</v>
      </c>
      <c r="C6327" t="s">
        <v>2808</v>
      </c>
    </row>
    <row r="6328" spans="1:3" x14ac:dyDescent="0.4">
      <c r="A6328" s="1" t="s">
        <v>12332</v>
      </c>
      <c r="B6328" t="s">
        <v>12333</v>
      </c>
      <c r="C6328" t="s">
        <v>2808</v>
      </c>
    </row>
    <row r="6329" spans="1:3" x14ac:dyDescent="0.4">
      <c r="A6329" s="1" t="s">
        <v>12334</v>
      </c>
      <c r="B6329" t="s">
        <v>12335</v>
      </c>
      <c r="C6329" t="s">
        <v>2808</v>
      </c>
    </row>
    <row r="6330" spans="1:3" x14ac:dyDescent="0.4">
      <c r="A6330" s="1" t="s">
        <v>12336</v>
      </c>
      <c r="B6330" t="s">
        <v>12337</v>
      </c>
      <c r="C6330" t="s">
        <v>2808</v>
      </c>
    </row>
    <row r="6331" spans="1:3" x14ac:dyDescent="0.4">
      <c r="A6331" s="1" t="s">
        <v>12338</v>
      </c>
      <c r="B6331" t="s">
        <v>12339</v>
      </c>
      <c r="C6331" t="s">
        <v>2808</v>
      </c>
    </row>
    <row r="6332" spans="1:3" x14ac:dyDescent="0.4">
      <c r="A6332" s="1" t="s">
        <v>12340</v>
      </c>
      <c r="B6332" t="s">
        <v>12341</v>
      </c>
      <c r="C6332" t="s">
        <v>2808</v>
      </c>
    </row>
    <row r="6333" spans="1:3" x14ac:dyDescent="0.4">
      <c r="A6333" s="1" t="s">
        <v>12342</v>
      </c>
      <c r="B6333" t="s">
        <v>12343</v>
      </c>
      <c r="C6333" t="s">
        <v>2808</v>
      </c>
    </row>
    <row r="6334" spans="1:3" x14ac:dyDescent="0.4">
      <c r="A6334" s="1" t="s">
        <v>12344</v>
      </c>
      <c r="B6334" t="s">
        <v>12345</v>
      </c>
      <c r="C6334" t="s">
        <v>2808</v>
      </c>
    </row>
    <row r="6335" spans="1:3" x14ac:dyDescent="0.4">
      <c r="A6335" s="1" t="s">
        <v>12346</v>
      </c>
      <c r="B6335" t="s">
        <v>12347</v>
      </c>
      <c r="C6335" t="s">
        <v>2808</v>
      </c>
    </row>
    <row r="6336" spans="1:3" x14ac:dyDescent="0.4">
      <c r="A6336" s="1" t="s">
        <v>12348</v>
      </c>
      <c r="B6336" t="s">
        <v>12349</v>
      </c>
      <c r="C6336" t="s">
        <v>2808</v>
      </c>
    </row>
    <row r="6337" spans="1:3" x14ac:dyDescent="0.4">
      <c r="A6337" s="1" t="s">
        <v>12350</v>
      </c>
      <c r="B6337" t="s">
        <v>12351</v>
      </c>
      <c r="C6337" t="s">
        <v>2808</v>
      </c>
    </row>
    <row r="6338" spans="1:3" x14ac:dyDescent="0.4">
      <c r="A6338" s="1" t="s">
        <v>12352</v>
      </c>
      <c r="B6338" t="s">
        <v>12353</v>
      </c>
      <c r="C6338" t="s">
        <v>2808</v>
      </c>
    </row>
    <row r="6339" spans="1:3" x14ac:dyDescent="0.4">
      <c r="A6339" s="1" t="s">
        <v>12354</v>
      </c>
      <c r="B6339" t="s">
        <v>12355</v>
      </c>
      <c r="C6339" t="s">
        <v>2808</v>
      </c>
    </row>
    <row r="6340" spans="1:3" x14ac:dyDescent="0.4">
      <c r="A6340" s="1" t="s">
        <v>12356</v>
      </c>
      <c r="B6340" t="s">
        <v>12357</v>
      </c>
      <c r="C6340" t="s">
        <v>2808</v>
      </c>
    </row>
    <row r="6341" spans="1:3" x14ac:dyDescent="0.4">
      <c r="A6341" s="1" t="s">
        <v>12358</v>
      </c>
      <c r="B6341" t="s">
        <v>12359</v>
      </c>
      <c r="C6341" t="s">
        <v>2808</v>
      </c>
    </row>
    <row r="6342" spans="1:3" x14ac:dyDescent="0.4">
      <c r="A6342" s="1" t="s">
        <v>12360</v>
      </c>
      <c r="B6342" t="s">
        <v>12361</v>
      </c>
      <c r="C6342" t="s">
        <v>2808</v>
      </c>
    </row>
    <row r="6343" spans="1:3" x14ac:dyDescent="0.4">
      <c r="A6343" s="1" t="s">
        <v>12362</v>
      </c>
      <c r="B6343" t="s">
        <v>12363</v>
      </c>
      <c r="C6343" t="s">
        <v>2808</v>
      </c>
    </row>
    <row r="6344" spans="1:3" x14ac:dyDescent="0.4">
      <c r="A6344" s="1" t="s">
        <v>12364</v>
      </c>
      <c r="B6344" t="s">
        <v>12365</v>
      </c>
      <c r="C6344" t="s">
        <v>2808</v>
      </c>
    </row>
    <row r="6345" spans="1:3" x14ac:dyDescent="0.4">
      <c r="A6345" s="1" t="s">
        <v>12366</v>
      </c>
      <c r="B6345" t="s">
        <v>12367</v>
      </c>
      <c r="C6345" t="s">
        <v>2808</v>
      </c>
    </row>
    <row r="6346" spans="1:3" x14ac:dyDescent="0.4">
      <c r="A6346" s="1" t="s">
        <v>12368</v>
      </c>
      <c r="B6346" t="s">
        <v>12327</v>
      </c>
      <c r="C6346" t="s">
        <v>144</v>
      </c>
    </row>
    <row r="6347" spans="1:3" x14ac:dyDescent="0.4">
      <c r="A6347" s="1" t="s">
        <v>12369</v>
      </c>
      <c r="B6347" t="s">
        <v>12370</v>
      </c>
      <c r="C6347" t="s">
        <v>2808</v>
      </c>
    </row>
    <row r="6348" spans="1:3" x14ac:dyDescent="0.4">
      <c r="A6348" s="1" t="s">
        <v>12371</v>
      </c>
      <c r="B6348" t="s">
        <v>12372</v>
      </c>
      <c r="C6348" t="s">
        <v>2808</v>
      </c>
    </row>
    <row r="6349" spans="1:3" x14ac:dyDescent="0.4">
      <c r="A6349" s="1" t="s">
        <v>12373</v>
      </c>
      <c r="B6349" t="s">
        <v>12374</v>
      </c>
      <c r="C6349" t="s">
        <v>2808</v>
      </c>
    </row>
    <row r="6350" spans="1:3" x14ac:dyDescent="0.4">
      <c r="A6350" s="1" t="s">
        <v>12375</v>
      </c>
      <c r="B6350" t="s">
        <v>12376</v>
      </c>
      <c r="C6350" t="s">
        <v>2808</v>
      </c>
    </row>
    <row r="6351" spans="1:3" x14ac:dyDescent="0.4">
      <c r="A6351" s="1" t="s">
        <v>12377</v>
      </c>
      <c r="B6351" t="s">
        <v>12378</v>
      </c>
      <c r="C6351" t="s">
        <v>2808</v>
      </c>
    </row>
    <row r="6352" spans="1:3" x14ac:dyDescent="0.4">
      <c r="A6352" s="1" t="s">
        <v>12379</v>
      </c>
      <c r="B6352" t="s">
        <v>12380</v>
      </c>
      <c r="C6352" t="s">
        <v>2808</v>
      </c>
    </row>
    <row r="6353" spans="1:3" x14ac:dyDescent="0.4">
      <c r="A6353" s="1" t="s">
        <v>12381</v>
      </c>
      <c r="B6353" t="s">
        <v>12382</v>
      </c>
      <c r="C6353" t="s">
        <v>2808</v>
      </c>
    </row>
    <row r="6354" spans="1:3" x14ac:dyDescent="0.4">
      <c r="A6354" s="1" t="s">
        <v>12383</v>
      </c>
      <c r="B6354" t="s">
        <v>12384</v>
      </c>
      <c r="C6354" t="s">
        <v>2808</v>
      </c>
    </row>
    <row r="6355" spans="1:3" x14ac:dyDescent="0.4">
      <c r="A6355" s="1" t="s">
        <v>12385</v>
      </c>
      <c r="B6355" t="s">
        <v>12386</v>
      </c>
      <c r="C6355" t="s">
        <v>2808</v>
      </c>
    </row>
    <row r="6356" spans="1:3" x14ac:dyDescent="0.4">
      <c r="A6356" s="1" t="s">
        <v>12387</v>
      </c>
      <c r="B6356" t="s">
        <v>12388</v>
      </c>
      <c r="C6356" t="s">
        <v>2808</v>
      </c>
    </row>
    <row r="6357" spans="1:3" x14ac:dyDescent="0.4">
      <c r="A6357" s="1" t="s">
        <v>12389</v>
      </c>
      <c r="B6357" t="s">
        <v>12390</v>
      </c>
      <c r="C6357" t="s">
        <v>2808</v>
      </c>
    </row>
    <row r="6358" spans="1:3" x14ac:dyDescent="0.4">
      <c r="A6358" s="1" t="s">
        <v>12391</v>
      </c>
      <c r="B6358" t="s">
        <v>12392</v>
      </c>
      <c r="C6358" t="s">
        <v>2808</v>
      </c>
    </row>
    <row r="6359" spans="1:3" x14ac:dyDescent="0.4">
      <c r="A6359" s="1" t="s">
        <v>12393</v>
      </c>
      <c r="B6359" t="s">
        <v>12394</v>
      </c>
      <c r="C6359" t="s">
        <v>2808</v>
      </c>
    </row>
    <row r="6360" spans="1:3" x14ac:dyDescent="0.4">
      <c r="A6360" s="1" t="s">
        <v>12395</v>
      </c>
      <c r="B6360" t="s">
        <v>12396</v>
      </c>
      <c r="C6360" t="s">
        <v>2808</v>
      </c>
    </row>
    <row r="6361" spans="1:3" x14ac:dyDescent="0.4">
      <c r="A6361" s="1" t="s">
        <v>12397</v>
      </c>
      <c r="B6361" t="s">
        <v>12398</v>
      </c>
      <c r="C6361" t="s">
        <v>2808</v>
      </c>
    </row>
    <row r="6362" spans="1:3" x14ac:dyDescent="0.4">
      <c r="A6362" s="1" t="s">
        <v>12399</v>
      </c>
      <c r="B6362" t="s">
        <v>12400</v>
      </c>
      <c r="C6362" t="s">
        <v>2808</v>
      </c>
    </row>
    <row r="6363" spans="1:3" x14ac:dyDescent="0.4">
      <c r="A6363" s="1" t="s">
        <v>12401</v>
      </c>
      <c r="B6363" t="s">
        <v>12402</v>
      </c>
      <c r="C6363" t="s">
        <v>2808</v>
      </c>
    </row>
    <row r="6364" spans="1:3" x14ac:dyDescent="0.4">
      <c r="A6364" s="1" t="s">
        <v>12403</v>
      </c>
      <c r="B6364" t="s">
        <v>12404</v>
      </c>
      <c r="C6364" t="s">
        <v>2808</v>
      </c>
    </row>
    <row r="6365" spans="1:3" x14ac:dyDescent="0.4">
      <c r="A6365" s="1" t="s">
        <v>12405</v>
      </c>
      <c r="B6365" t="s">
        <v>12406</v>
      </c>
      <c r="C6365" t="s">
        <v>2808</v>
      </c>
    </row>
    <row r="6366" spans="1:3" x14ac:dyDescent="0.4">
      <c r="A6366" s="1" t="s">
        <v>12407</v>
      </c>
      <c r="B6366" t="s">
        <v>12408</v>
      </c>
      <c r="C6366" t="s">
        <v>2808</v>
      </c>
    </row>
    <row r="6367" spans="1:3" x14ac:dyDescent="0.4">
      <c r="A6367" s="1" t="s">
        <v>12409</v>
      </c>
      <c r="B6367" t="s">
        <v>12410</v>
      </c>
      <c r="C6367" t="s">
        <v>144</v>
      </c>
    </row>
    <row r="6368" spans="1:3" x14ac:dyDescent="0.4">
      <c r="A6368" s="1" t="s">
        <v>12411</v>
      </c>
      <c r="B6368" t="s">
        <v>12412</v>
      </c>
      <c r="C6368" t="s">
        <v>2808</v>
      </c>
    </row>
    <row r="6369" spans="1:4" x14ac:dyDescent="0.4">
      <c r="A6369" s="1" t="s">
        <v>12413</v>
      </c>
      <c r="B6369" t="s">
        <v>12414</v>
      </c>
      <c r="C6369" t="s">
        <v>2808</v>
      </c>
      <c r="D6369">
        <v>16800</v>
      </c>
    </row>
    <row r="6370" spans="1:4" x14ac:dyDescent="0.4">
      <c r="A6370" s="1" t="s">
        <v>12415</v>
      </c>
      <c r="B6370" t="s">
        <v>12416</v>
      </c>
      <c r="C6370" t="s">
        <v>2808</v>
      </c>
      <c r="D6370">
        <v>16800</v>
      </c>
    </row>
    <row r="6371" spans="1:4" x14ac:dyDescent="0.4">
      <c r="A6371" s="1" t="s">
        <v>12417</v>
      </c>
      <c r="B6371" t="s">
        <v>12418</v>
      </c>
      <c r="C6371" t="s">
        <v>2808</v>
      </c>
      <c r="D6371">
        <v>16800</v>
      </c>
    </row>
    <row r="6372" spans="1:4" x14ac:dyDescent="0.4">
      <c r="A6372" s="1" t="s">
        <v>12419</v>
      </c>
      <c r="B6372" t="s">
        <v>12420</v>
      </c>
      <c r="C6372" t="s">
        <v>2808</v>
      </c>
      <c r="D6372">
        <v>16800</v>
      </c>
    </row>
    <row r="6373" spans="1:4" x14ac:dyDescent="0.4">
      <c r="A6373" s="1" t="s">
        <v>12421</v>
      </c>
      <c r="B6373" t="s">
        <v>12422</v>
      </c>
      <c r="C6373" t="s">
        <v>2808</v>
      </c>
      <c r="D6373">
        <v>16800</v>
      </c>
    </row>
    <row r="6374" spans="1:4" x14ac:dyDescent="0.4">
      <c r="A6374" s="1" t="s">
        <v>12423</v>
      </c>
      <c r="B6374" t="s">
        <v>12424</v>
      </c>
      <c r="C6374" t="s">
        <v>2808</v>
      </c>
      <c r="D6374">
        <v>16800</v>
      </c>
    </row>
    <row r="6375" spans="1:4" x14ac:dyDescent="0.4">
      <c r="A6375" s="1" t="s">
        <v>12425</v>
      </c>
      <c r="B6375" t="s">
        <v>12426</v>
      </c>
      <c r="C6375" t="s">
        <v>2808</v>
      </c>
      <c r="D6375">
        <v>16800</v>
      </c>
    </row>
    <row r="6376" spans="1:4" x14ac:dyDescent="0.4">
      <c r="A6376" s="1" t="s">
        <v>12427</v>
      </c>
      <c r="B6376" t="s">
        <v>12428</v>
      </c>
      <c r="C6376" t="s">
        <v>2808</v>
      </c>
      <c r="D6376">
        <v>16800</v>
      </c>
    </row>
    <row r="6377" spans="1:4" x14ac:dyDescent="0.4">
      <c r="A6377" s="1" t="s">
        <v>12429</v>
      </c>
      <c r="B6377" t="s">
        <v>12430</v>
      </c>
      <c r="C6377" t="s">
        <v>2808</v>
      </c>
      <c r="D6377">
        <v>16800</v>
      </c>
    </row>
    <row r="6378" spans="1:4" x14ac:dyDescent="0.4">
      <c r="A6378" s="1" t="s">
        <v>12431</v>
      </c>
      <c r="B6378" t="s">
        <v>12432</v>
      </c>
      <c r="C6378" t="s">
        <v>2808</v>
      </c>
    </row>
    <row r="6379" spans="1:4" x14ac:dyDescent="0.4">
      <c r="A6379" s="1" t="s">
        <v>12433</v>
      </c>
      <c r="B6379" t="s">
        <v>12434</v>
      </c>
      <c r="C6379" t="s">
        <v>2808</v>
      </c>
      <c r="D6379">
        <v>16800</v>
      </c>
    </row>
    <row r="6380" spans="1:4" x14ac:dyDescent="0.4">
      <c r="A6380" s="1" t="s">
        <v>12435</v>
      </c>
      <c r="B6380" t="s">
        <v>12436</v>
      </c>
      <c r="C6380" t="s">
        <v>2808</v>
      </c>
      <c r="D6380">
        <v>16800</v>
      </c>
    </row>
    <row r="6381" spans="1:4" x14ac:dyDescent="0.4">
      <c r="A6381" s="1" t="s">
        <v>12437</v>
      </c>
      <c r="B6381" t="s">
        <v>12438</v>
      </c>
      <c r="C6381" t="s">
        <v>2808</v>
      </c>
    </row>
    <row r="6382" spans="1:4" x14ac:dyDescent="0.4">
      <c r="A6382" s="1" t="s">
        <v>12439</v>
      </c>
      <c r="B6382" t="s">
        <v>12440</v>
      </c>
      <c r="C6382" t="s">
        <v>2808</v>
      </c>
    </row>
    <row r="6383" spans="1:4" x14ac:dyDescent="0.4">
      <c r="A6383" s="1" t="s">
        <v>12441</v>
      </c>
      <c r="B6383" t="s">
        <v>12442</v>
      </c>
      <c r="C6383" t="s">
        <v>2808</v>
      </c>
    </row>
    <row r="6384" spans="1:4" x14ac:dyDescent="0.4">
      <c r="A6384" s="1" t="s">
        <v>12443</v>
      </c>
      <c r="B6384" t="s">
        <v>12444</v>
      </c>
      <c r="C6384" t="s">
        <v>2808</v>
      </c>
    </row>
    <row r="6385" spans="1:3" x14ac:dyDescent="0.4">
      <c r="A6385" s="1" t="s">
        <v>12445</v>
      </c>
      <c r="B6385" t="s">
        <v>12446</v>
      </c>
      <c r="C6385" t="s">
        <v>2808</v>
      </c>
    </row>
    <row r="6386" spans="1:3" x14ac:dyDescent="0.4">
      <c r="A6386" s="1" t="s">
        <v>12447</v>
      </c>
      <c r="B6386" t="s">
        <v>12448</v>
      </c>
      <c r="C6386" t="s">
        <v>2808</v>
      </c>
    </row>
    <row r="6387" spans="1:3" x14ac:dyDescent="0.4">
      <c r="A6387" s="1" t="s">
        <v>12449</v>
      </c>
      <c r="B6387" t="s">
        <v>12450</v>
      </c>
      <c r="C6387" t="s">
        <v>2808</v>
      </c>
    </row>
    <row r="6388" spans="1:3" x14ac:dyDescent="0.4">
      <c r="A6388" s="1" t="s">
        <v>12451</v>
      </c>
      <c r="B6388" t="s">
        <v>12452</v>
      </c>
      <c r="C6388" t="s">
        <v>2808</v>
      </c>
    </row>
    <row r="6389" spans="1:3" x14ac:dyDescent="0.4">
      <c r="A6389" s="1" t="s">
        <v>12453</v>
      </c>
      <c r="B6389" t="s">
        <v>12454</v>
      </c>
      <c r="C6389" t="s">
        <v>2808</v>
      </c>
    </row>
    <row r="6390" spans="1:3" x14ac:dyDescent="0.4">
      <c r="A6390" s="1" t="s">
        <v>12455</v>
      </c>
      <c r="B6390" t="s">
        <v>12456</v>
      </c>
      <c r="C6390" t="s">
        <v>2808</v>
      </c>
    </row>
    <row r="6391" spans="1:3" x14ac:dyDescent="0.4">
      <c r="A6391" s="1" t="s">
        <v>12457</v>
      </c>
      <c r="B6391" t="s">
        <v>12458</v>
      </c>
      <c r="C6391" t="s">
        <v>2808</v>
      </c>
    </row>
    <row r="6392" spans="1:3" x14ac:dyDescent="0.4">
      <c r="A6392" s="1" t="s">
        <v>12459</v>
      </c>
      <c r="B6392" t="s">
        <v>12460</v>
      </c>
      <c r="C6392" t="s">
        <v>2808</v>
      </c>
    </row>
    <row r="6393" spans="1:3" x14ac:dyDescent="0.4">
      <c r="A6393" s="1" t="s">
        <v>12461</v>
      </c>
      <c r="B6393" t="s">
        <v>12462</v>
      </c>
      <c r="C6393" t="s">
        <v>2808</v>
      </c>
    </row>
    <row r="6394" spans="1:3" x14ac:dyDescent="0.4">
      <c r="A6394" s="1" t="s">
        <v>12463</v>
      </c>
      <c r="B6394" t="s">
        <v>12464</v>
      </c>
      <c r="C6394" t="s">
        <v>2808</v>
      </c>
    </row>
    <row r="6395" spans="1:3" x14ac:dyDescent="0.4">
      <c r="A6395" s="1" t="s">
        <v>12465</v>
      </c>
      <c r="B6395" t="s">
        <v>12466</v>
      </c>
      <c r="C6395" t="s">
        <v>2808</v>
      </c>
    </row>
    <row r="6396" spans="1:3" x14ac:dyDescent="0.4">
      <c r="A6396" s="1" t="s">
        <v>12467</v>
      </c>
      <c r="B6396" t="s">
        <v>12468</v>
      </c>
      <c r="C6396" t="s">
        <v>2808</v>
      </c>
    </row>
    <row r="6397" spans="1:3" x14ac:dyDescent="0.4">
      <c r="A6397" s="1" t="s">
        <v>12469</v>
      </c>
      <c r="B6397" t="s">
        <v>12470</v>
      </c>
      <c r="C6397" t="s">
        <v>2808</v>
      </c>
    </row>
    <row r="6398" spans="1:3" x14ac:dyDescent="0.4">
      <c r="A6398" s="1" t="s">
        <v>12471</v>
      </c>
      <c r="B6398" t="s">
        <v>12472</v>
      </c>
      <c r="C6398" t="s">
        <v>2808</v>
      </c>
    </row>
    <row r="6399" spans="1:3" x14ac:dyDescent="0.4">
      <c r="A6399" s="1" t="s">
        <v>12473</v>
      </c>
      <c r="B6399" t="s">
        <v>12474</v>
      </c>
      <c r="C6399" t="s">
        <v>2808</v>
      </c>
    </row>
    <row r="6400" spans="1:3" x14ac:dyDescent="0.4">
      <c r="A6400" s="1" t="s">
        <v>12475</v>
      </c>
      <c r="B6400" t="s">
        <v>12476</v>
      </c>
      <c r="C6400" t="s">
        <v>2808</v>
      </c>
    </row>
    <row r="6401" spans="1:3" x14ac:dyDescent="0.4">
      <c r="A6401" s="1" t="s">
        <v>12477</v>
      </c>
      <c r="B6401" t="s">
        <v>12478</v>
      </c>
      <c r="C6401" t="s">
        <v>2808</v>
      </c>
    </row>
    <row r="6402" spans="1:3" x14ac:dyDescent="0.4">
      <c r="A6402" s="1" t="s">
        <v>12479</v>
      </c>
      <c r="B6402" t="s">
        <v>12480</v>
      </c>
      <c r="C6402" t="s">
        <v>2808</v>
      </c>
    </row>
    <row r="6403" spans="1:3" x14ac:dyDescent="0.4">
      <c r="A6403" s="1" t="s">
        <v>12481</v>
      </c>
      <c r="B6403" t="s">
        <v>12482</v>
      </c>
      <c r="C6403" t="s">
        <v>2808</v>
      </c>
    </row>
    <row r="6404" spans="1:3" x14ac:dyDescent="0.4">
      <c r="A6404" s="1" t="s">
        <v>12483</v>
      </c>
      <c r="B6404" t="s">
        <v>12484</v>
      </c>
      <c r="C6404" t="s">
        <v>2808</v>
      </c>
    </row>
    <row r="6405" spans="1:3" x14ac:dyDescent="0.4">
      <c r="A6405" s="1" t="s">
        <v>12485</v>
      </c>
      <c r="B6405" t="s">
        <v>12486</v>
      </c>
      <c r="C6405" t="s">
        <v>2808</v>
      </c>
    </row>
    <row r="6406" spans="1:3" x14ac:dyDescent="0.4">
      <c r="A6406" s="1" t="s">
        <v>12487</v>
      </c>
      <c r="B6406" t="s">
        <v>12488</v>
      </c>
      <c r="C6406" t="s">
        <v>2808</v>
      </c>
    </row>
    <row r="6407" spans="1:3" x14ac:dyDescent="0.4">
      <c r="A6407" s="1" t="s">
        <v>12489</v>
      </c>
      <c r="B6407" t="s">
        <v>12490</v>
      </c>
      <c r="C6407" t="s">
        <v>2808</v>
      </c>
    </row>
    <row r="6408" spans="1:3" x14ac:dyDescent="0.4">
      <c r="A6408" s="1" t="s">
        <v>12491</v>
      </c>
      <c r="B6408" t="s">
        <v>12492</v>
      </c>
      <c r="C6408" t="s">
        <v>2808</v>
      </c>
    </row>
    <row r="6409" spans="1:3" x14ac:dyDescent="0.4">
      <c r="A6409" s="1" t="s">
        <v>12493</v>
      </c>
      <c r="B6409" t="s">
        <v>12494</v>
      </c>
      <c r="C6409" t="s">
        <v>2808</v>
      </c>
    </row>
    <row r="6410" spans="1:3" x14ac:dyDescent="0.4">
      <c r="A6410" s="1" t="s">
        <v>12495</v>
      </c>
      <c r="B6410" t="s">
        <v>12496</v>
      </c>
      <c r="C6410" t="s">
        <v>2808</v>
      </c>
    </row>
    <row r="6411" spans="1:3" x14ac:dyDescent="0.4">
      <c r="A6411" s="1" t="s">
        <v>12497</v>
      </c>
      <c r="B6411" t="s">
        <v>12498</v>
      </c>
      <c r="C6411" t="s">
        <v>2808</v>
      </c>
    </row>
    <row r="6412" spans="1:3" x14ac:dyDescent="0.4">
      <c r="A6412" s="1" t="s">
        <v>12499</v>
      </c>
      <c r="B6412" t="s">
        <v>12500</v>
      </c>
      <c r="C6412" t="s">
        <v>2808</v>
      </c>
    </row>
    <row r="6413" spans="1:3" x14ac:dyDescent="0.4">
      <c r="A6413" s="1" t="s">
        <v>12501</v>
      </c>
      <c r="B6413" t="s">
        <v>12502</v>
      </c>
      <c r="C6413" t="s">
        <v>2808</v>
      </c>
    </row>
    <row r="6414" spans="1:3" x14ac:dyDescent="0.4">
      <c r="A6414" s="1" t="s">
        <v>12503</v>
      </c>
      <c r="B6414" t="s">
        <v>12504</v>
      </c>
      <c r="C6414" t="s">
        <v>2808</v>
      </c>
    </row>
    <row r="6415" spans="1:3" x14ac:dyDescent="0.4">
      <c r="A6415" s="1" t="s">
        <v>12505</v>
      </c>
      <c r="B6415" t="s">
        <v>12506</v>
      </c>
      <c r="C6415" t="s">
        <v>2808</v>
      </c>
    </row>
    <row r="6416" spans="1:3" x14ac:dyDescent="0.4">
      <c r="A6416" s="1" t="s">
        <v>12507</v>
      </c>
      <c r="B6416" t="s">
        <v>12508</v>
      </c>
      <c r="C6416" t="s">
        <v>2808</v>
      </c>
    </row>
    <row r="6417" spans="1:3" x14ac:dyDescent="0.4">
      <c r="A6417" s="1" t="s">
        <v>12509</v>
      </c>
      <c r="B6417" t="s">
        <v>12510</v>
      </c>
      <c r="C6417" t="s">
        <v>2808</v>
      </c>
    </row>
    <row r="6418" spans="1:3" x14ac:dyDescent="0.4">
      <c r="A6418" s="1" t="s">
        <v>12511</v>
      </c>
      <c r="B6418" t="s">
        <v>12512</v>
      </c>
      <c r="C6418" t="s">
        <v>2808</v>
      </c>
    </row>
    <row r="6419" spans="1:3" x14ac:dyDescent="0.4">
      <c r="A6419" s="1" t="s">
        <v>12513</v>
      </c>
      <c r="B6419" t="s">
        <v>12514</v>
      </c>
      <c r="C6419" t="s">
        <v>2808</v>
      </c>
    </row>
    <row r="6420" spans="1:3" x14ac:dyDescent="0.4">
      <c r="A6420" s="1" t="s">
        <v>12515</v>
      </c>
      <c r="B6420" t="s">
        <v>12516</v>
      </c>
      <c r="C6420" t="s">
        <v>2808</v>
      </c>
    </row>
    <row r="6421" spans="1:3" x14ac:dyDescent="0.4">
      <c r="A6421" s="1" t="s">
        <v>12517</v>
      </c>
      <c r="B6421" t="s">
        <v>12518</v>
      </c>
      <c r="C6421" t="s">
        <v>2808</v>
      </c>
    </row>
    <row r="6422" spans="1:3" x14ac:dyDescent="0.4">
      <c r="A6422" s="1" t="s">
        <v>12519</v>
      </c>
      <c r="B6422" t="s">
        <v>12520</v>
      </c>
      <c r="C6422" t="s">
        <v>2808</v>
      </c>
    </row>
    <row r="6423" spans="1:3" x14ac:dyDescent="0.4">
      <c r="A6423" s="1" t="s">
        <v>12521</v>
      </c>
      <c r="B6423" t="s">
        <v>12522</v>
      </c>
      <c r="C6423" t="s">
        <v>2808</v>
      </c>
    </row>
    <row r="6424" spans="1:3" x14ac:dyDescent="0.4">
      <c r="A6424" s="1" t="s">
        <v>12523</v>
      </c>
      <c r="B6424" t="s">
        <v>12524</v>
      </c>
      <c r="C6424" t="s">
        <v>2808</v>
      </c>
    </row>
    <row r="6425" spans="1:3" x14ac:dyDescent="0.4">
      <c r="A6425" s="1" t="s">
        <v>12525</v>
      </c>
      <c r="B6425" t="s">
        <v>12526</v>
      </c>
      <c r="C6425" t="s">
        <v>2808</v>
      </c>
    </row>
    <row r="6426" spans="1:3" x14ac:dyDescent="0.4">
      <c r="A6426" s="1" t="s">
        <v>12527</v>
      </c>
      <c r="B6426" t="s">
        <v>12528</v>
      </c>
      <c r="C6426" t="s">
        <v>2808</v>
      </c>
    </row>
    <row r="6427" spans="1:3" x14ac:dyDescent="0.4">
      <c r="A6427" s="1" t="s">
        <v>12529</v>
      </c>
      <c r="B6427" t="s">
        <v>12530</v>
      </c>
      <c r="C6427" t="s">
        <v>2808</v>
      </c>
    </row>
    <row r="6428" spans="1:3" x14ac:dyDescent="0.4">
      <c r="A6428" s="1" t="s">
        <v>12531</v>
      </c>
      <c r="B6428" t="s">
        <v>12532</v>
      </c>
      <c r="C6428" t="s">
        <v>2808</v>
      </c>
    </row>
    <row r="6429" spans="1:3" x14ac:dyDescent="0.4">
      <c r="A6429" s="1" t="s">
        <v>12533</v>
      </c>
      <c r="B6429" t="s">
        <v>12534</v>
      </c>
      <c r="C6429" t="s">
        <v>2808</v>
      </c>
    </row>
    <row r="6430" spans="1:3" x14ac:dyDescent="0.4">
      <c r="A6430" s="1" t="s">
        <v>12535</v>
      </c>
      <c r="B6430" t="s">
        <v>12536</v>
      </c>
      <c r="C6430" t="s">
        <v>2808</v>
      </c>
    </row>
    <row r="6431" spans="1:3" x14ac:dyDescent="0.4">
      <c r="A6431" s="1" t="s">
        <v>12537</v>
      </c>
      <c r="B6431" t="s">
        <v>12538</v>
      </c>
      <c r="C6431" t="s">
        <v>2808</v>
      </c>
    </row>
    <row r="6432" spans="1:3" x14ac:dyDescent="0.4">
      <c r="A6432" s="1" t="s">
        <v>12539</v>
      </c>
      <c r="B6432" t="s">
        <v>12540</v>
      </c>
      <c r="C6432" t="s">
        <v>2808</v>
      </c>
    </row>
    <row r="6433" spans="1:3" x14ac:dyDescent="0.4">
      <c r="A6433" s="1" t="s">
        <v>12541</v>
      </c>
      <c r="B6433" t="s">
        <v>12542</v>
      </c>
      <c r="C6433" t="s">
        <v>2808</v>
      </c>
    </row>
    <row r="6434" spans="1:3" x14ac:dyDescent="0.4">
      <c r="A6434" s="1" t="s">
        <v>12543</v>
      </c>
      <c r="B6434" t="e">
        <f>-終息-ﾘｻｲｸﾙﾄﾅｰ IG311</f>
        <v>#NAME?</v>
      </c>
      <c r="C6434" t="s">
        <v>2808</v>
      </c>
    </row>
    <row r="6435" spans="1:3" x14ac:dyDescent="0.4">
      <c r="A6435" s="1" t="s">
        <v>12544</v>
      </c>
      <c r="B6435" t="s">
        <v>12545</v>
      </c>
      <c r="C6435" t="s">
        <v>2808</v>
      </c>
    </row>
    <row r="6436" spans="1:3" x14ac:dyDescent="0.4">
      <c r="A6436" s="1" t="s">
        <v>12546</v>
      </c>
      <c r="B6436" t="s">
        <v>12547</v>
      </c>
      <c r="C6436" t="s">
        <v>2808</v>
      </c>
    </row>
    <row r="6437" spans="1:3" x14ac:dyDescent="0.4">
      <c r="A6437" s="1" t="s">
        <v>12548</v>
      </c>
      <c r="B6437" t="s">
        <v>12549</v>
      </c>
      <c r="C6437" t="s">
        <v>2808</v>
      </c>
    </row>
    <row r="6438" spans="1:3" x14ac:dyDescent="0.4">
      <c r="A6438" s="1" t="s">
        <v>12550</v>
      </c>
      <c r="B6438" t="s">
        <v>12551</v>
      </c>
      <c r="C6438" t="s">
        <v>2808</v>
      </c>
    </row>
    <row r="6439" spans="1:3" x14ac:dyDescent="0.4">
      <c r="A6439" s="1" t="s">
        <v>12552</v>
      </c>
      <c r="B6439" t="s">
        <v>12553</v>
      </c>
      <c r="C6439" t="s">
        <v>2808</v>
      </c>
    </row>
    <row r="6440" spans="1:3" x14ac:dyDescent="0.4">
      <c r="A6440" s="1" t="s">
        <v>12554</v>
      </c>
      <c r="B6440" t="s">
        <v>12555</v>
      </c>
      <c r="C6440" t="s">
        <v>2808</v>
      </c>
    </row>
    <row r="6441" spans="1:3" x14ac:dyDescent="0.4">
      <c r="A6441" s="1" t="s">
        <v>12556</v>
      </c>
      <c r="B6441" t="s">
        <v>12557</v>
      </c>
      <c r="C6441" t="s">
        <v>2808</v>
      </c>
    </row>
    <row r="6442" spans="1:3" x14ac:dyDescent="0.4">
      <c r="A6442" s="1" t="s">
        <v>12558</v>
      </c>
      <c r="B6442" t="s">
        <v>12559</v>
      </c>
      <c r="C6442" t="s">
        <v>2808</v>
      </c>
    </row>
    <row r="6443" spans="1:3" x14ac:dyDescent="0.4">
      <c r="A6443" s="1" t="s">
        <v>12560</v>
      </c>
      <c r="B6443" t="s">
        <v>12561</v>
      </c>
      <c r="C6443" t="s">
        <v>2808</v>
      </c>
    </row>
    <row r="6444" spans="1:3" x14ac:dyDescent="0.4">
      <c r="A6444" s="1" t="s">
        <v>12562</v>
      </c>
      <c r="B6444" t="s">
        <v>12563</v>
      </c>
      <c r="C6444" t="s">
        <v>2808</v>
      </c>
    </row>
    <row r="6445" spans="1:3" x14ac:dyDescent="0.4">
      <c r="A6445" s="1" t="s">
        <v>12564</v>
      </c>
      <c r="B6445" t="s">
        <v>12565</v>
      </c>
      <c r="C6445" t="s">
        <v>2808</v>
      </c>
    </row>
    <row r="6446" spans="1:3" x14ac:dyDescent="0.4">
      <c r="A6446" s="1" t="s">
        <v>12566</v>
      </c>
      <c r="B6446" t="s">
        <v>12567</v>
      </c>
      <c r="C6446" t="s">
        <v>2808</v>
      </c>
    </row>
    <row r="6447" spans="1:3" x14ac:dyDescent="0.4">
      <c r="A6447" s="1" t="s">
        <v>12568</v>
      </c>
      <c r="B6447" t="s">
        <v>12569</v>
      </c>
      <c r="C6447" t="s">
        <v>2808</v>
      </c>
    </row>
    <row r="6448" spans="1:3" x14ac:dyDescent="0.4">
      <c r="A6448" s="1" t="s">
        <v>12570</v>
      </c>
      <c r="B6448" t="s">
        <v>12571</v>
      </c>
      <c r="C6448" t="s">
        <v>2808</v>
      </c>
    </row>
    <row r="6449" spans="1:3" x14ac:dyDescent="0.4">
      <c r="A6449" s="1" t="s">
        <v>12572</v>
      </c>
      <c r="B6449" t="s">
        <v>12573</v>
      </c>
      <c r="C6449" t="s">
        <v>2808</v>
      </c>
    </row>
    <row r="6450" spans="1:3" x14ac:dyDescent="0.4">
      <c r="A6450" s="1" t="s">
        <v>12574</v>
      </c>
      <c r="B6450" t="s">
        <v>12575</v>
      </c>
      <c r="C6450" t="s">
        <v>2808</v>
      </c>
    </row>
    <row r="6451" spans="1:3" x14ac:dyDescent="0.4">
      <c r="A6451" s="1" t="s">
        <v>12576</v>
      </c>
      <c r="B6451" t="s">
        <v>12577</v>
      </c>
      <c r="C6451" t="s">
        <v>2808</v>
      </c>
    </row>
    <row r="6452" spans="1:3" x14ac:dyDescent="0.4">
      <c r="A6452" s="1" t="s">
        <v>12578</v>
      </c>
      <c r="B6452" t="s">
        <v>12579</v>
      </c>
      <c r="C6452" t="s">
        <v>2808</v>
      </c>
    </row>
    <row r="6453" spans="1:3" x14ac:dyDescent="0.4">
      <c r="A6453" s="1" t="s">
        <v>12580</v>
      </c>
      <c r="B6453" t="s">
        <v>12581</v>
      </c>
      <c r="C6453" t="s">
        <v>2808</v>
      </c>
    </row>
    <row r="6454" spans="1:3" x14ac:dyDescent="0.4">
      <c r="A6454" s="1" t="s">
        <v>12582</v>
      </c>
      <c r="B6454" t="s">
        <v>12583</v>
      </c>
      <c r="C6454" t="s">
        <v>2808</v>
      </c>
    </row>
    <row r="6455" spans="1:3" x14ac:dyDescent="0.4">
      <c r="A6455" s="1" t="s">
        <v>12584</v>
      </c>
      <c r="B6455" t="s">
        <v>12585</v>
      </c>
      <c r="C6455" t="s">
        <v>2808</v>
      </c>
    </row>
    <row r="6456" spans="1:3" x14ac:dyDescent="0.4">
      <c r="A6456" s="1" t="s">
        <v>12586</v>
      </c>
      <c r="B6456" t="s">
        <v>12587</v>
      </c>
      <c r="C6456" t="s">
        <v>2808</v>
      </c>
    </row>
    <row r="6457" spans="1:3" x14ac:dyDescent="0.4">
      <c r="A6457" s="1" t="s">
        <v>12588</v>
      </c>
      <c r="B6457" t="s">
        <v>12589</v>
      </c>
      <c r="C6457" t="s">
        <v>2808</v>
      </c>
    </row>
    <row r="6458" spans="1:3" x14ac:dyDescent="0.4">
      <c r="A6458" s="1" t="s">
        <v>12590</v>
      </c>
      <c r="B6458" t="s">
        <v>12591</v>
      </c>
      <c r="C6458" t="s">
        <v>2808</v>
      </c>
    </row>
    <row r="6459" spans="1:3" x14ac:dyDescent="0.4">
      <c r="A6459" s="1" t="s">
        <v>12592</v>
      </c>
      <c r="B6459" t="s">
        <v>12593</v>
      </c>
      <c r="C6459" t="s">
        <v>2808</v>
      </c>
    </row>
    <row r="6460" spans="1:3" x14ac:dyDescent="0.4">
      <c r="A6460" s="1" t="s">
        <v>12594</v>
      </c>
      <c r="B6460" t="s">
        <v>12595</v>
      </c>
      <c r="C6460" t="s">
        <v>2808</v>
      </c>
    </row>
    <row r="6461" spans="1:3" x14ac:dyDescent="0.4">
      <c r="A6461" s="1" t="s">
        <v>12596</v>
      </c>
      <c r="B6461" t="s">
        <v>12597</v>
      </c>
      <c r="C6461" t="s">
        <v>2808</v>
      </c>
    </row>
    <row r="6462" spans="1:3" x14ac:dyDescent="0.4">
      <c r="A6462" s="1" t="s">
        <v>12598</v>
      </c>
      <c r="B6462" t="s">
        <v>12599</v>
      </c>
      <c r="C6462" t="s">
        <v>2808</v>
      </c>
    </row>
    <row r="6463" spans="1:3" x14ac:dyDescent="0.4">
      <c r="A6463" s="1" t="s">
        <v>12600</v>
      </c>
      <c r="B6463" t="e">
        <f>-終息-ﾘｻｲｸﾙﾄﾅｰ LPA3ETC12</f>
        <v>#NAME?</v>
      </c>
      <c r="C6463" t="s">
        <v>2808</v>
      </c>
    </row>
    <row r="6464" spans="1:3" x14ac:dyDescent="0.4">
      <c r="A6464" s="1" t="s">
        <v>12601</v>
      </c>
      <c r="B6464" t="s">
        <v>12602</v>
      </c>
      <c r="C6464" t="s">
        <v>2808</v>
      </c>
    </row>
    <row r="6465" spans="1:3" x14ac:dyDescent="0.4">
      <c r="A6465" s="1" t="s">
        <v>12603</v>
      </c>
      <c r="B6465" t="s">
        <v>12604</v>
      </c>
      <c r="C6465" t="s">
        <v>2808</v>
      </c>
    </row>
    <row r="6466" spans="1:3" x14ac:dyDescent="0.4">
      <c r="A6466" s="1" t="s">
        <v>12605</v>
      </c>
      <c r="B6466" t="s">
        <v>12606</v>
      </c>
      <c r="C6466" t="s">
        <v>2808</v>
      </c>
    </row>
    <row r="6467" spans="1:3" x14ac:dyDescent="0.4">
      <c r="A6467" s="1" t="s">
        <v>12607</v>
      </c>
      <c r="B6467" t="s">
        <v>12608</v>
      </c>
      <c r="C6467" t="s">
        <v>2808</v>
      </c>
    </row>
    <row r="6468" spans="1:3" x14ac:dyDescent="0.4">
      <c r="A6468" s="1" t="s">
        <v>12609</v>
      </c>
      <c r="B6468" t="s">
        <v>12610</v>
      </c>
      <c r="C6468" t="s">
        <v>2808</v>
      </c>
    </row>
    <row r="6469" spans="1:3" x14ac:dyDescent="0.4">
      <c r="A6469" s="1" t="s">
        <v>12611</v>
      </c>
      <c r="B6469" t="e">
        <f>-終息-ﾘｻｲｸﾙﾄﾅｰ LPC3T14C</f>
        <v>#NAME?</v>
      </c>
      <c r="C6469" t="s">
        <v>2808</v>
      </c>
    </row>
    <row r="6470" spans="1:3" x14ac:dyDescent="0.4">
      <c r="A6470" s="1" t="s">
        <v>12612</v>
      </c>
      <c r="B6470" t="e">
        <f>-終息-ﾘｻｲｸﾙﾄﾅｰ LPC3T14K</f>
        <v>#NAME?</v>
      </c>
      <c r="C6470" t="s">
        <v>2808</v>
      </c>
    </row>
    <row r="6471" spans="1:3" x14ac:dyDescent="0.4">
      <c r="A6471" s="1" t="s">
        <v>12613</v>
      </c>
      <c r="B6471" t="e">
        <f>-終息-ﾘｻｲｸﾙﾄﾅｰ LPC3T14M</f>
        <v>#NAME?</v>
      </c>
      <c r="C6471" t="s">
        <v>2808</v>
      </c>
    </row>
    <row r="6472" spans="1:3" x14ac:dyDescent="0.4">
      <c r="A6472" s="1" t="s">
        <v>12614</v>
      </c>
      <c r="B6472" t="e">
        <f>-終息-ﾘｻｲｸﾙﾄﾅｰ LPC3T14Y</f>
        <v>#NAME?</v>
      </c>
      <c r="C6472" t="s">
        <v>2808</v>
      </c>
    </row>
    <row r="6473" spans="1:3" x14ac:dyDescent="0.4">
      <c r="A6473" s="1" t="s">
        <v>12615</v>
      </c>
      <c r="B6473" t="s">
        <v>12616</v>
      </c>
      <c r="C6473" t="s">
        <v>2808</v>
      </c>
    </row>
    <row r="6474" spans="1:3" x14ac:dyDescent="0.4">
      <c r="A6474" s="1" t="s">
        <v>12617</v>
      </c>
      <c r="B6474" t="s">
        <v>12618</v>
      </c>
      <c r="C6474" t="s">
        <v>2808</v>
      </c>
    </row>
    <row r="6475" spans="1:3" x14ac:dyDescent="0.4">
      <c r="A6475" s="1" t="s">
        <v>12619</v>
      </c>
      <c r="B6475" t="s">
        <v>12620</v>
      </c>
      <c r="C6475" t="s">
        <v>2808</v>
      </c>
    </row>
    <row r="6476" spans="1:3" x14ac:dyDescent="0.4">
      <c r="A6476" s="1" t="s">
        <v>12621</v>
      </c>
      <c r="B6476" t="s">
        <v>12622</v>
      </c>
      <c r="C6476" t="s">
        <v>2808</v>
      </c>
    </row>
    <row r="6477" spans="1:3" x14ac:dyDescent="0.4">
      <c r="A6477" s="1" t="s">
        <v>12623</v>
      </c>
      <c r="B6477" t="s">
        <v>12624</v>
      </c>
      <c r="C6477" t="s">
        <v>2808</v>
      </c>
    </row>
    <row r="6478" spans="1:3" x14ac:dyDescent="0.4">
      <c r="A6478" s="1" t="s">
        <v>12625</v>
      </c>
      <c r="B6478" t="s">
        <v>12626</v>
      </c>
      <c r="C6478" t="s">
        <v>2808</v>
      </c>
    </row>
    <row r="6479" spans="1:3" x14ac:dyDescent="0.4">
      <c r="A6479" s="1" t="s">
        <v>12627</v>
      </c>
      <c r="B6479" t="s">
        <v>12628</v>
      </c>
      <c r="C6479" t="s">
        <v>2808</v>
      </c>
    </row>
    <row r="6480" spans="1:3" x14ac:dyDescent="0.4">
      <c r="A6480" s="1" t="s">
        <v>12629</v>
      </c>
      <c r="B6480" t="s">
        <v>12630</v>
      </c>
      <c r="C6480" t="s">
        <v>2808</v>
      </c>
    </row>
    <row r="6481" spans="1:3" x14ac:dyDescent="0.4">
      <c r="A6481" s="1" t="s">
        <v>12631</v>
      </c>
      <c r="B6481" t="s">
        <v>12632</v>
      </c>
      <c r="C6481" t="s">
        <v>2808</v>
      </c>
    </row>
    <row r="6482" spans="1:3" x14ac:dyDescent="0.4">
      <c r="A6482" s="1" t="s">
        <v>12633</v>
      </c>
      <c r="B6482" t="s">
        <v>12634</v>
      </c>
      <c r="C6482" t="s">
        <v>2808</v>
      </c>
    </row>
    <row r="6483" spans="1:3" x14ac:dyDescent="0.4">
      <c r="A6483" s="1" t="s">
        <v>12635</v>
      </c>
      <c r="B6483" t="s">
        <v>12636</v>
      </c>
      <c r="C6483" t="s">
        <v>2808</v>
      </c>
    </row>
    <row r="6484" spans="1:3" x14ac:dyDescent="0.4">
      <c r="A6484" s="1" t="s">
        <v>12637</v>
      </c>
      <c r="B6484" t="s">
        <v>12638</v>
      </c>
      <c r="C6484" t="s">
        <v>2808</v>
      </c>
    </row>
    <row r="6485" spans="1:3" x14ac:dyDescent="0.4">
      <c r="A6485" s="1" t="s">
        <v>12639</v>
      </c>
      <c r="B6485" t="s">
        <v>12640</v>
      </c>
      <c r="C6485" t="s">
        <v>2808</v>
      </c>
    </row>
    <row r="6486" spans="1:3" x14ac:dyDescent="0.4">
      <c r="A6486" s="1" t="s">
        <v>12641</v>
      </c>
      <c r="B6486" t="s">
        <v>12642</v>
      </c>
      <c r="C6486" t="s">
        <v>2808</v>
      </c>
    </row>
    <row r="6487" spans="1:3" x14ac:dyDescent="0.4">
      <c r="A6487" s="1" t="s">
        <v>12643</v>
      </c>
      <c r="B6487" t="s">
        <v>12644</v>
      </c>
      <c r="C6487" t="s">
        <v>2808</v>
      </c>
    </row>
    <row r="6488" spans="1:3" x14ac:dyDescent="0.4">
      <c r="A6488" s="1" t="s">
        <v>12645</v>
      </c>
      <c r="B6488" t="s">
        <v>12646</v>
      </c>
      <c r="C6488" t="s">
        <v>2808</v>
      </c>
    </row>
    <row r="6489" spans="1:3" x14ac:dyDescent="0.4">
      <c r="A6489" s="1" t="s">
        <v>12647</v>
      </c>
      <c r="B6489" t="s">
        <v>12648</v>
      </c>
      <c r="C6489" t="s">
        <v>2808</v>
      </c>
    </row>
    <row r="6490" spans="1:3" x14ac:dyDescent="0.4">
      <c r="A6490" s="1" t="s">
        <v>12649</v>
      </c>
      <c r="B6490" t="s">
        <v>12650</v>
      </c>
      <c r="C6490" t="s">
        <v>2808</v>
      </c>
    </row>
    <row r="6491" spans="1:3" x14ac:dyDescent="0.4">
      <c r="A6491" s="1" t="s">
        <v>12651</v>
      </c>
      <c r="B6491" t="s">
        <v>12652</v>
      </c>
      <c r="C6491" t="s">
        <v>2808</v>
      </c>
    </row>
    <row r="6492" spans="1:3" x14ac:dyDescent="0.4">
      <c r="A6492" s="1" t="s">
        <v>12653</v>
      </c>
      <c r="B6492" t="s">
        <v>12654</v>
      </c>
      <c r="C6492" t="s">
        <v>2808</v>
      </c>
    </row>
    <row r="6493" spans="1:3" x14ac:dyDescent="0.4">
      <c r="A6493" s="1" t="s">
        <v>12655</v>
      </c>
      <c r="B6493" t="s">
        <v>12656</v>
      </c>
      <c r="C6493" t="s">
        <v>2808</v>
      </c>
    </row>
    <row r="6494" spans="1:3" x14ac:dyDescent="0.4">
      <c r="A6494" s="1" t="s">
        <v>12657</v>
      </c>
      <c r="B6494" t="s">
        <v>12658</v>
      </c>
      <c r="C6494" t="s">
        <v>2808</v>
      </c>
    </row>
    <row r="6495" spans="1:3" x14ac:dyDescent="0.4">
      <c r="A6495" s="1" t="s">
        <v>12659</v>
      </c>
      <c r="B6495" t="s">
        <v>12660</v>
      </c>
      <c r="C6495" t="s">
        <v>2808</v>
      </c>
    </row>
    <row r="6496" spans="1:3" x14ac:dyDescent="0.4">
      <c r="A6496" s="1" t="s">
        <v>12661</v>
      </c>
      <c r="B6496" t="s">
        <v>12662</v>
      </c>
      <c r="C6496" t="s">
        <v>2808</v>
      </c>
    </row>
    <row r="6497" spans="1:3" x14ac:dyDescent="0.4">
      <c r="A6497" s="1" t="s">
        <v>12663</v>
      </c>
      <c r="B6497" t="s">
        <v>12664</v>
      </c>
      <c r="C6497" t="s">
        <v>2808</v>
      </c>
    </row>
    <row r="6498" spans="1:3" x14ac:dyDescent="0.4">
      <c r="A6498" s="1" t="s">
        <v>12665</v>
      </c>
      <c r="B6498" t="s">
        <v>12666</v>
      </c>
      <c r="C6498" t="s">
        <v>2808</v>
      </c>
    </row>
    <row r="6499" spans="1:3" x14ac:dyDescent="0.4">
      <c r="A6499" s="1" t="s">
        <v>12667</v>
      </c>
      <c r="B6499" t="s">
        <v>12668</v>
      </c>
      <c r="C6499" t="s">
        <v>2808</v>
      </c>
    </row>
    <row r="6500" spans="1:3" x14ac:dyDescent="0.4">
      <c r="A6500" s="1" t="s">
        <v>12669</v>
      </c>
      <c r="B6500" t="s">
        <v>12670</v>
      </c>
      <c r="C6500" t="s">
        <v>2808</v>
      </c>
    </row>
    <row r="6501" spans="1:3" x14ac:dyDescent="0.4">
      <c r="A6501" s="1" t="s">
        <v>12671</v>
      </c>
      <c r="B6501" t="s">
        <v>12672</v>
      </c>
      <c r="C6501" t="s">
        <v>2808</v>
      </c>
    </row>
    <row r="6502" spans="1:3" x14ac:dyDescent="0.4">
      <c r="A6502" s="1" t="s">
        <v>12673</v>
      </c>
      <c r="B6502" t="s">
        <v>12674</v>
      </c>
      <c r="C6502" t="s">
        <v>2808</v>
      </c>
    </row>
    <row r="6503" spans="1:3" x14ac:dyDescent="0.4">
      <c r="A6503" s="1" t="s">
        <v>12675</v>
      </c>
      <c r="B6503" t="s">
        <v>12676</v>
      </c>
      <c r="C6503" t="s">
        <v>2808</v>
      </c>
    </row>
    <row r="6504" spans="1:3" x14ac:dyDescent="0.4">
      <c r="A6504" s="1" t="s">
        <v>12677</v>
      </c>
      <c r="B6504" t="e">
        <f>-終息-ﾘｻｲｸﾙﾄﾅｰLPC3K10K</f>
        <v>#NAME?</v>
      </c>
      <c r="C6504" t="s">
        <v>2808</v>
      </c>
    </row>
    <row r="6505" spans="1:3" x14ac:dyDescent="0.4">
      <c r="A6505" s="1" t="s">
        <v>12678</v>
      </c>
      <c r="B6505" t="e">
        <f>-終息-ﾘｻｲｸﾙﾄﾅｰLPC3K10Y</f>
        <v>#NAME?</v>
      </c>
      <c r="C6505" t="s">
        <v>2808</v>
      </c>
    </row>
    <row r="6506" spans="1:3" x14ac:dyDescent="0.4">
      <c r="A6506" s="1" t="s">
        <v>12679</v>
      </c>
      <c r="B6506" t="s">
        <v>12680</v>
      </c>
      <c r="C6506" t="s">
        <v>2808</v>
      </c>
    </row>
    <row r="6507" spans="1:3" x14ac:dyDescent="0.4">
      <c r="A6507" s="1" t="s">
        <v>12681</v>
      </c>
      <c r="B6507" t="s">
        <v>12682</v>
      </c>
      <c r="C6507" t="s">
        <v>2808</v>
      </c>
    </row>
    <row r="6508" spans="1:3" x14ac:dyDescent="0.4">
      <c r="A6508" s="1" t="s">
        <v>12683</v>
      </c>
      <c r="B6508" t="s">
        <v>12684</v>
      </c>
      <c r="C6508" t="s">
        <v>2808</v>
      </c>
    </row>
    <row r="6509" spans="1:3" x14ac:dyDescent="0.4">
      <c r="A6509" s="1" t="s">
        <v>12685</v>
      </c>
      <c r="B6509" t="e">
        <f>-終息-ﾘｻｲｸﾙﾄﾅｰLPC3T10C</f>
        <v>#NAME?</v>
      </c>
      <c r="C6509" t="s">
        <v>2808</v>
      </c>
    </row>
    <row r="6510" spans="1:3" x14ac:dyDescent="0.4">
      <c r="A6510" s="1" t="s">
        <v>12686</v>
      </c>
      <c r="B6510" t="e">
        <f>-終息-ﾘｻｲｸﾙﾄﾅｰLPC3T10K</f>
        <v>#NAME?</v>
      </c>
      <c r="C6510" t="s">
        <v>2808</v>
      </c>
    </row>
    <row r="6511" spans="1:3" x14ac:dyDescent="0.4">
      <c r="A6511" s="1" t="s">
        <v>12687</v>
      </c>
      <c r="B6511" t="e">
        <f>-終息-ﾘｻｲｸﾙﾄﾅｰLPC3T10M</f>
        <v>#NAME?</v>
      </c>
      <c r="C6511" t="s">
        <v>2808</v>
      </c>
    </row>
    <row r="6512" spans="1:3" x14ac:dyDescent="0.4">
      <c r="A6512" s="1" t="s">
        <v>12688</v>
      </c>
      <c r="B6512" t="e">
        <f>-終息-ﾘｻｲｸﾙﾄﾅｰLPC3T10Y</f>
        <v>#NAME?</v>
      </c>
      <c r="C6512" t="s">
        <v>2808</v>
      </c>
    </row>
    <row r="6513" spans="1:3" x14ac:dyDescent="0.4">
      <c r="A6513" s="1" t="s">
        <v>12689</v>
      </c>
      <c r="B6513" t="s">
        <v>12690</v>
      </c>
      <c r="C6513" t="s">
        <v>2808</v>
      </c>
    </row>
    <row r="6514" spans="1:3" x14ac:dyDescent="0.4">
      <c r="A6514" s="1" t="s">
        <v>12691</v>
      </c>
      <c r="B6514" t="s">
        <v>12692</v>
      </c>
      <c r="C6514" t="s">
        <v>2808</v>
      </c>
    </row>
    <row r="6515" spans="1:3" x14ac:dyDescent="0.4">
      <c r="A6515" s="1" t="s">
        <v>12693</v>
      </c>
      <c r="B6515" t="s">
        <v>12694</v>
      </c>
      <c r="C6515" t="s">
        <v>2808</v>
      </c>
    </row>
    <row r="6516" spans="1:3" x14ac:dyDescent="0.4">
      <c r="A6516" s="1" t="s">
        <v>12695</v>
      </c>
      <c r="B6516" t="s">
        <v>12696</v>
      </c>
      <c r="C6516" t="s">
        <v>2808</v>
      </c>
    </row>
    <row r="6517" spans="1:3" x14ac:dyDescent="0.4">
      <c r="A6517" s="1" t="s">
        <v>12697</v>
      </c>
      <c r="B6517" t="s">
        <v>12698</v>
      </c>
      <c r="C6517" t="s">
        <v>2808</v>
      </c>
    </row>
    <row r="6518" spans="1:3" x14ac:dyDescent="0.4">
      <c r="A6518" s="1" t="s">
        <v>12699</v>
      </c>
      <c r="B6518" t="s">
        <v>12700</v>
      </c>
      <c r="C6518" t="s">
        <v>2808</v>
      </c>
    </row>
    <row r="6519" spans="1:3" x14ac:dyDescent="0.4">
      <c r="A6519" s="1" t="s">
        <v>12701</v>
      </c>
      <c r="B6519" t="s">
        <v>12702</v>
      </c>
      <c r="C6519" t="s">
        <v>2808</v>
      </c>
    </row>
    <row r="6520" spans="1:3" x14ac:dyDescent="0.4">
      <c r="A6520" s="1" t="s">
        <v>12703</v>
      </c>
      <c r="B6520" t="s">
        <v>12704</v>
      </c>
      <c r="C6520" t="s">
        <v>2808</v>
      </c>
    </row>
    <row r="6521" spans="1:3" x14ac:dyDescent="0.4">
      <c r="A6521" s="1" t="s">
        <v>12705</v>
      </c>
      <c r="B6521" t="e">
        <f>-終息-ﾘｻｲｸﾙﾄﾅｰ LPC3T20C</f>
        <v>#NAME?</v>
      </c>
      <c r="C6521" t="s">
        <v>2808</v>
      </c>
    </row>
    <row r="6522" spans="1:3" x14ac:dyDescent="0.4">
      <c r="A6522" s="1" t="s">
        <v>12706</v>
      </c>
      <c r="B6522" t="e">
        <f>-終息-ﾘｻｲｸﾙﾄﾅｰ LPC3T20M</f>
        <v>#NAME?</v>
      </c>
      <c r="C6522" t="s">
        <v>2808</v>
      </c>
    </row>
    <row r="6523" spans="1:3" x14ac:dyDescent="0.4">
      <c r="A6523" s="1" t="s">
        <v>12707</v>
      </c>
      <c r="B6523" t="e">
        <f>-終息-ﾘｻｲｸﾙﾄﾅｰ LPC3T20Y</f>
        <v>#NAME?</v>
      </c>
      <c r="C6523" t="s">
        <v>2808</v>
      </c>
    </row>
    <row r="6524" spans="1:3" x14ac:dyDescent="0.4">
      <c r="A6524" s="1" t="s">
        <v>12708</v>
      </c>
      <c r="B6524" t="s">
        <v>12709</v>
      </c>
      <c r="C6524" t="s">
        <v>2808</v>
      </c>
    </row>
    <row r="6525" spans="1:3" x14ac:dyDescent="0.4">
      <c r="A6525" s="1" t="s">
        <v>12710</v>
      </c>
      <c r="B6525" t="s">
        <v>12711</v>
      </c>
      <c r="C6525" t="s">
        <v>2808</v>
      </c>
    </row>
    <row r="6526" spans="1:3" x14ac:dyDescent="0.4">
      <c r="A6526" s="1" t="s">
        <v>12712</v>
      </c>
      <c r="B6526" t="s">
        <v>12713</v>
      </c>
      <c r="C6526" t="s">
        <v>2808</v>
      </c>
    </row>
    <row r="6527" spans="1:3" x14ac:dyDescent="0.4">
      <c r="A6527" s="1" t="s">
        <v>12714</v>
      </c>
      <c r="B6527" t="s">
        <v>12715</v>
      </c>
      <c r="C6527" t="s">
        <v>2808</v>
      </c>
    </row>
    <row r="6528" spans="1:3" x14ac:dyDescent="0.4">
      <c r="A6528" s="1" t="s">
        <v>12716</v>
      </c>
      <c r="B6528" t="s">
        <v>12717</v>
      </c>
      <c r="C6528" t="s">
        <v>2808</v>
      </c>
    </row>
    <row r="6529" spans="1:3" x14ac:dyDescent="0.4">
      <c r="A6529" s="1" t="s">
        <v>12718</v>
      </c>
      <c r="B6529" t="s">
        <v>12719</v>
      </c>
      <c r="C6529" t="s">
        <v>2808</v>
      </c>
    </row>
    <row r="6530" spans="1:3" x14ac:dyDescent="0.4">
      <c r="A6530" s="1" t="s">
        <v>12720</v>
      </c>
      <c r="B6530" t="s">
        <v>12721</v>
      </c>
      <c r="C6530" t="s">
        <v>2808</v>
      </c>
    </row>
    <row r="6531" spans="1:3" x14ac:dyDescent="0.4">
      <c r="A6531" s="1" t="s">
        <v>12722</v>
      </c>
      <c r="B6531" t="s">
        <v>12723</v>
      </c>
      <c r="C6531" t="s">
        <v>2808</v>
      </c>
    </row>
    <row r="6532" spans="1:3" x14ac:dyDescent="0.4">
      <c r="A6532" s="1" t="s">
        <v>12724</v>
      </c>
      <c r="B6532" t="s">
        <v>12725</v>
      </c>
      <c r="C6532" t="s">
        <v>2808</v>
      </c>
    </row>
    <row r="6533" spans="1:3" x14ac:dyDescent="0.4">
      <c r="A6533" s="1" t="s">
        <v>12726</v>
      </c>
      <c r="B6533" t="s">
        <v>12727</v>
      </c>
      <c r="C6533" t="s">
        <v>2808</v>
      </c>
    </row>
    <row r="6534" spans="1:3" x14ac:dyDescent="0.4">
      <c r="A6534" s="1" t="s">
        <v>12728</v>
      </c>
      <c r="B6534" t="s">
        <v>12729</v>
      </c>
      <c r="C6534" t="s">
        <v>2808</v>
      </c>
    </row>
    <row r="6535" spans="1:3" x14ac:dyDescent="0.4">
      <c r="A6535" s="1" t="s">
        <v>12730</v>
      </c>
      <c r="B6535" t="s">
        <v>12731</v>
      </c>
      <c r="C6535" t="s">
        <v>2808</v>
      </c>
    </row>
    <row r="6536" spans="1:3" x14ac:dyDescent="0.4">
      <c r="A6536" s="1" t="s">
        <v>12732</v>
      </c>
      <c r="B6536" t="s">
        <v>12733</v>
      </c>
      <c r="C6536" t="s">
        <v>2808</v>
      </c>
    </row>
    <row r="6537" spans="1:3" x14ac:dyDescent="0.4">
      <c r="A6537" s="1" t="s">
        <v>12734</v>
      </c>
      <c r="B6537" t="s">
        <v>12735</v>
      </c>
      <c r="C6537" t="s">
        <v>2808</v>
      </c>
    </row>
    <row r="6538" spans="1:3" x14ac:dyDescent="0.4">
      <c r="A6538" s="1" t="s">
        <v>12736</v>
      </c>
      <c r="B6538" t="s">
        <v>12737</v>
      </c>
      <c r="C6538" t="s">
        <v>2808</v>
      </c>
    </row>
    <row r="6539" spans="1:3" x14ac:dyDescent="0.4">
      <c r="A6539" s="1" t="s">
        <v>12738</v>
      </c>
      <c r="B6539" t="s">
        <v>12739</v>
      </c>
      <c r="C6539" t="s">
        <v>2808</v>
      </c>
    </row>
    <row r="6540" spans="1:3" x14ac:dyDescent="0.4">
      <c r="A6540" s="1" t="s">
        <v>12740</v>
      </c>
      <c r="B6540" t="s">
        <v>12741</v>
      </c>
      <c r="C6540" t="s">
        <v>2808</v>
      </c>
    </row>
    <row r="6541" spans="1:3" x14ac:dyDescent="0.4">
      <c r="A6541" s="1" t="s">
        <v>12742</v>
      </c>
      <c r="B6541" t="s">
        <v>12743</v>
      </c>
      <c r="C6541" t="s">
        <v>2808</v>
      </c>
    </row>
    <row r="6542" spans="1:3" x14ac:dyDescent="0.4">
      <c r="A6542" s="1" t="s">
        <v>12744</v>
      </c>
      <c r="B6542" t="s">
        <v>12745</v>
      </c>
      <c r="C6542" t="s">
        <v>2808</v>
      </c>
    </row>
    <row r="6543" spans="1:3" x14ac:dyDescent="0.4">
      <c r="A6543" s="1" t="s">
        <v>12746</v>
      </c>
      <c r="B6543" t="s">
        <v>12747</v>
      </c>
      <c r="C6543" t="s">
        <v>2808</v>
      </c>
    </row>
    <row r="6544" spans="1:3" x14ac:dyDescent="0.4">
      <c r="A6544" s="1" t="s">
        <v>12748</v>
      </c>
      <c r="B6544" t="s">
        <v>12749</v>
      </c>
      <c r="C6544" t="s">
        <v>2808</v>
      </c>
    </row>
    <row r="6545" spans="1:3" x14ac:dyDescent="0.4">
      <c r="A6545" s="1" t="s">
        <v>12750</v>
      </c>
      <c r="B6545" t="s">
        <v>12751</v>
      </c>
      <c r="C6545" t="s">
        <v>2808</v>
      </c>
    </row>
    <row r="6546" spans="1:3" x14ac:dyDescent="0.4">
      <c r="A6546" s="1" t="s">
        <v>12752</v>
      </c>
      <c r="B6546" t="s">
        <v>12753</v>
      </c>
      <c r="C6546" t="s">
        <v>2808</v>
      </c>
    </row>
    <row r="6547" spans="1:3" x14ac:dyDescent="0.4">
      <c r="A6547" s="1" t="s">
        <v>12754</v>
      </c>
      <c r="B6547" t="s">
        <v>12755</v>
      </c>
      <c r="C6547" t="s">
        <v>2808</v>
      </c>
    </row>
    <row r="6548" spans="1:3" x14ac:dyDescent="0.4">
      <c r="A6548" s="1" t="s">
        <v>12756</v>
      </c>
      <c r="B6548" t="s">
        <v>12757</v>
      </c>
      <c r="C6548" t="s">
        <v>2808</v>
      </c>
    </row>
    <row r="6549" spans="1:3" x14ac:dyDescent="0.4">
      <c r="A6549" s="1" t="s">
        <v>12758</v>
      </c>
      <c r="B6549" t="s">
        <v>12759</v>
      </c>
      <c r="C6549" t="s">
        <v>2808</v>
      </c>
    </row>
    <row r="6550" spans="1:3" x14ac:dyDescent="0.4">
      <c r="A6550" s="1" t="s">
        <v>12760</v>
      </c>
      <c r="B6550" t="s">
        <v>12761</v>
      </c>
      <c r="C6550" t="s">
        <v>2808</v>
      </c>
    </row>
    <row r="6551" spans="1:3" x14ac:dyDescent="0.4">
      <c r="A6551" s="1" t="s">
        <v>12762</v>
      </c>
      <c r="B6551" t="s">
        <v>12763</v>
      </c>
      <c r="C6551" t="s">
        <v>2808</v>
      </c>
    </row>
    <row r="6552" spans="1:3" x14ac:dyDescent="0.4">
      <c r="A6552" s="1" t="s">
        <v>12764</v>
      </c>
      <c r="B6552" t="s">
        <v>12765</v>
      </c>
      <c r="C6552" t="s">
        <v>2808</v>
      </c>
    </row>
    <row r="6553" spans="1:3" x14ac:dyDescent="0.4">
      <c r="A6553" s="1" t="s">
        <v>12766</v>
      </c>
      <c r="B6553" t="s">
        <v>12767</v>
      </c>
      <c r="C6553" t="s">
        <v>2808</v>
      </c>
    </row>
    <row r="6554" spans="1:3" x14ac:dyDescent="0.4">
      <c r="A6554" s="1" t="s">
        <v>12768</v>
      </c>
      <c r="B6554" t="s">
        <v>12769</v>
      </c>
      <c r="C6554" t="s">
        <v>2808</v>
      </c>
    </row>
    <row r="6555" spans="1:3" x14ac:dyDescent="0.4">
      <c r="A6555" s="1" t="s">
        <v>12770</v>
      </c>
      <c r="B6555" t="s">
        <v>12771</v>
      </c>
      <c r="C6555" t="s">
        <v>2808</v>
      </c>
    </row>
    <row r="6556" spans="1:3" x14ac:dyDescent="0.4">
      <c r="A6556" s="1" t="s">
        <v>12772</v>
      </c>
      <c r="B6556" t="s">
        <v>12773</v>
      </c>
      <c r="C6556" t="s">
        <v>2808</v>
      </c>
    </row>
    <row r="6557" spans="1:3" x14ac:dyDescent="0.4">
      <c r="A6557" s="1" t="s">
        <v>12774</v>
      </c>
      <c r="B6557" t="s">
        <v>12775</v>
      </c>
      <c r="C6557" t="s">
        <v>2808</v>
      </c>
    </row>
    <row r="6558" spans="1:3" x14ac:dyDescent="0.4">
      <c r="A6558" s="1" t="s">
        <v>12776</v>
      </c>
      <c r="B6558" t="s">
        <v>12777</v>
      </c>
      <c r="C6558" t="s">
        <v>2808</v>
      </c>
    </row>
    <row r="6559" spans="1:3" x14ac:dyDescent="0.4">
      <c r="A6559" s="1" t="s">
        <v>12778</v>
      </c>
      <c r="B6559" t="s">
        <v>12779</v>
      </c>
      <c r="C6559" t="s">
        <v>2808</v>
      </c>
    </row>
    <row r="6560" spans="1:3" x14ac:dyDescent="0.4">
      <c r="A6560" s="1" t="s">
        <v>12780</v>
      </c>
      <c r="B6560" t="e">
        <f>-終息-ﾘｻｲｸﾙﾄﾅｰLPCA3ETC9C</f>
        <v>#NAME?</v>
      </c>
      <c r="C6560" t="s">
        <v>2808</v>
      </c>
    </row>
    <row r="6561" spans="1:3" x14ac:dyDescent="0.4">
      <c r="A6561" s="1" t="s">
        <v>12781</v>
      </c>
      <c r="B6561" t="e">
        <f>-終息-ﾘｻｲｸﾙﾄﾅｰLPCA3ETC9K</f>
        <v>#NAME?</v>
      </c>
      <c r="C6561" t="s">
        <v>2808</v>
      </c>
    </row>
    <row r="6562" spans="1:3" x14ac:dyDescent="0.4">
      <c r="A6562" s="1" t="s">
        <v>12782</v>
      </c>
      <c r="B6562" t="e">
        <f>-終息-ﾘｻｲｸﾙﾄﾅｰLPCA3ETC9M</f>
        <v>#NAME?</v>
      </c>
      <c r="C6562" t="s">
        <v>2808</v>
      </c>
    </row>
    <row r="6563" spans="1:3" x14ac:dyDescent="0.4">
      <c r="A6563" s="1" t="s">
        <v>12783</v>
      </c>
      <c r="B6563" t="e">
        <f>-終息-ﾘｻｲｸﾙﾄﾅｰLPCA3ETC9Y</f>
        <v>#NAME?</v>
      </c>
      <c r="C6563" t="s">
        <v>2808</v>
      </c>
    </row>
    <row r="6564" spans="1:3" x14ac:dyDescent="0.4">
      <c r="A6564" s="1" t="s">
        <v>12784</v>
      </c>
      <c r="B6564" t="s">
        <v>12785</v>
      </c>
      <c r="C6564" t="s">
        <v>2808</v>
      </c>
    </row>
    <row r="6565" spans="1:3" x14ac:dyDescent="0.4">
      <c r="A6565" s="1" t="s">
        <v>12786</v>
      </c>
      <c r="B6565" t="s">
        <v>12787</v>
      </c>
      <c r="C6565" t="s">
        <v>2808</v>
      </c>
    </row>
    <row r="6566" spans="1:3" x14ac:dyDescent="0.4">
      <c r="A6566" s="1" t="s">
        <v>12788</v>
      </c>
      <c r="B6566" t="s">
        <v>12789</v>
      </c>
      <c r="C6566" t="s">
        <v>2808</v>
      </c>
    </row>
    <row r="6567" spans="1:3" x14ac:dyDescent="0.4">
      <c r="A6567" s="1" t="s">
        <v>12790</v>
      </c>
      <c r="B6567" t="s">
        <v>12791</v>
      </c>
      <c r="C6567" t="s">
        <v>2808</v>
      </c>
    </row>
    <row r="6568" spans="1:3" x14ac:dyDescent="0.4">
      <c r="A6568" s="1" t="s">
        <v>12792</v>
      </c>
      <c r="B6568" t="s">
        <v>12793</v>
      </c>
      <c r="C6568" t="s">
        <v>2808</v>
      </c>
    </row>
    <row r="6569" spans="1:3" x14ac:dyDescent="0.4">
      <c r="A6569" s="1" t="s">
        <v>12794</v>
      </c>
      <c r="B6569" t="s">
        <v>12795</v>
      </c>
      <c r="C6569" t="s">
        <v>2808</v>
      </c>
    </row>
    <row r="6570" spans="1:3" x14ac:dyDescent="0.4">
      <c r="A6570" s="1" t="s">
        <v>12796</v>
      </c>
      <c r="B6570" t="s">
        <v>12797</v>
      </c>
      <c r="C6570" t="s">
        <v>2808</v>
      </c>
    </row>
    <row r="6571" spans="1:3" x14ac:dyDescent="0.4">
      <c r="A6571" s="1" t="s">
        <v>12798</v>
      </c>
      <c r="B6571" t="s">
        <v>12799</v>
      </c>
      <c r="C6571" t="s">
        <v>2808</v>
      </c>
    </row>
    <row r="6572" spans="1:3" x14ac:dyDescent="0.4">
      <c r="A6572" s="1" t="s">
        <v>12800</v>
      </c>
      <c r="B6572" t="e">
        <f>-終息-ﾘｻｲｸﾙﾄﾅｰ LPCA3T19C</f>
        <v>#NAME?</v>
      </c>
      <c r="C6572" t="s">
        <v>2808</v>
      </c>
    </row>
    <row r="6573" spans="1:3" x14ac:dyDescent="0.4">
      <c r="A6573" s="1" t="s">
        <v>12801</v>
      </c>
      <c r="B6573" t="e">
        <f>-終息-ﾘｻｲｸﾙﾄﾅｰ LPCA3T19K</f>
        <v>#NAME?</v>
      </c>
      <c r="C6573" t="s">
        <v>2808</v>
      </c>
    </row>
    <row r="6574" spans="1:3" x14ac:dyDescent="0.4">
      <c r="A6574" s="1" t="s">
        <v>12802</v>
      </c>
      <c r="B6574" t="e">
        <f>-終息-ﾘｻｲｸﾙﾄﾅｰ LPCA3T19M</f>
        <v>#NAME?</v>
      </c>
      <c r="C6574" t="s">
        <v>2808</v>
      </c>
    </row>
    <row r="6575" spans="1:3" x14ac:dyDescent="0.4">
      <c r="A6575" s="1" t="s">
        <v>12803</v>
      </c>
      <c r="B6575" t="e">
        <f>-終息-ﾘｻｲｸﾙﾄﾅｰ LPCA3T19Y</f>
        <v>#NAME?</v>
      </c>
      <c r="C6575" t="s">
        <v>2808</v>
      </c>
    </row>
    <row r="6576" spans="1:3" x14ac:dyDescent="0.4">
      <c r="A6576" s="1" t="s">
        <v>12804</v>
      </c>
      <c r="B6576" t="s">
        <v>12805</v>
      </c>
      <c r="C6576" t="s">
        <v>2808</v>
      </c>
    </row>
    <row r="6577" spans="1:3" x14ac:dyDescent="0.4">
      <c r="A6577" s="1" t="s">
        <v>12806</v>
      </c>
      <c r="B6577" t="s">
        <v>12807</v>
      </c>
      <c r="C6577" t="s">
        <v>2808</v>
      </c>
    </row>
    <row r="6578" spans="1:3" x14ac:dyDescent="0.4">
      <c r="A6578" s="1" t="s">
        <v>12808</v>
      </c>
      <c r="B6578" t="s">
        <v>12809</v>
      </c>
      <c r="C6578" t="s">
        <v>2808</v>
      </c>
    </row>
    <row r="6579" spans="1:3" x14ac:dyDescent="0.4">
      <c r="A6579" s="1" t="s">
        <v>12810</v>
      </c>
      <c r="B6579" t="s">
        <v>12811</v>
      </c>
      <c r="C6579" t="s">
        <v>2808</v>
      </c>
    </row>
    <row r="6580" spans="1:3" x14ac:dyDescent="0.4">
      <c r="A6580" s="1" t="s">
        <v>12812</v>
      </c>
      <c r="B6580" t="s">
        <v>12813</v>
      </c>
      <c r="C6580" t="s">
        <v>2808</v>
      </c>
    </row>
    <row r="6581" spans="1:3" x14ac:dyDescent="0.4">
      <c r="A6581" s="1" t="s">
        <v>12814</v>
      </c>
      <c r="B6581" t="s">
        <v>12815</v>
      </c>
      <c r="C6581" t="s">
        <v>2808</v>
      </c>
    </row>
    <row r="6582" spans="1:3" x14ac:dyDescent="0.4">
      <c r="A6582" s="1" t="s">
        <v>12816</v>
      </c>
      <c r="B6582" t="s">
        <v>12817</v>
      </c>
      <c r="C6582" t="s">
        <v>2808</v>
      </c>
    </row>
    <row r="6583" spans="1:3" x14ac:dyDescent="0.4">
      <c r="A6583" s="1" t="s">
        <v>12818</v>
      </c>
      <c r="B6583" t="s">
        <v>12819</v>
      </c>
      <c r="C6583" t="s">
        <v>2808</v>
      </c>
    </row>
    <row r="6584" spans="1:3" x14ac:dyDescent="0.4">
      <c r="A6584" s="1" t="s">
        <v>12820</v>
      </c>
      <c r="B6584" t="s">
        <v>12821</v>
      </c>
      <c r="C6584" t="s">
        <v>2808</v>
      </c>
    </row>
    <row r="6585" spans="1:3" x14ac:dyDescent="0.4">
      <c r="A6585" s="1" t="s">
        <v>12822</v>
      </c>
      <c r="B6585" t="s">
        <v>12823</v>
      </c>
      <c r="C6585" t="s">
        <v>2808</v>
      </c>
    </row>
    <row r="6586" spans="1:3" x14ac:dyDescent="0.4">
      <c r="A6586" s="1" t="s">
        <v>12824</v>
      </c>
      <c r="B6586" t="s">
        <v>12825</v>
      </c>
      <c r="C6586" t="s">
        <v>2808</v>
      </c>
    </row>
    <row r="6587" spans="1:3" x14ac:dyDescent="0.4">
      <c r="A6587" s="1" t="s">
        <v>12826</v>
      </c>
      <c r="B6587" t="s">
        <v>12827</v>
      </c>
      <c r="C6587" t="s">
        <v>2808</v>
      </c>
    </row>
    <row r="6588" spans="1:3" x14ac:dyDescent="0.4">
      <c r="A6588" s="1" t="s">
        <v>12828</v>
      </c>
      <c r="B6588" t="s">
        <v>12829</v>
      </c>
      <c r="C6588" t="s">
        <v>2808</v>
      </c>
    </row>
    <row r="6589" spans="1:3" x14ac:dyDescent="0.4">
      <c r="A6589" s="1" t="s">
        <v>12830</v>
      </c>
      <c r="B6589" t="s">
        <v>12831</v>
      </c>
      <c r="C6589" t="s">
        <v>2808</v>
      </c>
    </row>
    <row r="6590" spans="1:3" x14ac:dyDescent="0.4">
      <c r="A6590" s="1" t="s">
        <v>12832</v>
      </c>
      <c r="B6590" t="s">
        <v>12833</v>
      </c>
      <c r="C6590" t="s">
        <v>2808</v>
      </c>
    </row>
    <row r="6591" spans="1:3" x14ac:dyDescent="0.4">
      <c r="A6591" s="1" t="s">
        <v>12834</v>
      </c>
      <c r="B6591" t="s">
        <v>12835</v>
      </c>
      <c r="C6591" t="s">
        <v>2808</v>
      </c>
    </row>
    <row r="6592" spans="1:3" x14ac:dyDescent="0.4">
      <c r="A6592" s="1" t="s">
        <v>12836</v>
      </c>
      <c r="B6592" t="s">
        <v>12837</v>
      </c>
      <c r="C6592" t="s">
        <v>2808</v>
      </c>
    </row>
    <row r="6593" spans="1:3" x14ac:dyDescent="0.4">
      <c r="A6593" s="1" t="s">
        <v>12838</v>
      </c>
      <c r="B6593" t="s">
        <v>12839</v>
      </c>
      <c r="C6593" t="s">
        <v>2808</v>
      </c>
    </row>
    <row r="6594" spans="1:3" x14ac:dyDescent="0.4">
      <c r="A6594" s="1" t="s">
        <v>12840</v>
      </c>
      <c r="B6594" t="s">
        <v>12841</v>
      </c>
      <c r="C6594" t="s">
        <v>2808</v>
      </c>
    </row>
    <row r="6595" spans="1:3" x14ac:dyDescent="0.4">
      <c r="A6595" s="1" t="s">
        <v>12842</v>
      </c>
      <c r="B6595" t="s">
        <v>12843</v>
      </c>
      <c r="C6595" t="s">
        <v>2808</v>
      </c>
    </row>
    <row r="6596" spans="1:3" x14ac:dyDescent="0.4">
      <c r="A6596" s="1" t="s">
        <v>12844</v>
      </c>
      <c r="B6596" t="s">
        <v>12845</v>
      </c>
      <c r="C6596" t="s">
        <v>2808</v>
      </c>
    </row>
    <row r="6597" spans="1:3" x14ac:dyDescent="0.4">
      <c r="A6597" s="1" t="s">
        <v>12846</v>
      </c>
      <c r="B6597" t="s">
        <v>12847</v>
      </c>
      <c r="C6597" t="s">
        <v>2808</v>
      </c>
    </row>
    <row r="6598" spans="1:3" x14ac:dyDescent="0.4">
      <c r="A6598" s="1" t="s">
        <v>12848</v>
      </c>
      <c r="B6598" t="e">
        <f>-終息-ﾘｻｲｸﾙ MV-HPRB35A</f>
        <v>#NAME?</v>
      </c>
      <c r="C6598" t="s">
        <v>2808</v>
      </c>
    </row>
    <row r="6599" spans="1:3" x14ac:dyDescent="0.4">
      <c r="A6599" s="1" t="s">
        <v>12849</v>
      </c>
      <c r="B6599" t="s">
        <v>12850</v>
      </c>
      <c r="C6599" t="s">
        <v>2808</v>
      </c>
    </row>
    <row r="6600" spans="1:3" x14ac:dyDescent="0.4">
      <c r="A6600" s="1" t="s">
        <v>12851</v>
      </c>
      <c r="B6600" t="s">
        <v>12852</v>
      </c>
      <c r="C6600" t="s">
        <v>2808</v>
      </c>
    </row>
    <row r="6601" spans="1:3" x14ac:dyDescent="0.4">
      <c r="A6601" s="1" t="s">
        <v>12853</v>
      </c>
      <c r="B6601" t="s">
        <v>12854</v>
      </c>
      <c r="C6601" t="s">
        <v>2808</v>
      </c>
    </row>
    <row r="6602" spans="1:3" x14ac:dyDescent="0.4">
      <c r="A6602" s="1" t="s">
        <v>12855</v>
      </c>
      <c r="B6602" t="s">
        <v>12856</v>
      </c>
      <c r="C6602" t="s">
        <v>2808</v>
      </c>
    </row>
    <row r="6603" spans="1:3" x14ac:dyDescent="0.4">
      <c r="A6603" s="1" t="s">
        <v>12857</v>
      </c>
      <c r="B6603" t="s">
        <v>12858</v>
      </c>
      <c r="C6603" t="s">
        <v>2808</v>
      </c>
    </row>
    <row r="6604" spans="1:3" x14ac:dyDescent="0.4">
      <c r="A6604" s="1" t="s">
        <v>12859</v>
      </c>
      <c r="B6604" t="s">
        <v>12860</v>
      </c>
      <c r="C6604" t="s">
        <v>2808</v>
      </c>
    </row>
    <row r="6605" spans="1:3" x14ac:dyDescent="0.4">
      <c r="A6605" s="1" t="s">
        <v>12861</v>
      </c>
      <c r="B6605" t="s">
        <v>12862</v>
      </c>
      <c r="C6605" t="s">
        <v>2808</v>
      </c>
    </row>
    <row r="6606" spans="1:3" x14ac:dyDescent="0.4">
      <c r="A6606" s="1" t="s">
        <v>12863</v>
      </c>
      <c r="B6606" t="s">
        <v>12864</v>
      </c>
      <c r="C6606" t="s">
        <v>2808</v>
      </c>
    </row>
    <row r="6607" spans="1:3" x14ac:dyDescent="0.4">
      <c r="A6607" s="1" t="s">
        <v>12865</v>
      </c>
      <c r="B6607" t="s">
        <v>12866</v>
      </c>
      <c r="C6607" t="s">
        <v>2808</v>
      </c>
    </row>
    <row r="6608" spans="1:3" x14ac:dyDescent="0.4">
      <c r="A6608" s="1" t="s">
        <v>12867</v>
      </c>
      <c r="B6608" t="s">
        <v>12868</v>
      </c>
      <c r="C6608" t="s">
        <v>2808</v>
      </c>
    </row>
    <row r="6609" spans="1:3" x14ac:dyDescent="0.4">
      <c r="A6609" s="1" t="s">
        <v>12869</v>
      </c>
      <c r="B6609" t="s">
        <v>12870</v>
      </c>
      <c r="C6609" t="s">
        <v>2808</v>
      </c>
    </row>
    <row r="6610" spans="1:3" x14ac:dyDescent="0.4">
      <c r="A6610" s="1" t="s">
        <v>12871</v>
      </c>
      <c r="B6610" t="s">
        <v>12872</v>
      </c>
      <c r="C6610" t="s">
        <v>2808</v>
      </c>
    </row>
    <row r="6611" spans="1:3" x14ac:dyDescent="0.4">
      <c r="A6611" s="1" t="s">
        <v>12873</v>
      </c>
      <c r="B6611" t="s">
        <v>12874</v>
      </c>
      <c r="C6611" t="s">
        <v>2808</v>
      </c>
    </row>
    <row r="6612" spans="1:3" x14ac:dyDescent="0.4">
      <c r="A6612" s="1" t="s">
        <v>12875</v>
      </c>
      <c r="B6612" t="s">
        <v>12876</v>
      </c>
      <c r="C6612" t="s">
        <v>2808</v>
      </c>
    </row>
    <row r="6613" spans="1:3" x14ac:dyDescent="0.4">
      <c r="A6613" s="1" t="s">
        <v>12877</v>
      </c>
      <c r="B6613" t="s">
        <v>12878</v>
      </c>
      <c r="C6613" t="s">
        <v>2808</v>
      </c>
    </row>
    <row r="6614" spans="1:3" x14ac:dyDescent="0.4">
      <c r="A6614" s="1" t="s">
        <v>12879</v>
      </c>
      <c r="B6614" t="s">
        <v>12880</v>
      </c>
      <c r="C6614" t="s">
        <v>2808</v>
      </c>
    </row>
    <row r="6615" spans="1:3" x14ac:dyDescent="0.4">
      <c r="A6615" s="1" t="s">
        <v>12881</v>
      </c>
      <c r="B6615" t="s">
        <v>12882</v>
      </c>
      <c r="C6615" t="s">
        <v>2808</v>
      </c>
    </row>
    <row r="6616" spans="1:3" x14ac:dyDescent="0.4">
      <c r="A6616" s="1" t="s">
        <v>12883</v>
      </c>
      <c r="B6616" t="s">
        <v>12884</v>
      </c>
      <c r="C6616" t="s">
        <v>2808</v>
      </c>
    </row>
    <row r="6617" spans="1:3" x14ac:dyDescent="0.4">
      <c r="A6617" s="1" t="s">
        <v>12885</v>
      </c>
      <c r="B6617" t="s">
        <v>12886</v>
      </c>
      <c r="C6617" t="s">
        <v>2808</v>
      </c>
    </row>
    <row r="6618" spans="1:3" x14ac:dyDescent="0.4">
      <c r="A6618" s="1" t="s">
        <v>12887</v>
      </c>
      <c r="B6618" t="s">
        <v>12888</v>
      </c>
      <c r="C6618" t="s">
        <v>2808</v>
      </c>
    </row>
    <row r="6619" spans="1:3" x14ac:dyDescent="0.4">
      <c r="A6619" s="1" t="s">
        <v>12889</v>
      </c>
      <c r="B6619" t="s">
        <v>12890</v>
      </c>
      <c r="C6619" t="s">
        <v>2808</v>
      </c>
    </row>
    <row r="6620" spans="1:3" x14ac:dyDescent="0.4">
      <c r="A6620" s="1" t="s">
        <v>12891</v>
      </c>
      <c r="B6620" t="e">
        <f>-終息-ﾘｻｲｸﾙﾄﾅｰ #REF!-TSC</f>
        <v>#NAME?</v>
      </c>
      <c r="C6620" t="s">
        <v>2808</v>
      </c>
    </row>
    <row r="6621" spans="1:3" x14ac:dyDescent="0.4">
      <c r="A6621" s="1" t="s">
        <v>12892</v>
      </c>
      <c r="B6621" t="e">
        <f>-終息-ﾘｻｲｸﾙﾄﾅｰ #REF!-TSK</f>
        <v>#NAME?</v>
      </c>
      <c r="C6621" t="s">
        <v>2808</v>
      </c>
    </row>
    <row r="6622" spans="1:3" x14ac:dyDescent="0.4">
      <c r="A6622" s="1" t="s">
        <v>12893</v>
      </c>
      <c r="B6622" t="e">
        <f>-終息-ﾘｻｲｸﾙﾄﾅｰ #REF!-TSM</f>
        <v>#NAME?</v>
      </c>
      <c r="C6622" t="s">
        <v>2808</v>
      </c>
    </row>
    <row r="6623" spans="1:3" x14ac:dyDescent="0.4">
      <c r="A6623" s="1" t="s">
        <v>12894</v>
      </c>
      <c r="B6623" t="e">
        <f>-終息-ﾘｻｲｸﾙﾄﾅｰ #REF!-TSY</f>
        <v>#NAME?</v>
      </c>
      <c r="C6623" t="s">
        <v>2808</v>
      </c>
    </row>
    <row r="6624" spans="1:3" x14ac:dyDescent="0.4">
      <c r="A6624" s="1" t="s">
        <v>12895</v>
      </c>
      <c r="B6624" t="s">
        <v>12896</v>
      </c>
      <c r="C6624" t="s">
        <v>2808</v>
      </c>
    </row>
    <row r="6625" spans="1:3" x14ac:dyDescent="0.4">
      <c r="A6625" s="1" t="s">
        <v>12897</v>
      </c>
      <c r="B6625" t="s">
        <v>12898</v>
      </c>
      <c r="C6625" t="s">
        <v>2808</v>
      </c>
    </row>
    <row r="6626" spans="1:3" x14ac:dyDescent="0.4">
      <c r="A6626" s="1" t="s">
        <v>12899</v>
      </c>
      <c r="B6626" t="s">
        <v>12900</v>
      </c>
      <c r="C6626" t="s">
        <v>2808</v>
      </c>
    </row>
    <row r="6627" spans="1:3" x14ac:dyDescent="0.4">
      <c r="A6627" s="1" t="s">
        <v>12901</v>
      </c>
      <c r="B6627" t="s">
        <v>12902</v>
      </c>
      <c r="C6627" t="s">
        <v>2808</v>
      </c>
    </row>
    <row r="6628" spans="1:3" x14ac:dyDescent="0.4">
      <c r="A6628" s="1" t="s">
        <v>12903</v>
      </c>
      <c r="B6628" t="s">
        <v>12904</v>
      </c>
      <c r="C6628" t="s">
        <v>2808</v>
      </c>
    </row>
    <row r="6629" spans="1:3" x14ac:dyDescent="0.4">
      <c r="A6629" s="1" t="s">
        <v>12905</v>
      </c>
      <c r="B6629" t="s">
        <v>12906</v>
      </c>
      <c r="C6629" t="s">
        <v>2808</v>
      </c>
    </row>
    <row r="6630" spans="1:3" x14ac:dyDescent="0.4">
      <c r="A6630" s="1" t="s">
        <v>12907</v>
      </c>
      <c r="B6630" t="s">
        <v>12908</v>
      </c>
      <c r="C6630" t="s">
        <v>2808</v>
      </c>
    </row>
    <row r="6631" spans="1:3" x14ac:dyDescent="0.4">
      <c r="A6631" s="1" t="s">
        <v>12909</v>
      </c>
      <c r="B6631" t="s">
        <v>12910</v>
      </c>
      <c r="C6631" t="s">
        <v>2808</v>
      </c>
    </row>
    <row r="6632" spans="1:3" x14ac:dyDescent="0.4">
      <c r="A6632" s="1" t="s">
        <v>12911</v>
      </c>
      <c r="B6632" t="s">
        <v>12912</v>
      </c>
      <c r="C6632" t="s">
        <v>2808</v>
      </c>
    </row>
    <row r="6633" spans="1:3" x14ac:dyDescent="0.4">
      <c r="A6633" s="1" t="s">
        <v>12913</v>
      </c>
      <c r="B6633" t="s">
        <v>12914</v>
      </c>
      <c r="C6633" t="s">
        <v>2808</v>
      </c>
    </row>
    <row r="6634" spans="1:3" x14ac:dyDescent="0.4">
      <c r="A6634" s="1" t="s">
        <v>12915</v>
      </c>
      <c r="B6634" t="s">
        <v>12916</v>
      </c>
      <c r="C6634" t="s">
        <v>2808</v>
      </c>
    </row>
    <row r="6635" spans="1:3" x14ac:dyDescent="0.4">
      <c r="A6635" s="1" t="s">
        <v>12917</v>
      </c>
      <c r="B6635" t="s">
        <v>12918</v>
      </c>
      <c r="C6635" t="s">
        <v>2808</v>
      </c>
    </row>
    <row r="6636" spans="1:3" x14ac:dyDescent="0.4">
      <c r="A6636" s="1" t="s">
        <v>12919</v>
      </c>
      <c r="B6636" t="s">
        <v>12920</v>
      </c>
      <c r="C6636" t="s">
        <v>2808</v>
      </c>
    </row>
    <row r="6637" spans="1:3" x14ac:dyDescent="0.4">
      <c r="A6637" s="1" t="s">
        <v>12921</v>
      </c>
      <c r="B6637" t="s">
        <v>12922</v>
      </c>
      <c r="C6637" t="s">
        <v>2808</v>
      </c>
    </row>
    <row r="6638" spans="1:3" x14ac:dyDescent="0.4">
      <c r="A6638" s="1" t="s">
        <v>12923</v>
      </c>
      <c r="B6638" t="s">
        <v>12924</v>
      </c>
      <c r="C6638" t="s">
        <v>2808</v>
      </c>
    </row>
    <row r="6639" spans="1:3" x14ac:dyDescent="0.4">
      <c r="A6639" s="1" t="s">
        <v>12925</v>
      </c>
      <c r="B6639" t="s">
        <v>12926</v>
      </c>
      <c r="C6639" t="s">
        <v>2808</v>
      </c>
    </row>
    <row r="6640" spans="1:3" x14ac:dyDescent="0.4">
      <c r="A6640" s="1" t="s">
        <v>12927</v>
      </c>
      <c r="B6640" t="s">
        <v>12928</v>
      </c>
      <c r="C6640" t="s">
        <v>2808</v>
      </c>
    </row>
    <row r="6641" spans="1:3" x14ac:dyDescent="0.4">
      <c r="A6641" s="1" t="s">
        <v>12929</v>
      </c>
      <c r="B6641" t="s">
        <v>12930</v>
      </c>
      <c r="C6641" t="s">
        <v>2808</v>
      </c>
    </row>
    <row r="6642" spans="1:3" x14ac:dyDescent="0.4">
      <c r="A6642" s="1" t="s">
        <v>12931</v>
      </c>
      <c r="B6642" t="s">
        <v>12932</v>
      </c>
      <c r="C6642" t="s">
        <v>2808</v>
      </c>
    </row>
    <row r="6643" spans="1:3" x14ac:dyDescent="0.4">
      <c r="A6643" s="1" t="s">
        <v>12933</v>
      </c>
      <c r="B6643" t="s">
        <v>12934</v>
      </c>
      <c r="C6643" t="s">
        <v>2808</v>
      </c>
    </row>
    <row r="6644" spans="1:3" x14ac:dyDescent="0.4">
      <c r="A6644" s="1" t="s">
        <v>12935</v>
      </c>
      <c r="B6644" t="s">
        <v>12936</v>
      </c>
      <c r="C6644" t="s">
        <v>2808</v>
      </c>
    </row>
    <row r="6645" spans="1:3" x14ac:dyDescent="0.4">
      <c r="A6645" s="1" t="s">
        <v>12937</v>
      </c>
      <c r="B6645" t="s">
        <v>12938</v>
      </c>
      <c r="C6645" t="s">
        <v>2808</v>
      </c>
    </row>
    <row r="6646" spans="1:3" x14ac:dyDescent="0.4">
      <c r="A6646" s="1" t="s">
        <v>12939</v>
      </c>
      <c r="B6646" t="s">
        <v>12940</v>
      </c>
      <c r="C6646" t="s">
        <v>2808</v>
      </c>
    </row>
    <row r="6647" spans="1:3" x14ac:dyDescent="0.4">
      <c r="A6647" s="1" t="s">
        <v>12941</v>
      </c>
      <c r="B6647" t="s">
        <v>12942</v>
      </c>
      <c r="C6647" t="s">
        <v>2808</v>
      </c>
    </row>
    <row r="6648" spans="1:3" x14ac:dyDescent="0.4">
      <c r="A6648" s="1" t="s">
        <v>12943</v>
      </c>
      <c r="B6648" t="s">
        <v>12944</v>
      </c>
      <c r="C6648" t="s">
        <v>2808</v>
      </c>
    </row>
    <row r="6649" spans="1:3" x14ac:dyDescent="0.4">
      <c r="A6649" s="1" t="s">
        <v>12945</v>
      </c>
      <c r="B6649" t="s">
        <v>12946</v>
      </c>
      <c r="C6649" t="s">
        <v>2808</v>
      </c>
    </row>
    <row r="6650" spans="1:3" x14ac:dyDescent="0.4">
      <c r="A6650" s="1" t="s">
        <v>12947</v>
      </c>
      <c r="B6650" t="s">
        <v>12948</v>
      </c>
      <c r="C6650" t="s">
        <v>2808</v>
      </c>
    </row>
    <row r="6651" spans="1:3" x14ac:dyDescent="0.4">
      <c r="A6651" s="1" t="s">
        <v>12949</v>
      </c>
      <c r="B6651" t="s">
        <v>12950</v>
      </c>
      <c r="C6651" t="s">
        <v>2808</v>
      </c>
    </row>
    <row r="6652" spans="1:3" x14ac:dyDescent="0.4">
      <c r="A6652" s="1" t="s">
        <v>12951</v>
      </c>
      <c r="B6652" t="s">
        <v>12952</v>
      </c>
      <c r="C6652" t="s">
        <v>2808</v>
      </c>
    </row>
    <row r="6653" spans="1:3" x14ac:dyDescent="0.4">
      <c r="A6653" s="1" t="s">
        <v>12953</v>
      </c>
      <c r="B6653" t="s">
        <v>12954</v>
      </c>
      <c r="C6653" t="s">
        <v>2808</v>
      </c>
    </row>
    <row r="6654" spans="1:3" x14ac:dyDescent="0.4">
      <c r="A6654" s="1" t="s">
        <v>12955</v>
      </c>
      <c r="B6654" t="s">
        <v>12956</v>
      </c>
      <c r="C6654" t="s">
        <v>2808</v>
      </c>
    </row>
    <row r="6655" spans="1:3" x14ac:dyDescent="0.4">
      <c r="A6655" s="1" t="s">
        <v>12957</v>
      </c>
      <c r="B6655" t="s">
        <v>12958</v>
      </c>
      <c r="C6655" t="s">
        <v>2808</v>
      </c>
    </row>
    <row r="6656" spans="1:3" x14ac:dyDescent="0.4">
      <c r="A6656" s="1" t="s">
        <v>12959</v>
      </c>
      <c r="B6656" t="s">
        <v>12960</v>
      </c>
      <c r="C6656" t="s">
        <v>2808</v>
      </c>
    </row>
    <row r="6657" spans="1:3" x14ac:dyDescent="0.4">
      <c r="A6657" s="1" t="s">
        <v>12961</v>
      </c>
      <c r="B6657" t="s">
        <v>12962</v>
      </c>
      <c r="C6657" t="s">
        <v>2808</v>
      </c>
    </row>
    <row r="6658" spans="1:3" x14ac:dyDescent="0.4">
      <c r="A6658" s="1" t="s">
        <v>12963</v>
      </c>
      <c r="B6658" t="s">
        <v>12964</v>
      </c>
      <c r="C6658" t="s">
        <v>2808</v>
      </c>
    </row>
    <row r="6659" spans="1:3" x14ac:dyDescent="0.4">
      <c r="A6659" s="1" t="s">
        <v>12965</v>
      </c>
      <c r="B6659" t="s">
        <v>12966</v>
      </c>
      <c r="C6659" t="s">
        <v>2808</v>
      </c>
    </row>
    <row r="6660" spans="1:3" x14ac:dyDescent="0.4">
      <c r="A6660" s="1" t="s">
        <v>12967</v>
      </c>
      <c r="B6660" t="s">
        <v>12968</v>
      </c>
      <c r="C6660" t="s">
        <v>2808</v>
      </c>
    </row>
    <row r="6661" spans="1:3" x14ac:dyDescent="0.4">
      <c r="A6661" s="1" t="s">
        <v>12969</v>
      </c>
      <c r="B6661" t="s">
        <v>12970</v>
      </c>
      <c r="C6661" t="s">
        <v>2808</v>
      </c>
    </row>
    <row r="6662" spans="1:3" x14ac:dyDescent="0.4">
      <c r="A6662" s="1" t="s">
        <v>12971</v>
      </c>
      <c r="B6662" t="s">
        <v>12972</v>
      </c>
      <c r="C6662" t="s">
        <v>2808</v>
      </c>
    </row>
    <row r="6663" spans="1:3" x14ac:dyDescent="0.4">
      <c r="A6663" s="1" t="s">
        <v>12973</v>
      </c>
      <c r="B6663" t="s">
        <v>12974</v>
      </c>
      <c r="C6663" t="s">
        <v>2808</v>
      </c>
    </row>
    <row r="6664" spans="1:3" x14ac:dyDescent="0.4">
      <c r="A6664" s="1" t="s">
        <v>12975</v>
      </c>
      <c r="B6664" t="s">
        <v>12976</v>
      </c>
      <c r="C6664" t="s">
        <v>2808</v>
      </c>
    </row>
    <row r="6665" spans="1:3" x14ac:dyDescent="0.4">
      <c r="A6665" s="1" t="s">
        <v>12977</v>
      </c>
      <c r="B6665" t="s">
        <v>12978</v>
      </c>
      <c r="C6665" t="s">
        <v>2808</v>
      </c>
    </row>
    <row r="6666" spans="1:3" x14ac:dyDescent="0.4">
      <c r="A6666" s="1" t="s">
        <v>12979</v>
      </c>
      <c r="B6666" t="s">
        <v>12980</v>
      </c>
      <c r="C6666" t="s">
        <v>2808</v>
      </c>
    </row>
    <row r="6667" spans="1:3" x14ac:dyDescent="0.4">
      <c r="A6667" s="1" t="s">
        <v>12981</v>
      </c>
      <c r="B6667" t="s">
        <v>12982</v>
      </c>
      <c r="C6667" t="s">
        <v>2808</v>
      </c>
    </row>
    <row r="6668" spans="1:3" x14ac:dyDescent="0.4">
      <c r="A6668" s="1" t="s">
        <v>12983</v>
      </c>
      <c r="B6668" t="s">
        <v>12984</v>
      </c>
      <c r="C6668" t="s">
        <v>2808</v>
      </c>
    </row>
    <row r="6669" spans="1:3" x14ac:dyDescent="0.4">
      <c r="A6669" s="1" t="s">
        <v>12985</v>
      </c>
      <c r="B6669" t="s">
        <v>12986</v>
      </c>
      <c r="C6669" t="s">
        <v>2808</v>
      </c>
    </row>
    <row r="6670" spans="1:3" x14ac:dyDescent="0.4">
      <c r="A6670" s="1" t="s">
        <v>12987</v>
      </c>
      <c r="B6670" t="s">
        <v>12988</v>
      </c>
      <c r="C6670" t="s">
        <v>2808</v>
      </c>
    </row>
    <row r="6671" spans="1:3" x14ac:dyDescent="0.4">
      <c r="A6671" s="1" t="s">
        <v>12989</v>
      </c>
      <c r="B6671" t="s">
        <v>12990</v>
      </c>
      <c r="C6671" t="s">
        <v>2808</v>
      </c>
    </row>
    <row r="6672" spans="1:3" x14ac:dyDescent="0.4">
      <c r="A6672" s="1" t="s">
        <v>12991</v>
      </c>
      <c r="B6672" t="s">
        <v>12992</v>
      </c>
      <c r="C6672" t="s">
        <v>2808</v>
      </c>
    </row>
    <row r="6673" spans="1:3" x14ac:dyDescent="0.4">
      <c r="A6673" s="1" t="s">
        <v>12993</v>
      </c>
      <c r="B6673" t="s">
        <v>12994</v>
      </c>
      <c r="C6673" t="s">
        <v>2808</v>
      </c>
    </row>
    <row r="6674" spans="1:3" x14ac:dyDescent="0.4">
      <c r="A6674" s="1" t="s">
        <v>12995</v>
      </c>
      <c r="B6674" t="s">
        <v>12996</v>
      </c>
      <c r="C6674" t="s">
        <v>2808</v>
      </c>
    </row>
    <row r="6675" spans="1:3" x14ac:dyDescent="0.4">
      <c r="A6675" s="1" t="s">
        <v>12997</v>
      </c>
      <c r="B6675" t="s">
        <v>12998</v>
      </c>
      <c r="C6675" t="s">
        <v>2808</v>
      </c>
    </row>
    <row r="6676" spans="1:3" x14ac:dyDescent="0.4">
      <c r="A6676" s="1" t="s">
        <v>12999</v>
      </c>
      <c r="B6676" t="s">
        <v>13000</v>
      </c>
      <c r="C6676" t="s">
        <v>2808</v>
      </c>
    </row>
    <row r="6677" spans="1:3" x14ac:dyDescent="0.4">
      <c r="A6677" s="1" t="s">
        <v>13001</v>
      </c>
      <c r="B6677" t="s">
        <v>13002</v>
      </c>
      <c r="C6677" t="s">
        <v>2808</v>
      </c>
    </row>
    <row r="6678" spans="1:3" x14ac:dyDescent="0.4">
      <c r="A6678" s="1" t="s">
        <v>13003</v>
      </c>
      <c r="B6678" t="s">
        <v>13004</v>
      </c>
      <c r="C6678" t="s">
        <v>2808</v>
      </c>
    </row>
    <row r="6679" spans="1:3" x14ac:dyDescent="0.4">
      <c r="A6679" s="1" t="s">
        <v>13005</v>
      </c>
      <c r="B6679" t="s">
        <v>13006</v>
      </c>
      <c r="C6679" t="s">
        <v>2808</v>
      </c>
    </row>
    <row r="6680" spans="1:3" x14ac:dyDescent="0.4">
      <c r="A6680" s="1" t="s">
        <v>13007</v>
      </c>
      <c r="B6680" t="s">
        <v>13008</v>
      </c>
      <c r="C6680" t="s">
        <v>2808</v>
      </c>
    </row>
    <row r="6681" spans="1:3" x14ac:dyDescent="0.4">
      <c r="A6681" s="1" t="s">
        <v>13009</v>
      </c>
      <c r="B6681" t="s">
        <v>13010</v>
      </c>
      <c r="C6681" t="s">
        <v>2808</v>
      </c>
    </row>
    <row r="6682" spans="1:3" x14ac:dyDescent="0.4">
      <c r="A6682" s="1" t="s">
        <v>13011</v>
      </c>
      <c r="B6682" t="s">
        <v>13012</v>
      </c>
      <c r="C6682" t="s">
        <v>2808</v>
      </c>
    </row>
    <row r="6683" spans="1:3" x14ac:dyDescent="0.4">
      <c r="A6683" s="1" t="s">
        <v>13013</v>
      </c>
      <c r="B6683" t="s">
        <v>13014</v>
      </c>
      <c r="C6683" t="s">
        <v>2808</v>
      </c>
    </row>
    <row r="6684" spans="1:3" x14ac:dyDescent="0.4">
      <c r="A6684" s="1" t="s">
        <v>13015</v>
      </c>
      <c r="B6684" t="s">
        <v>13016</v>
      </c>
      <c r="C6684" t="s">
        <v>2808</v>
      </c>
    </row>
    <row r="6685" spans="1:3" x14ac:dyDescent="0.4">
      <c r="A6685" s="1" t="s">
        <v>13017</v>
      </c>
      <c r="B6685" t="s">
        <v>13018</v>
      </c>
      <c r="C6685" t="s">
        <v>2808</v>
      </c>
    </row>
    <row r="6686" spans="1:3" x14ac:dyDescent="0.4">
      <c r="A6686" s="1" t="s">
        <v>13019</v>
      </c>
      <c r="B6686" t="s">
        <v>13020</v>
      </c>
      <c r="C6686" t="s">
        <v>2808</v>
      </c>
    </row>
    <row r="6687" spans="1:3" x14ac:dyDescent="0.4">
      <c r="A6687" s="1" t="s">
        <v>13021</v>
      </c>
      <c r="B6687" t="s">
        <v>13022</v>
      </c>
      <c r="C6687" t="s">
        <v>2808</v>
      </c>
    </row>
    <row r="6688" spans="1:3" x14ac:dyDescent="0.4">
      <c r="A6688" s="1" t="s">
        <v>13023</v>
      </c>
      <c r="B6688" t="s">
        <v>13024</v>
      </c>
      <c r="C6688" t="s">
        <v>2808</v>
      </c>
    </row>
    <row r="6689" spans="1:3" x14ac:dyDescent="0.4">
      <c r="A6689" s="1" t="s">
        <v>13025</v>
      </c>
      <c r="B6689" t="s">
        <v>13026</v>
      </c>
      <c r="C6689" t="s">
        <v>2808</v>
      </c>
    </row>
    <row r="6690" spans="1:3" x14ac:dyDescent="0.4">
      <c r="A6690" s="1" t="s">
        <v>13027</v>
      </c>
      <c r="B6690" t="s">
        <v>13028</v>
      </c>
      <c r="C6690" t="s">
        <v>2808</v>
      </c>
    </row>
    <row r="6691" spans="1:3" x14ac:dyDescent="0.4">
      <c r="A6691" s="1" t="s">
        <v>13029</v>
      </c>
      <c r="B6691" t="e">
        <f>-終息-ﾘｻｲｸﾙ PR-#REF!-31</f>
        <v>#NAME?</v>
      </c>
      <c r="C6691" t="s">
        <v>2808</v>
      </c>
    </row>
    <row r="6692" spans="1:3" x14ac:dyDescent="0.4">
      <c r="A6692" s="1" t="s">
        <v>13030</v>
      </c>
      <c r="B6692" t="s">
        <v>13031</v>
      </c>
      <c r="C6692" t="s">
        <v>2808</v>
      </c>
    </row>
    <row r="6693" spans="1:3" x14ac:dyDescent="0.4">
      <c r="A6693" s="1" t="s">
        <v>13032</v>
      </c>
      <c r="B6693" t="s">
        <v>13033</v>
      </c>
      <c r="C6693" t="s">
        <v>2808</v>
      </c>
    </row>
    <row r="6694" spans="1:3" x14ac:dyDescent="0.4">
      <c r="A6694" s="1" t="s">
        <v>13034</v>
      </c>
      <c r="B6694" t="s">
        <v>13035</v>
      </c>
      <c r="C6694" t="s">
        <v>2808</v>
      </c>
    </row>
    <row r="6695" spans="1:3" x14ac:dyDescent="0.4">
      <c r="A6695" s="1" t="s">
        <v>13036</v>
      </c>
      <c r="B6695" t="s">
        <v>13037</v>
      </c>
      <c r="C6695" t="s">
        <v>2808</v>
      </c>
    </row>
    <row r="6696" spans="1:3" x14ac:dyDescent="0.4">
      <c r="A6696" s="1" t="s">
        <v>13038</v>
      </c>
      <c r="B6696" t="s">
        <v>13039</v>
      </c>
      <c r="C6696" t="s">
        <v>2808</v>
      </c>
    </row>
    <row r="6697" spans="1:3" x14ac:dyDescent="0.4">
      <c r="A6697" s="1" t="s">
        <v>13040</v>
      </c>
      <c r="B6697" t="s">
        <v>13041</v>
      </c>
      <c r="C6697" t="s">
        <v>2808</v>
      </c>
    </row>
    <row r="6698" spans="1:3" x14ac:dyDescent="0.4">
      <c r="A6698" s="1" t="s">
        <v>13042</v>
      </c>
      <c r="B6698" t="s">
        <v>13043</v>
      </c>
      <c r="C6698" t="s">
        <v>2808</v>
      </c>
    </row>
    <row r="6699" spans="1:3" x14ac:dyDescent="0.4">
      <c r="A6699" s="1" t="s">
        <v>13044</v>
      </c>
      <c r="B6699" t="s">
        <v>13045</v>
      </c>
      <c r="C6699" t="s">
        <v>2808</v>
      </c>
    </row>
    <row r="6700" spans="1:3" x14ac:dyDescent="0.4">
      <c r="A6700" s="1" t="s">
        <v>13046</v>
      </c>
      <c r="B6700" t="s">
        <v>13047</v>
      </c>
      <c r="C6700" t="s">
        <v>2808</v>
      </c>
    </row>
    <row r="6701" spans="1:3" x14ac:dyDescent="0.4">
      <c r="A6701" s="1" t="s">
        <v>13048</v>
      </c>
      <c r="B6701" t="s">
        <v>13049</v>
      </c>
      <c r="C6701" t="s">
        <v>2808</v>
      </c>
    </row>
    <row r="6702" spans="1:3" x14ac:dyDescent="0.4">
      <c r="A6702" s="1" t="s">
        <v>13050</v>
      </c>
      <c r="B6702" t="s">
        <v>13051</v>
      </c>
      <c r="C6702" t="s">
        <v>2808</v>
      </c>
    </row>
    <row r="6703" spans="1:3" x14ac:dyDescent="0.4">
      <c r="A6703" s="1" t="s">
        <v>13052</v>
      </c>
      <c r="B6703" t="s">
        <v>13053</v>
      </c>
      <c r="C6703" t="s">
        <v>2808</v>
      </c>
    </row>
    <row r="6704" spans="1:3" x14ac:dyDescent="0.4">
      <c r="A6704" s="1" t="s">
        <v>13054</v>
      </c>
      <c r="B6704" t="s">
        <v>13055</v>
      </c>
      <c r="C6704" t="s">
        <v>2808</v>
      </c>
    </row>
    <row r="6705" spans="1:3" x14ac:dyDescent="0.4">
      <c r="A6705" s="1" t="s">
        <v>13056</v>
      </c>
      <c r="B6705" t="s">
        <v>13057</v>
      </c>
      <c r="C6705" t="s">
        <v>2808</v>
      </c>
    </row>
    <row r="6706" spans="1:3" x14ac:dyDescent="0.4">
      <c r="A6706" s="1" t="s">
        <v>13058</v>
      </c>
      <c r="B6706" t="s">
        <v>13059</v>
      </c>
      <c r="C6706" t="s">
        <v>2808</v>
      </c>
    </row>
    <row r="6707" spans="1:3" x14ac:dyDescent="0.4">
      <c r="A6707" s="1" t="s">
        <v>13060</v>
      </c>
      <c r="B6707" t="s">
        <v>13061</v>
      </c>
      <c r="C6707" t="s">
        <v>2808</v>
      </c>
    </row>
    <row r="6708" spans="1:3" x14ac:dyDescent="0.4">
      <c r="A6708" s="1" t="s">
        <v>13062</v>
      </c>
      <c r="B6708" t="s">
        <v>13063</v>
      </c>
      <c r="C6708" t="s">
        <v>2808</v>
      </c>
    </row>
    <row r="6709" spans="1:3" x14ac:dyDescent="0.4">
      <c r="A6709" s="1" t="s">
        <v>13064</v>
      </c>
      <c r="B6709" t="s">
        <v>13065</v>
      </c>
      <c r="C6709" t="s">
        <v>2808</v>
      </c>
    </row>
    <row r="6710" spans="1:3" x14ac:dyDescent="0.4">
      <c r="A6710" s="1" t="s">
        <v>13066</v>
      </c>
      <c r="B6710" t="s">
        <v>13067</v>
      </c>
      <c r="C6710" t="s">
        <v>2808</v>
      </c>
    </row>
    <row r="6711" spans="1:3" x14ac:dyDescent="0.4">
      <c r="A6711" s="1" t="s">
        <v>13068</v>
      </c>
      <c r="B6711" t="s">
        <v>13069</v>
      </c>
      <c r="C6711" t="s">
        <v>2808</v>
      </c>
    </row>
    <row r="6712" spans="1:3" x14ac:dyDescent="0.4">
      <c r="A6712" s="1" t="s">
        <v>13070</v>
      </c>
      <c r="B6712" t="s">
        <v>13071</v>
      </c>
      <c r="C6712" t="s">
        <v>2808</v>
      </c>
    </row>
    <row r="6713" spans="1:3" x14ac:dyDescent="0.4">
      <c r="A6713" s="1" t="s">
        <v>13072</v>
      </c>
      <c r="B6713" t="s">
        <v>13073</v>
      </c>
      <c r="C6713" t="s">
        <v>2808</v>
      </c>
    </row>
    <row r="6714" spans="1:3" x14ac:dyDescent="0.4">
      <c r="A6714" s="1" t="s">
        <v>13074</v>
      </c>
      <c r="B6714" t="s">
        <v>13075</v>
      </c>
      <c r="C6714" t="s">
        <v>2808</v>
      </c>
    </row>
    <row r="6715" spans="1:3" x14ac:dyDescent="0.4">
      <c r="A6715" s="1" t="s">
        <v>13076</v>
      </c>
      <c r="B6715" t="s">
        <v>13077</v>
      </c>
      <c r="C6715" t="s">
        <v>2808</v>
      </c>
    </row>
    <row r="6716" spans="1:3" x14ac:dyDescent="0.4">
      <c r="A6716" s="1" t="s">
        <v>13078</v>
      </c>
      <c r="B6716" t="s">
        <v>13079</v>
      </c>
      <c r="C6716" t="s">
        <v>2808</v>
      </c>
    </row>
    <row r="6717" spans="1:3" x14ac:dyDescent="0.4">
      <c r="A6717" s="1" t="s">
        <v>13080</v>
      </c>
      <c r="B6717" t="s">
        <v>13081</v>
      </c>
      <c r="C6717" t="s">
        <v>2808</v>
      </c>
    </row>
    <row r="6718" spans="1:3" x14ac:dyDescent="0.4">
      <c r="A6718" s="1" t="s">
        <v>13082</v>
      </c>
      <c r="B6718" t="s">
        <v>13083</v>
      </c>
      <c r="C6718" t="s">
        <v>2808</v>
      </c>
    </row>
    <row r="6719" spans="1:3" x14ac:dyDescent="0.4">
      <c r="A6719" s="1" t="s">
        <v>13084</v>
      </c>
      <c r="B6719" t="s">
        <v>13085</v>
      </c>
      <c r="C6719" t="s">
        <v>2808</v>
      </c>
    </row>
    <row r="6720" spans="1:3" x14ac:dyDescent="0.4">
      <c r="A6720" s="1" t="s">
        <v>13086</v>
      </c>
      <c r="B6720" t="s">
        <v>13087</v>
      </c>
      <c r="C6720" t="s">
        <v>2808</v>
      </c>
    </row>
    <row r="6721" spans="1:3" x14ac:dyDescent="0.4">
      <c r="A6721" s="1" t="s">
        <v>13088</v>
      </c>
      <c r="B6721" t="s">
        <v>13089</v>
      </c>
      <c r="C6721" t="s">
        <v>2808</v>
      </c>
    </row>
    <row r="6722" spans="1:3" x14ac:dyDescent="0.4">
      <c r="A6722" s="1" t="s">
        <v>13090</v>
      </c>
      <c r="B6722" t="s">
        <v>13091</v>
      </c>
      <c r="C6722" t="s">
        <v>2808</v>
      </c>
    </row>
    <row r="6723" spans="1:3" x14ac:dyDescent="0.4">
      <c r="A6723" s="1" t="s">
        <v>13092</v>
      </c>
      <c r="B6723" t="s">
        <v>13093</v>
      </c>
      <c r="C6723" t="s">
        <v>2808</v>
      </c>
    </row>
    <row r="6724" spans="1:3" x14ac:dyDescent="0.4">
      <c r="A6724" s="1" t="s">
        <v>13094</v>
      </c>
      <c r="B6724" t="s">
        <v>13095</v>
      </c>
      <c r="C6724" t="s">
        <v>2808</v>
      </c>
    </row>
    <row r="6725" spans="1:3" x14ac:dyDescent="0.4">
      <c r="A6725" s="1" t="s">
        <v>13096</v>
      </c>
      <c r="B6725" t="s">
        <v>13097</v>
      </c>
      <c r="C6725" t="s">
        <v>2808</v>
      </c>
    </row>
    <row r="6726" spans="1:3" x14ac:dyDescent="0.4">
      <c r="A6726" s="1" t="s">
        <v>13098</v>
      </c>
      <c r="B6726" t="s">
        <v>13099</v>
      </c>
      <c r="C6726" t="s">
        <v>2808</v>
      </c>
    </row>
    <row r="6727" spans="1:3" x14ac:dyDescent="0.4">
      <c r="A6727" s="1" t="s">
        <v>13100</v>
      </c>
      <c r="B6727" t="s">
        <v>13101</v>
      </c>
      <c r="C6727" t="s">
        <v>2808</v>
      </c>
    </row>
    <row r="6728" spans="1:3" x14ac:dyDescent="0.4">
      <c r="A6728" s="1" t="s">
        <v>13102</v>
      </c>
      <c r="B6728" t="s">
        <v>13103</v>
      </c>
      <c r="C6728" t="s">
        <v>2808</v>
      </c>
    </row>
    <row r="6729" spans="1:3" x14ac:dyDescent="0.4">
      <c r="A6729" s="1" t="s">
        <v>13104</v>
      </c>
      <c r="B6729" t="s">
        <v>13105</v>
      </c>
      <c r="C6729" t="s">
        <v>2808</v>
      </c>
    </row>
    <row r="6730" spans="1:3" x14ac:dyDescent="0.4">
      <c r="A6730" s="1" t="s">
        <v>13106</v>
      </c>
      <c r="B6730" t="s">
        <v>13107</v>
      </c>
      <c r="C6730" t="s">
        <v>2808</v>
      </c>
    </row>
    <row r="6731" spans="1:3" x14ac:dyDescent="0.4">
      <c r="A6731" s="1" t="s">
        <v>13108</v>
      </c>
      <c r="B6731" t="s">
        <v>13109</v>
      </c>
      <c r="C6731" t="s">
        <v>2808</v>
      </c>
    </row>
    <row r="6732" spans="1:3" x14ac:dyDescent="0.4">
      <c r="A6732" s="1" t="s">
        <v>13110</v>
      </c>
      <c r="B6732" t="s">
        <v>13111</v>
      </c>
      <c r="C6732" t="s">
        <v>2808</v>
      </c>
    </row>
    <row r="6733" spans="1:3" x14ac:dyDescent="0.4">
      <c r="A6733" s="1" t="s">
        <v>13112</v>
      </c>
      <c r="B6733" t="s">
        <v>13113</v>
      </c>
      <c r="C6733" t="s">
        <v>2808</v>
      </c>
    </row>
    <row r="6734" spans="1:3" x14ac:dyDescent="0.4">
      <c r="A6734" s="1" t="s">
        <v>13114</v>
      </c>
      <c r="B6734" t="s">
        <v>13115</v>
      </c>
      <c r="C6734" t="s">
        <v>2808</v>
      </c>
    </row>
    <row r="6735" spans="1:3" x14ac:dyDescent="0.4">
      <c r="A6735" s="1" t="s">
        <v>13116</v>
      </c>
      <c r="B6735" t="s">
        <v>13117</v>
      </c>
      <c r="C6735" t="s">
        <v>2808</v>
      </c>
    </row>
    <row r="6736" spans="1:3" x14ac:dyDescent="0.4">
      <c r="A6736" s="1" t="s">
        <v>13118</v>
      </c>
      <c r="B6736" t="s">
        <v>13119</v>
      </c>
      <c r="C6736" t="s">
        <v>2808</v>
      </c>
    </row>
    <row r="6737" spans="1:4" x14ac:dyDescent="0.4">
      <c r="A6737" s="1" t="s">
        <v>13120</v>
      </c>
      <c r="B6737" t="s">
        <v>13121</v>
      </c>
      <c r="C6737" t="s">
        <v>2808</v>
      </c>
    </row>
    <row r="6738" spans="1:4" x14ac:dyDescent="0.4">
      <c r="A6738" s="1" t="s">
        <v>13122</v>
      </c>
      <c r="B6738" t="s">
        <v>13123</v>
      </c>
      <c r="D6738">
        <v>3380</v>
      </c>
    </row>
    <row r="6739" spans="1:4" x14ac:dyDescent="0.4">
      <c r="A6739" s="1" t="s">
        <v>13124</v>
      </c>
      <c r="B6739" t="s">
        <v>13125</v>
      </c>
      <c r="C6739" t="s">
        <v>2808</v>
      </c>
    </row>
    <row r="6740" spans="1:4" x14ac:dyDescent="0.4">
      <c r="A6740" s="1" t="s">
        <v>13126</v>
      </c>
      <c r="B6740" t="s">
        <v>13127</v>
      </c>
      <c r="C6740" t="s">
        <v>2808</v>
      </c>
    </row>
    <row r="6741" spans="1:4" x14ac:dyDescent="0.4">
      <c r="A6741" s="1" t="s">
        <v>13128</v>
      </c>
      <c r="B6741" t="s">
        <v>13129</v>
      </c>
      <c r="C6741" t="s">
        <v>2808</v>
      </c>
    </row>
    <row r="6742" spans="1:4" x14ac:dyDescent="0.4">
      <c r="A6742" s="1" t="s">
        <v>13130</v>
      </c>
      <c r="B6742" t="s">
        <v>13131</v>
      </c>
      <c r="C6742" t="s">
        <v>2808</v>
      </c>
    </row>
    <row r="6743" spans="1:4" x14ac:dyDescent="0.4">
      <c r="A6743" s="1" t="s">
        <v>13132</v>
      </c>
      <c r="B6743" t="s">
        <v>13133</v>
      </c>
      <c r="C6743" t="s">
        <v>2808</v>
      </c>
    </row>
    <row r="6744" spans="1:4" x14ac:dyDescent="0.4">
      <c r="A6744" s="1" t="s">
        <v>13134</v>
      </c>
      <c r="B6744" t="s">
        <v>13135</v>
      </c>
      <c r="C6744" t="s">
        <v>2808</v>
      </c>
    </row>
    <row r="6745" spans="1:4" x14ac:dyDescent="0.4">
      <c r="A6745" s="1" t="s">
        <v>13136</v>
      </c>
      <c r="B6745" t="s">
        <v>13137</v>
      </c>
      <c r="C6745" t="s">
        <v>2808</v>
      </c>
    </row>
    <row r="6746" spans="1:4" x14ac:dyDescent="0.4">
      <c r="A6746" s="1" t="s">
        <v>13138</v>
      </c>
      <c r="B6746" t="s">
        <v>13139</v>
      </c>
      <c r="C6746" t="s">
        <v>2808</v>
      </c>
    </row>
    <row r="6747" spans="1:4" x14ac:dyDescent="0.4">
      <c r="A6747" s="1" t="s">
        <v>13140</v>
      </c>
      <c r="B6747" t="s">
        <v>13141</v>
      </c>
      <c r="C6747" t="s">
        <v>2808</v>
      </c>
    </row>
    <row r="6748" spans="1:4" x14ac:dyDescent="0.4">
      <c r="A6748" s="1" t="s">
        <v>13142</v>
      </c>
      <c r="B6748" t="s">
        <v>13143</v>
      </c>
      <c r="C6748" t="s">
        <v>2808</v>
      </c>
    </row>
    <row r="6749" spans="1:4" x14ac:dyDescent="0.4">
      <c r="A6749" s="1" t="s">
        <v>13144</v>
      </c>
      <c r="B6749" t="s">
        <v>13145</v>
      </c>
      <c r="C6749" t="s">
        <v>2808</v>
      </c>
    </row>
    <row r="6750" spans="1:4" x14ac:dyDescent="0.4">
      <c r="A6750" s="1" t="s">
        <v>13146</v>
      </c>
      <c r="B6750" t="s">
        <v>13147</v>
      </c>
      <c r="C6750" t="s">
        <v>2808</v>
      </c>
    </row>
    <row r="6751" spans="1:4" x14ac:dyDescent="0.4">
      <c r="A6751" s="1" t="s">
        <v>13148</v>
      </c>
      <c r="B6751" t="s">
        <v>13149</v>
      </c>
      <c r="C6751" t="s">
        <v>2808</v>
      </c>
    </row>
    <row r="6752" spans="1:4" x14ac:dyDescent="0.4">
      <c r="A6752" s="1" t="s">
        <v>13150</v>
      </c>
      <c r="B6752" t="s">
        <v>13151</v>
      </c>
      <c r="C6752" t="s">
        <v>2808</v>
      </c>
    </row>
    <row r="6753" spans="1:3" x14ac:dyDescent="0.4">
      <c r="A6753" s="1" t="s">
        <v>13152</v>
      </c>
      <c r="B6753" t="s">
        <v>13153</v>
      </c>
      <c r="C6753" t="s">
        <v>2808</v>
      </c>
    </row>
    <row r="6754" spans="1:3" x14ac:dyDescent="0.4">
      <c r="A6754" s="1" t="s">
        <v>13154</v>
      </c>
      <c r="B6754" t="s">
        <v>13155</v>
      </c>
      <c r="C6754" t="s">
        <v>2808</v>
      </c>
    </row>
    <row r="6755" spans="1:3" x14ac:dyDescent="0.4">
      <c r="A6755" s="1" t="s">
        <v>13156</v>
      </c>
      <c r="B6755" t="s">
        <v>13157</v>
      </c>
      <c r="C6755" t="s">
        <v>2808</v>
      </c>
    </row>
    <row r="6756" spans="1:3" x14ac:dyDescent="0.4">
      <c r="A6756" s="1" t="s">
        <v>13158</v>
      </c>
      <c r="B6756" t="s">
        <v>13159</v>
      </c>
      <c r="C6756" t="s">
        <v>2808</v>
      </c>
    </row>
    <row r="6757" spans="1:3" x14ac:dyDescent="0.4">
      <c r="A6757" s="1" t="s">
        <v>13160</v>
      </c>
      <c r="B6757" t="s">
        <v>13161</v>
      </c>
      <c r="C6757" t="s">
        <v>2808</v>
      </c>
    </row>
    <row r="6758" spans="1:3" x14ac:dyDescent="0.4">
      <c r="A6758" s="1" t="s">
        <v>13162</v>
      </c>
      <c r="B6758" t="s">
        <v>13163</v>
      </c>
      <c r="C6758" t="s">
        <v>2808</v>
      </c>
    </row>
    <row r="6759" spans="1:3" x14ac:dyDescent="0.4">
      <c r="A6759" s="1" t="s">
        <v>13164</v>
      </c>
      <c r="B6759" t="s">
        <v>13165</v>
      </c>
      <c r="C6759" t="s">
        <v>2808</v>
      </c>
    </row>
    <row r="6760" spans="1:3" x14ac:dyDescent="0.4">
      <c r="A6760" s="1" t="s">
        <v>13166</v>
      </c>
      <c r="B6760" t="s">
        <v>13167</v>
      </c>
      <c r="C6760" t="s">
        <v>2808</v>
      </c>
    </row>
    <row r="6761" spans="1:3" x14ac:dyDescent="0.4">
      <c r="A6761" s="1" t="s">
        <v>13168</v>
      </c>
      <c r="B6761" t="s">
        <v>13169</v>
      </c>
      <c r="C6761" t="s">
        <v>2808</v>
      </c>
    </row>
    <row r="6762" spans="1:3" x14ac:dyDescent="0.4">
      <c r="A6762" s="1" t="s">
        <v>13170</v>
      </c>
      <c r="B6762" t="s">
        <v>13171</v>
      </c>
      <c r="C6762" t="s">
        <v>2808</v>
      </c>
    </row>
    <row r="6763" spans="1:3" x14ac:dyDescent="0.4">
      <c r="A6763" s="1" t="s">
        <v>13172</v>
      </c>
      <c r="B6763" t="s">
        <v>13173</v>
      </c>
      <c r="C6763" t="s">
        <v>2808</v>
      </c>
    </row>
    <row r="6764" spans="1:3" x14ac:dyDescent="0.4">
      <c r="A6764" s="1" t="s">
        <v>13174</v>
      </c>
      <c r="B6764" t="s">
        <v>13175</v>
      </c>
      <c r="C6764" t="s">
        <v>2808</v>
      </c>
    </row>
    <row r="6765" spans="1:3" x14ac:dyDescent="0.4">
      <c r="A6765" s="1" t="s">
        <v>13176</v>
      </c>
      <c r="B6765" t="s">
        <v>13177</v>
      </c>
      <c r="C6765" t="s">
        <v>2808</v>
      </c>
    </row>
    <row r="6766" spans="1:3" x14ac:dyDescent="0.4">
      <c r="A6766" s="1" t="s">
        <v>13178</v>
      </c>
      <c r="B6766" t="s">
        <v>13179</v>
      </c>
      <c r="C6766" t="s">
        <v>2808</v>
      </c>
    </row>
    <row r="6767" spans="1:3" x14ac:dyDescent="0.4">
      <c r="A6767" s="1" t="s">
        <v>13180</v>
      </c>
      <c r="B6767" t="s">
        <v>13181</v>
      </c>
      <c r="C6767" t="s">
        <v>2808</v>
      </c>
    </row>
    <row r="6768" spans="1:3" x14ac:dyDescent="0.4">
      <c r="A6768" s="1" t="s">
        <v>13182</v>
      </c>
      <c r="B6768" t="s">
        <v>13183</v>
      </c>
      <c r="C6768" t="s">
        <v>2808</v>
      </c>
    </row>
    <row r="6769" spans="1:3" x14ac:dyDescent="0.4">
      <c r="A6769" s="1" t="s">
        <v>13184</v>
      </c>
      <c r="B6769" t="s">
        <v>13185</v>
      </c>
      <c r="C6769" t="s">
        <v>2808</v>
      </c>
    </row>
    <row r="6770" spans="1:3" x14ac:dyDescent="0.4">
      <c r="A6770" s="1" t="s">
        <v>13186</v>
      </c>
      <c r="B6770" t="s">
        <v>13187</v>
      </c>
      <c r="C6770" t="s">
        <v>2808</v>
      </c>
    </row>
    <row r="6771" spans="1:3" x14ac:dyDescent="0.4">
      <c r="A6771" s="1" t="s">
        <v>13188</v>
      </c>
      <c r="B6771" t="s">
        <v>13189</v>
      </c>
      <c r="C6771" t="s">
        <v>2808</v>
      </c>
    </row>
    <row r="6772" spans="1:3" x14ac:dyDescent="0.4">
      <c r="A6772" s="1" t="s">
        <v>13190</v>
      </c>
      <c r="B6772" t="s">
        <v>13191</v>
      </c>
      <c r="C6772" t="s">
        <v>2808</v>
      </c>
    </row>
    <row r="6773" spans="1:3" x14ac:dyDescent="0.4">
      <c r="A6773" s="1" t="s">
        <v>13192</v>
      </c>
      <c r="B6773" t="s">
        <v>13193</v>
      </c>
      <c r="C6773" t="s">
        <v>2808</v>
      </c>
    </row>
    <row r="6774" spans="1:3" x14ac:dyDescent="0.4">
      <c r="A6774" s="1" t="s">
        <v>13194</v>
      </c>
      <c r="B6774" t="s">
        <v>13195</v>
      </c>
      <c r="C6774" t="s">
        <v>2808</v>
      </c>
    </row>
    <row r="6775" spans="1:3" x14ac:dyDescent="0.4">
      <c r="A6775" s="1" t="s">
        <v>13196</v>
      </c>
      <c r="B6775" t="s">
        <v>13197</v>
      </c>
      <c r="C6775" t="s">
        <v>2808</v>
      </c>
    </row>
    <row r="6776" spans="1:3" x14ac:dyDescent="0.4">
      <c r="A6776" s="1" t="s">
        <v>13198</v>
      </c>
      <c r="B6776" t="s">
        <v>13199</v>
      </c>
      <c r="C6776" t="s">
        <v>2808</v>
      </c>
    </row>
    <row r="6777" spans="1:3" x14ac:dyDescent="0.4">
      <c r="A6777" s="1" t="s">
        <v>13200</v>
      </c>
      <c r="B6777" t="s">
        <v>13201</v>
      </c>
      <c r="C6777" t="s">
        <v>2808</v>
      </c>
    </row>
    <row r="6778" spans="1:3" x14ac:dyDescent="0.4">
      <c r="A6778" s="1" t="s">
        <v>13202</v>
      </c>
      <c r="B6778" t="s">
        <v>13203</v>
      </c>
      <c r="C6778" t="s">
        <v>2808</v>
      </c>
    </row>
    <row r="6779" spans="1:3" x14ac:dyDescent="0.4">
      <c r="A6779" s="1" t="s">
        <v>13204</v>
      </c>
      <c r="B6779" t="s">
        <v>13205</v>
      </c>
      <c r="C6779" t="s">
        <v>2808</v>
      </c>
    </row>
    <row r="6780" spans="1:3" x14ac:dyDescent="0.4">
      <c r="A6780" s="1" t="s">
        <v>13206</v>
      </c>
      <c r="B6780" t="s">
        <v>13207</v>
      </c>
      <c r="C6780" t="s">
        <v>2808</v>
      </c>
    </row>
    <row r="6781" spans="1:3" x14ac:dyDescent="0.4">
      <c r="A6781" s="1" t="s">
        <v>13208</v>
      </c>
      <c r="B6781" t="s">
        <v>13209</v>
      </c>
      <c r="C6781" t="s">
        <v>2808</v>
      </c>
    </row>
    <row r="6782" spans="1:3" x14ac:dyDescent="0.4">
      <c r="A6782" s="1" t="s">
        <v>13210</v>
      </c>
      <c r="B6782" t="s">
        <v>13211</v>
      </c>
      <c r="C6782" t="s">
        <v>2808</v>
      </c>
    </row>
    <row r="6783" spans="1:3" x14ac:dyDescent="0.4">
      <c r="A6783" s="1" t="s">
        <v>13212</v>
      </c>
      <c r="B6783" t="s">
        <v>13213</v>
      </c>
      <c r="C6783" t="s">
        <v>2808</v>
      </c>
    </row>
    <row r="6784" spans="1:3" x14ac:dyDescent="0.4">
      <c r="A6784" s="1" t="s">
        <v>13214</v>
      </c>
      <c r="B6784" t="s">
        <v>13215</v>
      </c>
      <c r="C6784" t="s">
        <v>2808</v>
      </c>
    </row>
    <row r="6785" spans="1:3" x14ac:dyDescent="0.4">
      <c r="A6785" s="1" t="s">
        <v>13216</v>
      </c>
      <c r="B6785" t="s">
        <v>13217</v>
      </c>
      <c r="C6785" t="s">
        <v>2808</v>
      </c>
    </row>
    <row r="6786" spans="1:3" x14ac:dyDescent="0.4">
      <c r="A6786" s="1" t="s">
        <v>13218</v>
      </c>
      <c r="B6786" t="s">
        <v>13219</v>
      </c>
      <c r="C6786" t="s">
        <v>2808</v>
      </c>
    </row>
    <row r="6787" spans="1:3" x14ac:dyDescent="0.4">
      <c r="A6787" s="1" t="s">
        <v>13220</v>
      </c>
      <c r="B6787" t="s">
        <v>13221</v>
      </c>
      <c r="C6787" t="s">
        <v>2808</v>
      </c>
    </row>
    <row r="6788" spans="1:3" x14ac:dyDescent="0.4">
      <c r="A6788" s="1" t="s">
        <v>13222</v>
      </c>
      <c r="B6788" t="s">
        <v>13223</v>
      </c>
      <c r="C6788" t="s">
        <v>2808</v>
      </c>
    </row>
    <row r="6789" spans="1:3" x14ac:dyDescent="0.4">
      <c r="A6789" s="1" t="s">
        <v>13224</v>
      </c>
      <c r="B6789" t="s">
        <v>13225</v>
      </c>
      <c r="C6789" t="s">
        <v>2808</v>
      </c>
    </row>
    <row r="6790" spans="1:3" x14ac:dyDescent="0.4">
      <c r="A6790" s="1" t="s">
        <v>13226</v>
      </c>
      <c r="B6790" t="s">
        <v>13227</v>
      </c>
      <c r="C6790" t="s">
        <v>2808</v>
      </c>
    </row>
    <row r="6791" spans="1:3" x14ac:dyDescent="0.4">
      <c r="A6791" s="1" t="s">
        <v>13228</v>
      </c>
      <c r="B6791" t="s">
        <v>13229</v>
      </c>
      <c r="C6791" t="s">
        <v>2808</v>
      </c>
    </row>
    <row r="6792" spans="1:3" x14ac:dyDescent="0.4">
      <c r="A6792" s="1" t="s">
        <v>13230</v>
      </c>
      <c r="B6792" t="s">
        <v>13231</v>
      </c>
      <c r="C6792" t="s">
        <v>2808</v>
      </c>
    </row>
    <row r="6793" spans="1:3" x14ac:dyDescent="0.4">
      <c r="A6793" s="1" t="s">
        <v>13232</v>
      </c>
      <c r="B6793" t="s">
        <v>13233</v>
      </c>
      <c r="C6793" t="s">
        <v>2808</v>
      </c>
    </row>
    <row r="6794" spans="1:3" x14ac:dyDescent="0.4">
      <c r="A6794" s="1" t="s">
        <v>13234</v>
      </c>
      <c r="B6794" t="s">
        <v>13235</v>
      </c>
      <c r="C6794" t="s">
        <v>2808</v>
      </c>
    </row>
    <row r="6795" spans="1:3" x14ac:dyDescent="0.4">
      <c r="A6795" s="1" t="s">
        <v>13236</v>
      </c>
      <c r="B6795" t="s">
        <v>13237</v>
      </c>
      <c r="C6795" t="s">
        <v>2808</v>
      </c>
    </row>
    <row r="6796" spans="1:3" x14ac:dyDescent="0.4">
      <c r="A6796" s="1" t="s">
        <v>13238</v>
      </c>
      <c r="B6796" t="s">
        <v>13239</v>
      </c>
      <c r="C6796" t="s">
        <v>2808</v>
      </c>
    </row>
    <row r="6797" spans="1:3" x14ac:dyDescent="0.4">
      <c r="A6797" s="1" t="s">
        <v>13240</v>
      </c>
      <c r="B6797" t="s">
        <v>13241</v>
      </c>
      <c r="C6797" t="s">
        <v>2808</v>
      </c>
    </row>
    <row r="6798" spans="1:3" x14ac:dyDescent="0.4">
      <c r="A6798" s="1" t="s">
        <v>13242</v>
      </c>
      <c r="B6798" t="s">
        <v>13243</v>
      </c>
      <c r="C6798" t="s">
        <v>2808</v>
      </c>
    </row>
    <row r="6799" spans="1:3" x14ac:dyDescent="0.4">
      <c r="A6799" s="1" t="s">
        <v>13244</v>
      </c>
      <c r="B6799" t="s">
        <v>13245</v>
      </c>
      <c r="C6799" t="s">
        <v>2808</v>
      </c>
    </row>
    <row r="6800" spans="1:3" x14ac:dyDescent="0.4">
      <c r="A6800" s="1" t="s">
        <v>13246</v>
      </c>
      <c r="B6800" t="s">
        <v>13247</v>
      </c>
      <c r="C6800" t="s">
        <v>2808</v>
      </c>
    </row>
    <row r="6801" spans="1:3" x14ac:dyDescent="0.4">
      <c r="A6801" s="1" t="s">
        <v>13248</v>
      </c>
      <c r="B6801" t="s">
        <v>13249</v>
      </c>
      <c r="C6801" t="s">
        <v>2808</v>
      </c>
    </row>
    <row r="6802" spans="1:3" x14ac:dyDescent="0.4">
      <c r="A6802" s="1" t="s">
        <v>13250</v>
      </c>
      <c r="B6802" t="s">
        <v>13251</v>
      </c>
      <c r="C6802" t="s">
        <v>2808</v>
      </c>
    </row>
    <row r="6803" spans="1:3" x14ac:dyDescent="0.4">
      <c r="A6803" s="1" t="s">
        <v>13252</v>
      </c>
      <c r="B6803" t="s">
        <v>13253</v>
      </c>
      <c r="C6803" t="s">
        <v>2808</v>
      </c>
    </row>
    <row r="6804" spans="1:3" x14ac:dyDescent="0.4">
      <c r="A6804" s="1" t="s">
        <v>13254</v>
      </c>
      <c r="B6804" t="s">
        <v>13255</v>
      </c>
      <c r="C6804" t="s">
        <v>2808</v>
      </c>
    </row>
    <row r="6805" spans="1:3" x14ac:dyDescent="0.4">
      <c r="A6805" s="1" t="s">
        <v>13256</v>
      </c>
      <c r="B6805" t="s">
        <v>13257</v>
      </c>
      <c r="C6805" t="s">
        <v>5</v>
      </c>
    </row>
    <row r="6806" spans="1:3" x14ac:dyDescent="0.4">
      <c r="A6806" s="1" t="s">
        <v>13258</v>
      </c>
      <c r="B6806" t="s">
        <v>13259</v>
      </c>
      <c r="C6806" t="s">
        <v>5</v>
      </c>
    </row>
    <row r="6807" spans="1:3" x14ac:dyDescent="0.4">
      <c r="A6807" s="1" t="s">
        <v>13260</v>
      </c>
      <c r="B6807" t="s">
        <v>13261</v>
      </c>
      <c r="C6807" t="s">
        <v>5</v>
      </c>
    </row>
    <row r="6808" spans="1:3" x14ac:dyDescent="0.4">
      <c r="A6808" s="1" t="s">
        <v>13262</v>
      </c>
      <c r="B6808" t="s">
        <v>13263</v>
      </c>
      <c r="C6808" t="s">
        <v>5</v>
      </c>
    </row>
    <row r="6809" spans="1:3" x14ac:dyDescent="0.4">
      <c r="A6809" s="1" t="s">
        <v>13264</v>
      </c>
      <c r="B6809" t="s">
        <v>13265</v>
      </c>
      <c r="C6809" t="s">
        <v>2808</v>
      </c>
    </row>
    <row r="6810" spans="1:3" x14ac:dyDescent="0.4">
      <c r="A6810" s="1" t="s">
        <v>13266</v>
      </c>
      <c r="B6810" t="s">
        <v>13267</v>
      </c>
      <c r="C6810" t="s">
        <v>2808</v>
      </c>
    </row>
    <row r="6811" spans="1:3" x14ac:dyDescent="0.4">
      <c r="A6811" s="1" t="s">
        <v>13268</v>
      </c>
      <c r="B6811" t="s">
        <v>13269</v>
      </c>
      <c r="C6811" t="s">
        <v>2808</v>
      </c>
    </row>
    <row r="6812" spans="1:3" x14ac:dyDescent="0.4">
      <c r="A6812" s="1" t="s">
        <v>13270</v>
      </c>
      <c r="B6812" t="s">
        <v>13271</v>
      </c>
      <c r="C6812" t="s">
        <v>2808</v>
      </c>
    </row>
    <row r="6813" spans="1:3" x14ac:dyDescent="0.4">
      <c r="A6813" s="1" t="s">
        <v>13272</v>
      </c>
      <c r="B6813" t="s">
        <v>13273</v>
      </c>
      <c r="C6813" t="s">
        <v>2808</v>
      </c>
    </row>
    <row r="6814" spans="1:3" x14ac:dyDescent="0.4">
      <c r="A6814" s="1" t="s">
        <v>13274</v>
      </c>
      <c r="B6814" t="s">
        <v>13275</v>
      </c>
      <c r="C6814" t="s">
        <v>2808</v>
      </c>
    </row>
    <row r="6815" spans="1:3" x14ac:dyDescent="0.4">
      <c r="A6815" s="1" t="s">
        <v>13276</v>
      </c>
      <c r="B6815" t="s">
        <v>13277</v>
      </c>
      <c r="C6815" t="s">
        <v>2808</v>
      </c>
    </row>
    <row r="6816" spans="1:3" x14ac:dyDescent="0.4">
      <c r="A6816" s="1" t="s">
        <v>13278</v>
      </c>
      <c r="B6816" t="s">
        <v>13279</v>
      </c>
      <c r="C6816" t="s">
        <v>2808</v>
      </c>
    </row>
    <row r="6817" spans="1:3" x14ac:dyDescent="0.4">
      <c r="A6817" s="1" t="s">
        <v>13280</v>
      </c>
      <c r="B6817" t="s">
        <v>13281</v>
      </c>
      <c r="C6817" t="s">
        <v>2808</v>
      </c>
    </row>
    <row r="6818" spans="1:3" x14ac:dyDescent="0.4">
      <c r="A6818" s="1" t="s">
        <v>13282</v>
      </c>
      <c r="B6818" t="s">
        <v>13283</v>
      </c>
      <c r="C6818" t="s">
        <v>2808</v>
      </c>
    </row>
    <row r="6819" spans="1:3" x14ac:dyDescent="0.4">
      <c r="A6819" s="1" t="s">
        <v>13284</v>
      </c>
      <c r="B6819" t="s">
        <v>13285</v>
      </c>
      <c r="C6819" t="s">
        <v>2808</v>
      </c>
    </row>
    <row r="6820" spans="1:3" x14ac:dyDescent="0.4">
      <c r="A6820" s="1" t="s">
        <v>13286</v>
      </c>
      <c r="B6820" t="s">
        <v>13287</v>
      </c>
      <c r="C6820" t="s">
        <v>2808</v>
      </c>
    </row>
    <row r="6821" spans="1:3" x14ac:dyDescent="0.4">
      <c r="A6821" s="1" t="s">
        <v>13288</v>
      </c>
      <c r="B6821" t="s">
        <v>13289</v>
      </c>
      <c r="C6821" t="s">
        <v>2808</v>
      </c>
    </row>
    <row r="6822" spans="1:3" x14ac:dyDescent="0.4">
      <c r="A6822" s="1" t="s">
        <v>13290</v>
      </c>
      <c r="B6822" t="s">
        <v>13291</v>
      </c>
      <c r="C6822" t="s">
        <v>2808</v>
      </c>
    </row>
    <row r="6823" spans="1:3" x14ac:dyDescent="0.4">
      <c r="A6823" s="1" t="s">
        <v>13292</v>
      </c>
      <c r="B6823" t="s">
        <v>13293</v>
      </c>
      <c r="C6823" t="s">
        <v>2808</v>
      </c>
    </row>
    <row r="6824" spans="1:3" x14ac:dyDescent="0.4">
      <c r="A6824" s="1" t="s">
        <v>13294</v>
      </c>
      <c r="B6824" t="s">
        <v>13295</v>
      </c>
      <c r="C6824" t="s">
        <v>2808</v>
      </c>
    </row>
    <row r="6825" spans="1:3" x14ac:dyDescent="0.4">
      <c r="A6825" s="1" t="s">
        <v>13296</v>
      </c>
      <c r="B6825" t="s">
        <v>13297</v>
      </c>
      <c r="C6825" t="s">
        <v>2808</v>
      </c>
    </row>
    <row r="6826" spans="1:3" x14ac:dyDescent="0.4">
      <c r="A6826" s="1" t="s">
        <v>13298</v>
      </c>
      <c r="B6826" t="s">
        <v>13299</v>
      </c>
      <c r="C6826" t="s">
        <v>2808</v>
      </c>
    </row>
    <row r="6827" spans="1:3" x14ac:dyDescent="0.4">
      <c r="A6827" s="1" t="s">
        <v>13300</v>
      </c>
      <c r="B6827" t="s">
        <v>13301</v>
      </c>
      <c r="C6827" t="s">
        <v>2808</v>
      </c>
    </row>
    <row r="6828" spans="1:3" x14ac:dyDescent="0.4">
      <c r="A6828" s="1" t="s">
        <v>13302</v>
      </c>
      <c r="B6828" t="s">
        <v>13303</v>
      </c>
      <c r="C6828" t="s">
        <v>2808</v>
      </c>
    </row>
    <row r="6829" spans="1:3" x14ac:dyDescent="0.4">
      <c r="A6829" s="1" t="s">
        <v>13304</v>
      </c>
      <c r="B6829" t="s">
        <v>13305</v>
      </c>
      <c r="C6829" t="s">
        <v>2808</v>
      </c>
    </row>
    <row r="6830" spans="1:3" x14ac:dyDescent="0.4">
      <c r="A6830" s="1" t="s">
        <v>13306</v>
      </c>
      <c r="B6830" t="s">
        <v>13307</v>
      </c>
      <c r="C6830" t="s">
        <v>2808</v>
      </c>
    </row>
    <row r="6831" spans="1:3" x14ac:dyDescent="0.4">
      <c r="A6831" s="1" t="s">
        <v>13308</v>
      </c>
      <c r="B6831" t="s">
        <v>13309</v>
      </c>
      <c r="C6831" t="s">
        <v>2808</v>
      </c>
    </row>
    <row r="6832" spans="1:3" x14ac:dyDescent="0.4">
      <c r="A6832" s="1" t="s">
        <v>13310</v>
      </c>
      <c r="B6832" t="s">
        <v>13311</v>
      </c>
      <c r="C6832" t="s">
        <v>2808</v>
      </c>
    </row>
    <row r="6833" spans="1:3" x14ac:dyDescent="0.4">
      <c r="A6833" s="1" t="s">
        <v>13312</v>
      </c>
      <c r="B6833" t="s">
        <v>13313</v>
      </c>
      <c r="C6833" t="s">
        <v>2808</v>
      </c>
    </row>
    <row r="6834" spans="1:3" x14ac:dyDescent="0.4">
      <c r="A6834" s="1" t="s">
        <v>13314</v>
      </c>
      <c r="B6834" t="s">
        <v>13315</v>
      </c>
      <c r="C6834" t="s">
        <v>2808</v>
      </c>
    </row>
    <row r="6835" spans="1:3" x14ac:dyDescent="0.4">
      <c r="A6835" s="1" t="s">
        <v>13316</v>
      </c>
      <c r="B6835" t="s">
        <v>13317</v>
      </c>
      <c r="C6835" t="s">
        <v>2808</v>
      </c>
    </row>
    <row r="6836" spans="1:3" x14ac:dyDescent="0.4">
      <c r="A6836" s="1" t="s">
        <v>13318</v>
      </c>
      <c r="B6836" t="s">
        <v>13319</v>
      </c>
      <c r="C6836" t="s">
        <v>2808</v>
      </c>
    </row>
    <row r="6837" spans="1:3" x14ac:dyDescent="0.4">
      <c r="A6837" s="1" t="s">
        <v>13320</v>
      </c>
      <c r="B6837" t="s">
        <v>13321</v>
      </c>
      <c r="C6837" t="s">
        <v>2808</v>
      </c>
    </row>
    <row r="6838" spans="1:3" x14ac:dyDescent="0.4">
      <c r="A6838" s="1" t="s">
        <v>13322</v>
      </c>
      <c r="B6838" t="s">
        <v>13323</v>
      </c>
      <c r="C6838" t="s">
        <v>2808</v>
      </c>
    </row>
    <row r="6839" spans="1:3" x14ac:dyDescent="0.4">
      <c r="A6839" s="1" t="s">
        <v>13324</v>
      </c>
      <c r="B6839" t="s">
        <v>13325</v>
      </c>
      <c r="C6839" t="s">
        <v>2808</v>
      </c>
    </row>
    <row r="6840" spans="1:3" x14ac:dyDescent="0.4">
      <c r="A6840" s="1" t="s">
        <v>13326</v>
      </c>
      <c r="B6840" t="s">
        <v>13327</v>
      </c>
      <c r="C6840" t="s">
        <v>2808</v>
      </c>
    </row>
    <row r="6841" spans="1:3" x14ac:dyDescent="0.4">
      <c r="A6841" s="1" t="s">
        <v>13328</v>
      </c>
      <c r="B6841" t="s">
        <v>13329</v>
      </c>
      <c r="C6841" t="s">
        <v>2808</v>
      </c>
    </row>
    <row r="6842" spans="1:3" x14ac:dyDescent="0.4">
      <c r="A6842" s="1" t="s">
        <v>13330</v>
      </c>
      <c r="B6842" t="s">
        <v>13331</v>
      </c>
      <c r="C6842" t="s">
        <v>2808</v>
      </c>
    </row>
    <row r="6843" spans="1:3" x14ac:dyDescent="0.4">
      <c r="A6843" s="1" t="s">
        <v>13332</v>
      </c>
      <c r="B6843" t="s">
        <v>13333</v>
      </c>
      <c r="C6843" t="s">
        <v>2808</v>
      </c>
    </row>
    <row r="6844" spans="1:3" x14ac:dyDescent="0.4">
      <c r="A6844" s="1" t="s">
        <v>13334</v>
      </c>
      <c r="B6844" t="s">
        <v>13335</v>
      </c>
      <c r="C6844" t="s">
        <v>2808</v>
      </c>
    </row>
    <row r="6845" spans="1:3" x14ac:dyDescent="0.4">
      <c r="A6845" s="1" t="s">
        <v>13336</v>
      </c>
      <c r="B6845" t="s">
        <v>13337</v>
      </c>
      <c r="C6845" t="s">
        <v>2808</v>
      </c>
    </row>
    <row r="6846" spans="1:3" x14ac:dyDescent="0.4">
      <c r="A6846" s="1" t="s">
        <v>13338</v>
      </c>
      <c r="B6846" t="s">
        <v>13339</v>
      </c>
      <c r="C6846" t="s">
        <v>2808</v>
      </c>
    </row>
    <row r="6847" spans="1:3" x14ac:dyDescent="0.4">
      <c r="A6847" s="1" t="s">
        <v>13340</v>
      </c>
      <c r="B6847" t="s">
        <v>13341</v>
      </c>
      <c r="C6847" t="s">
        <v>2808</v>
      </c>
    </row>
    <row r="6848" spans="1:3" x14ac:dyDescent="0.4">
      <c r="A6848" s="1" t="s">
        <v>13342</v>
      </c>
      <c r="B6848" t="s">
        <v>13343</v>
      </c>
      <c r="C6848" t="s">
        <v>2808</v>
      </c>
    </row>
    <row r="6849" spans="1:3" x14ac:dyDescent="0.4">
      <c r="A6849" s="1" t="s">
        <v>13344</v>
      </c>
      <c r="B6849" t="s">
        <v>13345</v>
      </c>
      <c r="C6849" t="s">
        <v>2808</v>
      </c>
    </row>
    <row r="6850" spans="1:3" x14ac:dyDescent="0.4">
      <c r="A6850" s="1" t="s">
        <v>13346</v>
      </c>
      <c r="B6850" t="s">
        <v>13347</v>
      </c>
      <c r="C6850" t="s">
        <v>2808</v>
      </c>
    </row>
    <row r="6851" spans="1:3" x14ac:dyDescent="0.4">
      <c r="A6851" s="1" t="s">
        <v>13348</v>
      </c>
      <c r="B6851" t="s">
        <v>13349</v>
      </c>
      <c r="C6851" t="s">
        <v>2808</v>
      </c>
    </row>
    <row r="6852" spans="1:3" x14ac:dyDescent="0.4">
      <c r="A6852" s="1" t="s">
        <v>13350</v>
      </c>
      <c r="B6852" t="s">
        <v>13351</v>
      </c>
      <c r="C6852" t="s">
        <v>2808</v>
      </c>
    </row>
    <row r="6853" spans="1:3" x14ac:dyDescent="0.4">
      <c r="A6853" s="1" t="s">
        <v>13352</v>
      </c>
      <c r="B6853" t="s">
        <v>13353</v>
      </c>
      <c r="C6853" t="s">
        <v>2808</v>
      </c>
    </row>
    <row r="6854" spans="1:3" x14ac:dyDescent="0.4">
      <c r="A6854" s="1" t="s">
        <v>13354</v>
      </c>
      <c r="B6854" t="s">
        <v>13355</v>
      </c>
      <c r="C6854" t="s">
        <v>2808</v>
      </c>
    </row>
    <row r="6855" spans="1:3" x14ac:dyDescent="0.4">
      <c r="A6855" s="1" t="s">
        <v>13356</v>
      </c>
      <c r="B6855" t="s">
        <v>13357</v>
      </c>
      <c r="C6855" t="s">
        <v>2808</v>
      </c>
    </row>
    <row r="6856" spans="1:3" x14ac:dyDescent="0.4">
      <c r="A6856" s="1" t="s">
        <v>13358</v>
      </c>
      <c r="B6856" t="s">
        <v>13359</v>
      </c>
      <c r="C6856" t="s">
        <v>2808</v>
      </c>
    </row>
    <row r="6857" spans="1:3" x14ac:dyDescent="0.4">
      <c r="A6857" s="1" t="s">
        <v>13360</v>
      </c>
      <c r="B6857" t="s">
        <v>13361</v>
      </c>
      <c r="C6857" t="s">
        <v>2808</v>
      </c>
    </row>
    <row r="6858" spans="1:3" x14ac:dyDescent="0.4">
      <c r="A6858" s="1" t="s">
        <v>13362</v>
      </c>
      <c r="B6858" t="s">
        <v>13363</v>
      </c>
      <c r="C6858" t="s">
        <v>2808</v>
      </c>
    </row>
    <row r="6859" spans="1:3" x14ac:dyDescent="0.4">
      <c r="A6859" s="1" t="s">
        <v>13364</v>
      </c>
      <c r="B6859" t="s">
        <v>13365</v>
      </c>
      <c r="C6859" t="s">
        <v>2808</v>
      </c>
    </row>
    <row r="6860" spans="1:3" x14ac:dyDescent="0.4">
      <c r="A6860" s="1" t="s">
        <v>13366</v>
      </c>
      <c r="B6860" t="s">
        <v>13367</v>
      </c>
      <c r="C6860" t="s">
        <v>2808</v>
      </c>
    </row>
    <row r="6861" spans="1:3" x14ac:dyDescent="0.4">
      <c r="A6861" s="1" t="s">
        <v>13368</v>
      </c>
      <c r="B6861" t="s">
        <v>13369</v>
      </c>
      <c r="C6861" t="s">
        <v>2808</v>
      </c>
    </row>
    <row r="6862" spans="1:3" x14ac:dyDescent="0.4">
      <c r="A6862" s="1" t="s">
        <v>13370</v>
      </c>
      <c r="B6862" t="s">
        <v>13371</v>
      </c>
      <c r="C6862" t="s">
        <v>2808</v>
      </c>
    </row>
    <row r="6863" spans="1:3" x14ac:dyDescent="0.4">
      <c r="A6863" s="1" t="s">
        <v>13372</v>
      </c>
      <c r="B6863" t="s">
        <v>13373</v>
      </c>
      <c r="C6863" t="s">
        <v>2808</v>
      </c>
    </row>
    <row r="6864" spans="1:3" x14ac:dyDescent="0.4">
      <c r="A6864" s="1" t="s">
        <v>13374</v>
      </c>
      <c r="B6864" t="s">
        <v>13375</v>
      </c>
      <c r="C6864" t="s">
        <v>2808</v>
      </c>
    </row>
    <row r="6865" spans="1:3" x14ac:dyDescent="0.4">
      <c r="A6865" s="1" t="s">
        <v>13376</v>
      </c>
      <c r="B6865" t="s">
        <v>13377</v>
      </c>
      <c r="C6865" t="s">
        <v>2808</v>
      </c>
    </row>
    <row r="6866" spans="1:3" x14ac:dyDescent="0.4">
      <c r="A6866" s="1" t="s">
        <v>13378</v>
      </c>
      <c r="B6866" t="s">
        <v>13379</v>
      </c>
      <c r="C6866" t="s">
        <v>2808</v>
      </c>
    </row>
    <row r="6867" spans="1:3" x14ac:dyDescent="0.4">
      <c r="A6867" s="1" t="s">
        <v>13380</v>
      </c>
      <c r="B6867" t="s">
        <v>13381</v>
      </c>
      <c r="C6867" t="s">
        <v>2808</v>
      </c>
    </row>
    <row r="6868" spans="1:3" x14ac:dyDescent="0.4">
      <c r="A6868" s="1" t="s">
        <v>13382</v>
      </c>
      <c r="B6868" t="s">
        <v>13383</v>
      </c>
      <c r="C6868" t="s">
        <v>2808</v>
      </c>
    </row>
    <row r="6869" spans="1:3" x14ac:dyDescent="0.4">
      <c r="A6869" s="1" t="s">
        <v>13384</v>
      </c>
      <c r="B6869" t="s">
        <v>13385</v>
      </c>
      <c r="C6869" t="s">
        <v>2808</v>
      </c>
    </row>
    <row r="6870" spans="1:3" x14ac:dyDescent="0.4">
      <c r="A6870" s="1" t="s">
        <v>13386</v>
      </c>
      <c r="B6870" t="s">
        <v>13387</v>
      </c>
      <c r="C6870" t="s">
        <v>2808</v>
      </c>
    </row>
    <row r="6871" spans="1:3" x14ac:dyDescent="0.4">
      <c r="A6871" s="1" t="s">
        <v>13388</v>
      </c>
      <c r="B6871" t="s">
        <v>13389</v>
      </c>
      <c r="C6871" t="s">
        <v>2808</v>
      </c>
    </row>
    <row r="6872" spans="1:3" x14ac:dyDescent="0.4">
      <c r="A6872" s="1" t="s">
        <v>13390</v>
      </c>
      <c r="B6872" t="s">
        <v>13391</v>
      </c>
      <c r="C6872" t="s">
        <v>2808</v>
      </c>
    </row>
    <row r="6873" spans="1:3" x14ac:dyDescent="0.4">
      <c r="A6873" s="1" t="s">
        <v>13392</v>
      </c>
      <c r="B6873" t="s">
        <v>13393</v>
      </c>
      <c r="C6873" t="s">
        <v>2808</v>
      </c>
    </row>
    <row r="6874" spans="1:3" x14ac:dyDescent="0.4">
      <c r="A6874" s="1" t="s">
        <v>13394</v>
      </c>
      <c r="B6874" t="s">
        <v>13395</v>
      </c>
      <c r="C6874" t="s">
        <v>2808</v>
      </c>
    </row>
    <row r="6875" spans="1:3" x14ac:dyDescent="0.4">
      <c r="A6875" s="1" t="s">
        <v>13396</v>
      </c>
      <c r="B6875" t="s">
        <v>13397</v>
      </c>
      <c r="C6875" t="s">
        <v>2808</v>
      </c>
    </row>
    <row r="6876" spans="1:3" x14ac:dyDescent="0.4">
      <c r="A6876" s="1" t="s">
        <v>13398</v>
      </c>
      <c r="B6876" t="s">
        <v>13399</v>
      </c>
      <c r="C6876" t="s">
        <v>2808</v>
      </c>
    </row>
    <row r="6877" spans="1:3" x14ac:dyDescent="0.4">
      <c r="A6877" s="1" t="s">
        <v>13400</v>
      </c>
      <c r="B6877" t="s">
        <v>13401</v>
      </c>
      <c r="C6877" t="s">
        <v>2808</v>
      </c>
    </row>
    <row r="6878" spans="1:3" x14ac:dyDescent="0.4">
      <c r="A6878" s="1" t="s">
        <v>13402</v>
      </c>
      <c r="B6878" t="s">
        <v>13403</v>
      </c>
      <c r="C6878" t="s">
        <v>2808</v>
      </c>
    </row>
    <row r="6879" spans="1:3" x14ac:dyDescent="0.4">
      <c r="A6879" s="1" t="s">
        <v>13404</v>
      </c>
      <c r="B6879" t="s">
        <v>13405</v>
      </c>
      <c r="C6879" t="s">
        <v>2808</v>
      </c>
    </row>
    <row r="6880" spans="1:3" x14ac:dyDescent="0.4">
      <c r="A6880" s="1" t="s">
        <v>13406</v>
      </c>
      <c r="B6880" t="s">
        <v>13407</v>
      </c>
      <c r="C6880" t="s">
        <v>2808</v>
      </c>
    </row>
    <row r="6881" spans="1:3" x14ac:dyDescent="0.4">
      <c r="A6881" s="1" t="s">
        <v>13408</v>
      </c>
      <c r="B6881" t="s">
        <v>13409</v>
      </c>
      <c r="C6881" t="s">
        <v>2808</v>
      </c>
    </row>
    <row r="6882" spans="1:3" x14ac:dyDescent="0.4">
      <c r="A6882" s="1" t="s">
        <v>13410</v>
      </c>
      <c r="B6882" t="s">
        <v>13411</v>
      </c>
      <c r="C6882" t="s">
        <v>2808</v>
      </c>
    </row>
    <row r="6883" spans="1:3" x14ac:dyDescent="0.4">
      <c r="A6883" s="1" t="s">
        <v>13412</v>
      </c>
      <c r="B6883" t="s">
        <v>13413</v>
      </c>
      <c r="C6883" t="s">
        <v>2808</v>
      </c>
    </row>
    <row r="6884" spans="1:3" x14ac:dyDescent="0.4">
      <c r="A6884" s="1" t="s">
        <v>13414</v>
      </c>
      <c r="B6884" t="s">
        <v>13415</v>
      </c>
      <c r="C6884" t="s">
        <v>2808</v>
      </c>
    </row>
    <row r="6885" spans="1:3" x14ac:dyDescent="0.4">
      <c r="A6885" s="1" t="s">
        <v>13416</v>
      </c>
      <c r="B6885" t="s">
        <v>13417</v>
      </c>
      <c r="C6885" t="s">
        <v>2808</v>
      </c>
    </row>
    <row r="6886" spans="1:3" x14ac:dyDescent="0.4">
      <c r="A6886" s="1" t="s">
        <v>13418</v>
      </c>
      <c r="B6886" t="s">
        <v>13419</v>
      </c>
      <c r="C6886" t="s">
        <v>2808</v>
      </c>
    </row>
    <row r="6887" spans="1:3" x14ac:dyDescent="0.4">
      <c r="A6887" s="1" t="s">
        <v>13420</v>
      </c>
      <c r="B6887" t="s">
        <v>13421</v>
      </c>
      <c r="C6887" t="s">
        <v>2808</v>
      </c>
    </row>
    <row r="6888" spans="1:3" x14ac:dyDescent="0.4">
      <c r="A6888" s="1" t="s">
        <v>13422</v>
      </c>
      <c r="B6888" t="s">
        <v>13423</v>
      </c>
      <c r="C6888" t="s">
        <v>2808</v>
      </c>
    </row>
    <row r="6889" spans="1:3" x14ac:dyDescent="0.4">
      <c r="A6889" s="1" t="s">
        <v>13424</v>
      </c>
      <c r="B6889" t="s">
        <v>13425</v>
      </c>
      <c r="C6889" t="s">
        <v>2808</v>
      </c>
    </row>
    <row r="6890" spans="1:3" x14ac:dyDescent="0.4">
      <c r="A6890" s="1" t="s">
        <v>13426</v>
      </c>
      <c r="B6890" t="s">
        <v>13427</v>
      </c>
      <c r="C6890" t="s">
        <v>2808</v>
      </c>
    </row>
    <row r="6891" spans="1:3" x14ac:dyDescent="0.4">
      <c r="A6891" s="1" t="s">
        <v>13428</v>
      </c>
      <c r="B6891" t="s">
        <v>13429</v>
      </c>
      <c r="C6891" t="s">
        <v>2808</v>
      </c>
    </row>
    <row r="6892" spans="1:3" x14ac:dyDescent="0.4">
      <c r="A6892" s="1" t="s">
        <v>13430</v>
      </c>
      <c r="B6892" t="s">
        <v>13431</v>
      </c>
      <c r="C6892" t="s">
        <v>2808</v>
      </c>
    </row>
    <row r="6893" spans="1:3" x14ac:dyDescent="0.4">
      <c r="A6893" s="1" t="s">
        <v>13432</v>
      </c>
      <c r="B6893" t="s">
        <v>13433</v>
      </c>
      <c r="C6893" t="s">
        <v>2808</v>
      </c>
    </row>
    <row r="6894" spans="1:3" x14ac:dyDescent="0.4">
      <c r="A6894" s="1" t="s">
        <v>13434</v>
      </c>
      <c r="B6894" t="s">
        <v>13435</v>
      </c>
      <c r="C6894" t="s">
        <v>2808</v>
      </c>
    </row>
    <row r="6895" spans="1:3" x14ac:dyDescent="0.4">
      <c r="A6895" s="1" t="s">
        <v>13436</v>
      </c>
      <c r="B6895" t="s">
        <v>13437</v>
      </c>
      <c r="C6895" t="s">
        <v>2808</v>
      </c>
    </row>
    <row r="6896" spans="1:3" x14ac:dyDescent="0.4">
      <c r="A6896" s="1" t="s">
        <v>13438</v>
      </c>
      <c r="B6896" t="s">
        <v>13439</v>
      </c>
      <c r="C6896" t="s">
        <v>2808</v>
      </c>
    </row>
    <row r="6897" spans="1:3" x14ac:dyDescent="0.4">
      <c r="A6897" s="1" t="s">
        <v>13440</v>
      </c>
      <c r="B6897" t="s">
        <v>13441</v>
      </c>
      <c r="C6897" t="s">
        <v>2808</v>
      </c>
    </row>
    <row r="6898" spans="1:3" x14ac:dyDescent="0.4">
      <c r="A6898" s="1" t="s">
        <v>13442</v>
      </c>
      <c r="B6898" t="s">
        <v>13443</v>
      </c>
      <c r="C6898" t="s">
        <v>2808</v>
      </c>
    </row>
    <row r="6899" spans="1:3" x14ac:dyDescent="0.4">
      <c r="A6899" s="1" t="s">
        <v>13444</v>
      </c>
      <c r="B6899" t="s">
        <v>13445</v>
      </c>
      <c r="C6899" t="s">
        <v>2808</v>
      </c>
    </row>
    <row r="6900" spans="1:3" x14ac:dyDescent="0.4">
      <c r="A6900" s="1" t="s">
        <v>13446</v>
      </c>
      <c r="B6900" t="s">
        <v>13447</v>
      </c>
      <c r="C6900" t="s">
        <v>2808</v>
      </c>
    </row>
    <row r="6901" spans="1:3" x14ac:dyDescent="0.4">
      <c r="A6901" s="1" t="s">
        <v>13448</v>
      </c>
      <c r="B6901" t="s">
        <v>13449</v>
      </c>
      <c r="C6901" t="s">
        <v>2808</v>
      </c>
    </row>
    <row r="6902" spans="1:3" x14ac:dyDescent="0.4">
      <c r="A6902" s="1" t="s">
        <v>13450</v>
      </c>
      <c r="B6902" t="s">
        <v>13451</v>
      </c>
      <c r="C6902" t="s">
        <v>2808</v>
      </c>
    </row>
    <row r="6903" spans="1:3" x14ac:dyDescent="0.4">
      <c r="A6903" s="1" t="s">
        <v>13452</v>
      </c>
      <c r="B6903" t="s">
        <v>13453</v>
      </c>
      <c r="C6903" t="s">
        <v>2808</v>
      </c>
    </row>
    <row r="6904" spans="1:3" x14ac:dyDescent="0.4">
      <c r="A6904" s="1" t="s">
        <v>13454</v>
      </c>
      <c r="B6904" t="s">
        <v>13455</v>
      </c>
      <c r="C6904" t="s">
        <v>2808</v>
      </c>
    </row>
    <row r="6905" spans="1:3" x14ac:dyDescent="0.4">
      <c r="A6905" s="1" t="s">
        <v>13456</v>
      </c>
      <c r="B6905" t="s">
        <v>13457</v>
      </c>
      <c r="C6905" t="s">
        <v>2808</v>
      </c>
    </row>
    <row r="6906" spans="1:3" x14ac:dyDescent="0.4">
      <c r="A6906" s="1" t="s">
        <v>13458</v>
      </c>
      <c r="B6906" t="s">
        <v>13459</v>
      </c>
      <c r="C6906" t="s">
        <v>2808</v>
      </c>
    </row>
    <row r="6907" spans="1:3" x14ac:dyDescent="0.4">
      <c r="A6907" s="1" t="s">
        <v>13460</v>
      </c>
      <c r="B6907" t="s">
        <v>13461</v>
      </c>
      <c r="C6907" t="s">
        <v>2808</v>
      </c>
    </row>
    <row r="6908" spans="1:3" x14ac:dyDescent="0.4">
      <c r="A6908" s="1" t="s">
        <v>13462</v>
      </c>
      <c r="B6908" t="s">
        <v>13463</v>
      </c>
      <c r="C6908" t="s">
        <v>2808</v>
      </c>
    </row>
    <row r="6909" spans="1:3" x14ac:dyDescent="0.4">
      <c r="A6909" s="1" t="s">
        <v>13464</v>
      </c>
      <c r="B6909" t="s">
        <v>13465</v>
      </c>
      <c r="C6909" t="s">
        <v>2808</v>
      </c>
    </row>
    <row r="6910" spans="1:3" x14ac:dyDescent="0.4">
      <c r="A6910" s="1" t="s">
        <v>13466</v>
      </c>
      <c r="B6910" t="s">
        <v>13467</v>
      </c>
      <c r="C6910" t="s">
        <v>2808</v>
      </c>
    </row>
    <row r="6911" spans="1:3" x14ac:dyDescent="0.4">
      <c r="A6911" s="1" t="s">
        <v>13468</v>
      </c>
      <c r="B6911" t="s">
        <v>13469</v>
      </c>
      <c r="C6911" t="s">
        <v>2808</v>
      </c>
    </row>
    <row r="6912" spans="1:3" x14ac:dyDescent="0.4">
      <c r="A6912" s="1" t="s">
        <v>13470</v>
      </c>
      <c r="B6912" t="s">
        <v>13471</v>
      </c>
      <c r="C6912" t="s">
        <v>2808</v>
      </c>
    </row>
    <row r="6913" spans="1:3" x14ac:dyDescent="0.4">
      <c r="A6913" s="1" t="s">
        <v>13472</v>
      </c>
      <c r="B6913" t="s">
        <v>13473</v>
      </c>
      <c r="C6913" t="s">
        <v>2808</v>
      </c>
    </row>
    <row r="6914" spans="1:3" x14ac:dyDescent="0.4">
      <c r="A6914" s="1" t="s">
        <v>13474</v>
      </c>
      <c r="B6914" t="s">
        <v>13475</v>
      </c>
      <c r="C6914" t="s">
        <v>2808</v>
      </c>
    </row>
    <row r="6915" spans="1:3" x14ac:dyDescent="0.4">
      <c r="A6915" s="1" t="s">
        <v>13476</v>
      </c>
      <c r="B6915" t="s">
        <v>13477</v>
      </c>
      <c r="C6915" t="s">
        <v>2808</v>
      </c>
    </row>
    <row r="6916" spans="1:3" x14ac:dyDescent="0.4">
      <c r="A6916" s="1" t="s">
        <v>13478</v>
      </c>
      <c r="B6916" t="s">
        <v>13479</v>
      </c>
      <c r="C6916" t="s">
        <v>2808</v>
      </c>
    </row>
    <row r="6917" spans="1:3" x14ac:dyDescent="0.4">
      <c r="A6917" s="1" t="s">
        <v>13480</v>
      </c>
      <c r="B6917" t="s">
        <v>13481</v>
      </c>
      <c r="C6917" t="s">
        <v>2808</v>
      </c>
    </row>
    <row r="6918" spans="1:3" x14ac:dyDescent="0.4">
      <c r="A6918" s="1" t="s">
        <v>13482</v>
      </c>
      <c r="B6918" t="s">
        <v>13483</v>
      </c>
      <c r="C6918" t="s">
        <v>2808</v>
      </c>
    </row>
    <row r="6919" spans="1:3" x14ac:dyDescent="0.4">
      <c r="A6919" s="1" t="s">
        <v>13484</v>
      </c>
      <c r="B6919" t="s">
        <v>13485</v>
      </c>
      <c r="C6919" t="s">
        <v>2808</v>
      </c>
    </row>
    <row r="6920" spans="1:3" x14ac:dyDescent="0.4">
      <c r="A6920" s="1" t="s">
        <v>13486</v>
      </c>
      <c r="B6920" t="s">
        <v>13487</v>
      </c>
      <c r="C6920" t="s">
        <v>2808</v>
      </c>
    </row>
    <row r="6921" spans="1:3" x14ac:dyDescent="0.4">
      <c r="A6921" s="1" t="s">
        <v>13488</v>
      </c>
      <c r="B6921" t="s">
        <v>13489</v>
      </c>
      <c r="C6921" t="s">
        <v>2808</v>
      </c>
    </row>
    <row r="6922" spans="1:3" x14ac:dyDescent="0.4">
      <c r="A6922" s="1" t="s">
        <v>13490</v>
      </c>
      <c r="B6922" t="s">
        <v>13491</v>
      </c>
      <c r="C6922" t="s">
        <v>2808</v>
      </c>
    </row>
    <row r="6923" spans="1:3" x14ac:dyDescent="0.4">
      <c r="A6923" s="1" t="s">
        <v>13492</v>
      </c>
      <c r="B6923" t="s">
        <v>13493</v>
      </c>
      <c r="C6923" t="s">
        <v>2808</v>
      </c>
    </row>
    <row r="6924" spans="1:3" x14ac:dyDescent="0.4">
      <c r="A6924" s="1" t="s">
        <v>13494</v>
      </c>
      <c r="B6924" t="s">
        <v>13495</v>
      </c>
      <c r="C6924" t="s">
        <v>2808</v>
      </c>
    </row>
    <row r="6925" spans="1:3" x14ac:dyDescent="0.4">
      <c r="A6925" s="1" t="s">
        <v>13496</v>
      </c>
      <c r="B6925" t="s">
        <v>13497</v>
      </c>
      <c r="C6925" t="s">
        <v>2808</v>
      </c>
    </row>
    <row r="6926" spans="1:3" x14ac:dyDescent="0.4">
      <c r="A6926" s="1" t="s">
        <v>13498</v>
      </c>
      <c r="B6926" t="s">
        <v>13499</v>
      </c>
      <c r="C6926" t="s">
        <v>2808</v>
      </c>
    </row>
    <row r="6927" spans="1:3" x14ac:dyDescent="0.4">
      <c r="A6927" s="1" t="s">
        <v>13500</v>
      </c>
      <c r="B6927" t="s">
        <v>13501</v>
      </c>
      <c r="C6927" t="s">
        <v>2808</v>
      </c>
    </row>
    <row r="6928" spans="1:3" x14ac:dyDescent="0.4">
      <c r="A6928" s="1" t="s">
        <v>13502</v>
      </c>
      <c r="B6928" t="s">
        <v>13503</v>
      </c>
      <c r="C6928" t="s">
        <v>2808</v>
      </c>
    </row>
    <row r="6929" spans="1:3" x14ac:dyDescent="0.4">
      <c r="A6929" s="1" t="s">
        <v>13504</v>
      </c>
      <c r="B6929" t="s">
        <v>13505</v>
      </c>
      <c r="C6929" t="s">
        <v>2808</v>
      </c>
    </row>
    <row r="6930" spans="1:3" x14ac:dyDescent="0.4">
      <c r="A6930" s="1" t="s">
        <v>13506</v>
      </c>
      <c r="B6930" t="s">
        <v>13507</v>
      </c>
      <c r="C6930" t="s">
        <v>2808</v>
      </c>
    </row>
    <row r="6931" spans="1:3" x14ac:dyDescent="0.4">
      <c r="A6931" s="1" t="s">
        <v>13508</v>
      </c>
      <c r="B6931" t="s">
        <v>13509</v>
      </c>
      <c r="C6931" t="s">
        <v>2808</v>
      </c>
    </row>
    <row r="6932" spans="1:3" x14ac:dyDescent="0.4">
      <c r="A6932" s="1" t="s">
        <v>13510</v>
      </c>
      <c r="B6932" t="s">
        <v>13511</v>
      </c>
      <c r="C6932" t="s">
        <v>2808</v>
      </c>
    </row>
    <row r="6933" spans="1:3" x14ac:dyDescent="0.4">
      <c r="A6933" s="1" t="s">
        <v>13512</v>
      </c>
      <c r="B6933" t="s">
        <v>13513</v>
      </c>
      <c r="C6933" t="s">
        <v>2808</v>
      </c>
    </row>
    <row r="6934" spans="1:3" x14ac:dyDescent="0.4">
      <c r="A6934" s="1" t="s">
        <v>13514</v>
      </c>
      <c r="B6934" t="s">
        <v>13515</v>
      </c>
      <c r="C6934" t="s">
        <v>2808</v>
      </c>
    </row>
    <row r="6935" spans="1:3" x14ac:dyDescent="0.4">
      <c r="A6935" s="1" t="s">
        <v>13516</v>
      </c>
      <c r="B6935" t="s">
        <v>13517</v>
      </c>
      <c r="C6935" t="s">
        <v>2808</v>
      </c>
    </row>
    <row r="6936" spans="1:3" x14ac:dyDescent="0.4">
      <c r="A6936" s="1" t="s">
        <v>13518</v>
      </c>
      <c r="B6936" t="s">
        <v>13519</v>
      </c>
      <c r="C6936" t="s">
        <v>2808</v>
      </c>
    </row>
    <row r="6937" spans="1:3" x14ac:dyDescent="0.4">
      <c r="A6937" s="1" t="s">
        <v>13520</v>
      </c>
      <c r="B6937" t="s">
        <v>13521</v>
      </c>
      <c r="C6937" t="s">
        <v>2808</v>
      </c>
    </row>
    <row r="6938" spans="1:3" x14ac:dyDescent="0.4">
      <c r="A6938" s="1" t="s">
        <v>13522</v>
      </c>
      <c r="B6938" t="s">
        <v>13523</v>
      </c>
      <c r="C6938" t="s">
        <v>2808</v>
      </c>
    </row>
    <row r="6939" spans="1:3" x14ac:dyDescent="0.4">
      <c r="A6939" s="1" t="s">
        <v>13524</v>
      </c>
      <c r="B6939" t="s">
        <v>13525</v>
      </c>
      <c r="C6939" t="s">
        <v>2808</v>
      </c>
    </row>
    <row r="6940" spans="1:3" x14ac:dyDescent="0.4">
      <c r="A6940" s="1" t="s">
        <v>13526</v>
      </c>
      <c r="B6940" t="s">
        <v>13527</v>
      </c>
      <c r="C6940" t="s">
        <v>2808</v>
      </c>
    </row>
    <row r="6941" spans="1:3" x14ac:dyDescent="0.4">
      <c r="A6941" s="1" t="s">
        <v>13528</v>
      </c>
      <c r="B6941" t="s">
        <v>13529</v>
      </c>
      <c r="C6941" t="s">
        <v>2808</v>
      </c>
    </row>
    <row r="6942" spans="1:3" x14ac:dyDescent="0.4">
      <c r="A6942" s="1" t="s">
        <v>13530</v>
      </c>
      <c r="B6942" t="s">
        <v>13531</v>
      </c>
      <c r="C6942" t="s">
        <v>2808</v>
      </c>
    </row>
    <row r="6943" spans="1:3" x14ac:dyDescent="0.4">
      <c r="A6943" s="1" t="s">
        <v>13532</v>
      </c>
      <c r="B6943" t="s">
        <v>13533</v>
      </c>
      <c r="C6943" t="s">
        <v>2808</v>
      </c>
    </row>
    <row r="6944" spans="1:3" x14ac:dyDescent="0.4">
      <c r="A6944" s="1" t="s">
        <v>13534</v>
      </c>
      <c r="B6944" t="s">
        <v>13535</v>
      </c>
      <c r="C6944" t="s">
        <v>2808</v>
      </c>
    </row>
    <row r="6945" spans="1:3" x14ac:dyDescent="0.4">
      <c r="A6945" s="1" t="s">
        <v>13536</v>
      </c>
      <c r="B6945" t="s">
        <v>13537</v>
      </c>
      <c r="C6945" t="s">
        <v>2808</v>
      </c>
    </row>
    <row r="6946" spans="1:3" x14ac:dyDescent="0.4">
      <c r="A6946" s="1" t="s">
        <v>13538</v>
      </c>
      <c r="B6946" t="s">
        <v>13539</v>
      </c>
      <c r="C6946" t="s">
        <v>2808</v>
      </c>
    </row>
    <row r="6947" spans="1:3" x14ac:dyDescent="0.4">
      <c r="A6947" s="1" t="s">
        <v>13540</v>
      </c>
      <c r="B6947" t="s">
        <v>13541</v>
      </c>
      <c r="C6947" t="s">
        <v>2808</v>
      </c>
    </row>
    <row r="6948" spans="1:3" x14ac:dyDescent="0.4">
      <c r="A6948" s="1" t="s">
        <v>13542</v>
      </c>
      <c r="B6948" t="s">
        <v>13543</v>
      </c>
      <c r="C6948" t="s">
        <v>2808</v>
      </c>
    </row>
    <row r="6949" spans="1:3" x14ac:dyDescent="0.4">
      <c r="A6949" s="1" t="s">
        <v>13544</v>
      </c>
      <c r="B6949" t="s">
        <v>13545</v>
      </c>
      <c r="C6949" t="s">
        <v>2808</v>
      </c>
    </row>
    <row r="6950" spans="1:3" x14ac:dyDescent="0.4">
      <c r="A6950" s="1" t="s">
        <v>13546</v>
      </c>
      <c r="B6950" t="s">
        <v>13547</v>
      </c>
      <c r="C6950" t="s">
        <v>2808</v>
      </c>
    </row>
    <row r="6951" spans="1:3" x14ac:dyDescent="0.4">
      <c r="A6951" s="1" t="s">
        <v>13548</v>
      </c>
      <c r="B6951" t="s">
        <v>13549</v>
      </c>
      <c r="C6951" t="s">
        <v>2808</v>
      </c>
    </row>
    <row r="6952" spans="1:3" x14ac:dyDescent="0.4">
      <c r="A6952" s="1" t="s">
        <v>13550</v>
      </c>
      <c r="B6952" t="s">
        <v>13551</v>
      </c>
      <c r="C6952" t="s">
        <v>2808</v>
      </c>
    </row>
    <row r="6953" spans="1:3" x14ac:dyDescent="0.4">
      <c r="A6953" s="1" t="s">
        <v>13552</v>
      </c>
      <c r="B6953" t="s">
        <v>13553</v>
      </c>
      <c r="C6953" t="s">
        <v>2808</v>
      </c>
    </row>
    <row r="6954" spans="1:3" x14ac:dyDescent="0.4">
      <c r="A6954" s="1" t="s">
        <v>13554</v>
      </c>
      <c r="B6954" t="s">
        <v>13555</v>
      </c>
      <c r="C6954" t="s">
        <v>2808</v>
      </c>
    </row>
    <row r="6955" spans="1:3" x14ac:dyDescent="0.4">
      <c r="A6955" s="1" t="s">
        <v>13556</v>
      </c>
      <c r="B6955" t="s">
        <v>13557</v>
      </c>
      <c r="C6955" t="s">
        <v>2808</v>
      </c>
    </row>
    <row r="6956" spans="1:3" x14ac:dyDescent="0.4">
      <c r="A6956" s="1" t="s">
        <v>13558</v>
      </c>
      <c r="B6956" t="s">
        <v>13559</v>
      </c>
      <c r="C6956" t="s">
        <v>2808</v>
      </c>
    </row>
    <row r="6957" spans="1:3" x14ac:dyDescent="0.4">
      <c r="A6957" s="1" t="s">
        <v>13560</v>
      </c>
      <c r="B6957" t="s">
        <v>13561</v>
      </c>
      <c r="C6957" t="s">
        <v>2808</v>
      </c>
    </row>
    <row r="6958" spans="1:3" x14ac:dyDescent="0.4">
      <c r="A6958" s="1" t="s">
        <v>13562</v>
      </c>
      <c r="B6958" t="s">
        <v>13563</v>
      </c>
      <c r="C6958" t="s">
        <v>2808</v>
      </c>
    </row>
    <row r="6959" spans="1:3" x14ac:dyDescent="0.4">
      <c r="A6959" s="1" t="s">
        <v>13564</v>
      </c>
      <c r="B6959" t="s">
        <v>13565</v>
      </c>
      <c r="C6959" t="s">
        <v>2808</v>
      </c>
    </row>
    <row r="6960" spans="1:3" x14ac:dyDescent="0.4">
      <c r="A6960" s="1" t="s">
        <v>13566</v>
      </c>
      <c r="B6960" t="s">
        <v>13567</v>
      </c>
      <c r="C6960" t="s">
        <v>2808</v>
      </c>
    </row>
    <row r="6961" spans="1:4" x14ac:dyDescent="0.4">
      <c r="A6961" s="1" t="s">
        <v>13568</v>
      </c>
      <c r="B6961" t="s">
        <v>13569</v>
      </c>
      <c r="C6961" t="s">
        <v>2808</v>
      </c>
    </row>
    <row r="6962" spans="1:4" x14ac:dyDescent="0.4">
      <c r="A6962" s="1" t="s">
        <v>13570</v>
      </c>
      <c r="B6962" t="s">
        <v>13571</v>
      </c>
      <c r="C6962" t="s">
        <v>2808</v>
      </c>
    </row>
    <row r="6963" spans="1:4" x14ac:dyDescent="0.4">
      <c r="A6963" s="1" t="s">
        <v>13572</v>
      </c>
      <c r="B6963" t="s">
        <v>13573</v>
      </c>
      <c r="C6963" t="s">
        <v>5</v>
      </c>
      <c r="D6963">
        <v>3000</v>
      </c>
    </row>
    <row r="6964" spans="1:4" x14ac:dyDescent="0.4">
      <c r="A6964" s="1" t="s">
        <v>13574</v>
      </c>
      <c r="B6964" t="s">
        <v>13575</v>
      </c>
      <c r="C6964" t="s">
        <v>5</v>
      </c>
    </row>
    <row r="6965" spans="1:4" x14ac:dyDescent="0.4">
      <c r="A6965" s="1" t="s">
        <v>13576</v>
      </c>
      <c r="B6965" t="s">
        <v>13577</v>
      </c>
      <c r="C6965" t="s">
        <v>5</v>
      </c>
    </row>
    <row r="6966" spans="1:4" x14ac:dyDescent="0.4">
      <c r="A6966" s="1" t="s">
        <v>13578</v>
      </c>
      <c r="B6966" t="s">
        <v>13579</v>
      </c>
      <c r="C6966" t="s">
        <v>5</v>
      </c>
    </row>
    <row r="6967" spans="1:4" x14ac:dyDescent="0.4">
      <c r="A6967" s="1" t="s">
        <v>13580</v>
      </c>
      <c r="B6967" t="s">
        <v>13581</v>
      </c>
      <c r="C6967" t="s">
        <v>5</v>
      </c>
      <c r="D6967">
        <v>588000</v>
      </c>
    </row>
    <row r="6968" spans="1:4" x14ac:dyDescent="0.4">
      <c r="A6968" s="1" t="s">
        <v>13582</v>
      </c>
      <c r="B6968" t="s">
        <v>13583</v>
      </c>
      <c r="C6968" t="s">
        <v>5</v>
      </c>
      <c r="D6968">
        <v>599000</v>
      </c>
    </row>
    <row r="6969" spans="1:4" x14ac:dyDescent="0.4">
      <c r="A6969" s="1" t="s">
        <v>13584</v>
      </c>
      <c r="B6969" t="s">
        <v>13585</v>
      </c>
      <c r="C6969" t="s">
        <v>5</v>
      </c>
    </row>
    <row r="6970" spans="1:4" x14ac:dyDescent="0.4">
      <c r="A6970" s="1" t="s">
        <v>13586</v>
      </c>
      <c r="B6970" t="s">
        <v>13587</v>
      </c>
      <c r="C6970" t="s">
        <v>5</v>
      </c>
      <c r="D6970">
        <v>108000</v>
      </c>
    </row>
    <row r="6971" spans="1:4" x14ac:dyDescent="0.4">
      <c r="A6971" s="1" t="s">
        <v>13588</v>
      </c>
      <c r="B6971" t="e">
        <f>-終息-RICOH ﾚｰｻﾞｰﾌﾟﾘﾝﾀｰ SP C340 【512993】</f>
        <v>#NAME?</v>
      </c>
      <c r="C6971" t="s">
        <v>5</v>
      </c>
      <c r="D6971">
        <v>163000</v>
      </c>
    </row>
    <row r="6972" spans="1:4" x14ac:dyDescent="0.4">
      <c r="A6972" s="1" t="s">
        <v>13589</v>
      </c>
      <c r="B6972" t="s">
        <v>13590</v>
      </c>
      <c r="C6972" t="s">
        <v>5</v>
      </c>
      <c r="D6972">
        <v>174000</v>
      </c>
    </row>
    <row r="6973" spans="1:4" x14ac:dyDescent="0.4">
      <c r="A6973" s="1" t="s">
        <v>13591</v>
      </c>
      <c r="B6973" t="e">
        <f>-終息-RICOH ﾚｰｻﾞｰﾌﾟﾘﾝﾀｰ SP C838</f>
        <v>#NAME?</v>
      </c>
      <c r="C6973" t="s">
        <v>5</v>
      </c>
      <c r="D6973">
        <v>350000</v>
      </c>
    </row>
    <row r="6974" spans="1:4" x14ac:dyDescent="0.4">
      <c r="A6974" s="1" t="s">
        <v>13592</v>
      </c>
      <c r="B6974" t="s">
        <v>13593</v>
      </c>
      <c r="C6974" t="s">
        <v>5</v>
      </c>
      <c r="D6974">
        <v>360000</v>
      </c>
    </row>
    <row r="6975" spans="1:4" x14ac:dyDescent="0.4">
      <c r="A6975" s="1" t="s">
        <v>13594</v>
      </c>
      <c r="B6975" t="s">
        <v>13595</v>
      </c>
      <c r="C6975" t="s">
        <v>5</v>
      </c>
      <c r="D6975">
        <v>515000</v>
      </c>
    </row>
    <row r="6976" spans="1:4" x14ac:dyDescent="0.4">
      <c r="A6976" s="1" t="s">
        <v>13596</v>
      </c>
      <c r="B6976" t="s">
        <v>13597</v>
      </c>
      <c r="C6976" t="s">
        <v>5</v>
      </c>
      <c r="D6976">
        <v>525000</v>
      </c>
    </row>
    <row r="6977" spans="1:3" x14ac:dyDescent="0.4">
      <c r="A6977" s="1" t="s">
        <v>13598</v>
      </c>
      <c r="B6977" t="s">
        <v>13599</v>
      </c>
      <c r="C6977" t="s">
        <v>2808</v>
      </c>
    </row>
    <row r="6978" spans="1:3" x14ac:dyDescent="0.4">
      <c r="A6978" s="1" t="s">
        <v>13600</v>
      </c>
      <c r="B6978" t="s">
        <v>13601</v>
      </c>
      <c r="C6978" t="s">
        <v>2808</v>
      </c>
    </row>
    <row r="6979" spans="1:3" x14ac:dyDescent="0.4">
      <c r="A6979" s="1" t="s">
        <v>13602</v>
      </c>
      <c r="B6979" t="s">
        <v>13603</v>
      </c>
      <c r="C6979" t="s">
        <v>2808</v>
      </c>
    </row>
    <row r="6980" spans="1:3" x14ac:dyDescent="0.4">
      <c r="A6980" s="1" t="s">
        <v>13604</v>
      </c>
      <c r="B6980" t="s">
        <v>13605</v>
      </c>
      <c r="C6980" t="s">
        <v>2808</v>
      </c>
    </row>
    <row r="6981" spans="1:3" x14ac:dyDescent="0.4">
      <c r="A6981" s="1" t="s">
        <v>13606</v>
      </c>
      <c r="B6981" t="s">
        <v>13607</v>
      </c>
      <c r="C6981" t="s">
        <v>2808</v>
      </c>
    </row>
    <row r="6982" spans="1:3" x14ac:dyDescent="0.4">
      <c r="A6982" s="1" t="s">
        <v>13608</v>
      </c>
      <c r="B6982" t="s">
        <v>13609</v>
      </c>
      <c r="C6982" t="s">
        <v>2808</v>
      </c>
    </row>
    <row r="6983" spans="1:3" x14ac:dyDescent="0.4">
      <c r="A6983" s="1" t="s">
        <v>13610</v>
      </c>
      <c r="B6983" t="s">
        <v>13611</v>
      </c>
      <c r="C6983" t="s">
        <v>2808</v>
      </c>
    </row>
    <row r="6984" spans="1:3" x14ac:dyDescent="0.4">
      <c r="A6984" s="1" t="s">
        <v>13612</v>
      </c>
      <c r="B6984" t="s">
        <v>13613</v>
      </c>
      <c r="C6984" t="s">
        <v>2808</v>
      </c>
    </row>
    <row r="6985" spans="1:3" x14ac:dyDescent="0.4">
      <c r="A6985" s="1" t="s">
        <v>13614</v>
      </c>
      <c r="B6985" t="s">
        <v>13615</v>
      </c>
      <c r="C6985" t="s">
        <v>2808</v>
      </c>
    </row>
    <row r="6986" spans="1:3" x14ac:dyDescent="0.4">
      <c r="A6986" s="1" t="s">
        <v>13616</v>
      </c>
      <c r="B6986" t="s">
        <v>13617</v>
      </c>
      <c r="C6986" t="s">
        <v>2808</v>
      </c>
    </row>
    <row r="6987" spans="1:3" x14ac:dyDescent="0.4">
      <c r="A6987" s="1" t="s">
        <v>13618</v>
      </c>
      <c r="B6987" t="s">
        <v>13619</v>
      </c>
      <c r="C6987" t="s">
        <v>2808</v>
      </c>
    </row>
    <row r="6988" spans="1:3" x14ac:dyDescent="0.4">
      <c r="A6988" s="1" t="s">
        <v>13620</v>
      </c>
      <c r="B6988" t="s">
        <v>13621</v>
      </c>
      <c r="C6988" t="s">
        <v>2808</v>
      </c>
    </row>
    <row r="6989" spans="1:3" x14ac:dyDescent="0.4">
      <c r="A6989" s="1" t="s">
        <v>13622</v>
      </c>
      <c r="B6989" t="s">
        <v>13623</v>
      </c>
      <c r="C6989" t="s">
        <v>2808</v>
      </c>
    </row>
    <row r="6990" spans="1:3" x14ac:dyDescent="0.4">
      <c r="A6990" s="1" t="s">
        <v>13624</v>
      </c>
      <c r="B6990" t="s">
        <v>13625</v>
      </c>
      <c r="C6990" t="s">
        <v>2808</v>
      </c>
    </row>
    <row r="6991" spans="1:3" x14ac:dyDescent="0.4">
      <c r="A6991" s="1" t="s">
        <v>13626</v>
      </c>
      <c r="B6991" t="s">
        <v>13627</v>
      </c>
      <c r="C6991" t="s">
        <v>2808</v>
      </c>
    </row>
    <row r="6992" spans="1:3" x14ac:dyDescent="0.4">
      <c r="A6992" s="1" t="s">
        <v>13628</v>
      </c>
      <c r="B6992" t="s">
        <v>13629</v>
      </c>
      <c r="C6992" t="s">
        <v>2808</v>
      </c>
    </row>
    <row r="6993" spans="1:3" x14ac:dyDescent="0.4">
      <c r="A6993" s="1" t="s">
        <v>13630</v>
      </c>
      <c r="B6993" t="s">
        <v>13631</v>
      </c>
      <c r="C6993" t="s">
        <v>2808</v>
      </c>
    </row>
    <row r="6994" spans="1:3" x14ac:dyDescent="0.4">
      <c r="A6994" s="1" t="s">
        <v>13632</v>
      </c>
      <c r="B6994" t="s">
        <v>13633</v>
      </c>
      <c r="C6994" t="s">
        <v>2808</v>
      </c>
    </row>
    <row r="6995" spans="1:3" x14ac:dyDescent="0.4">
      <c r="A6995" s="1" t="s">
        <v>13634</v>
      </c>
      <c r="B6995" t="s">
        <v>13635</v>
      </c>
      <c r="C6995" t="s">
        <v>2808</v>
      </c>
    </row>
    <row r="6996" spans="1:3" x14ac:dyDescent="0.4">
      <c r="A6996" s="1" t="s">
        <v>13636</v>
      </c>
      <c r="B6996" t="s">
        <v>13637</v>
      </c>
      <c r="C6996" t="s">
        <v>2808</v>
      </c>
    </row>
    <row r="6997" spans="1:3" x14ac:dyDescent="0.4">
      <c r="A6997" s="1" t="s">
        <v>13638</v>
      </c>
      <c r="B6997" t="s">
        <v>13639</v>
      </c>
      <c r="C6997" t="s">
        <v>2808</v>
      </c>
    </row>
    <row r="6998" spans="1:3" x14ac:dyDescent="0.4">
      <c r="A6998" s="1" t="s">
        <v>13640</v>
      </c>
      <c r="B6998" t="s">
        <v>13641</v>
      </c>
      <c r="C6998" t="s">
        <v>2808</v>
      </c>
    </row>
    <row r="6999" spans="1:3" x14ac:dyDescent="0.4">
      <c r="A6999" s="1" t="s">
        <v>13642</v>
      </c>
      <c r="B6999" t="s">
        <v>13643</v>
      </c>
      <c r="C6999" t="s">
        <v>2808</v>
      </c>
    </row>
    <row r="7000" spans="1:3" x14ac:dyDescent="0.4">
      <c r="A7000" s="1" t="s">
        <v>13644</v>
      </c>
      <c r="B7000" t="s">
        <v>13645</v>
      </c>
      <c r="C7000" t="s">
        <v>2808</v>
      </c>
    </row>
    <row r="7001" spans="1:3" x14ac:dyDescent="0.4">
      <c r="A7001" s="1" t="s">
        <v>13646</v>
      </c>
      <c r="B7001" t="s">
        <v>13647</v>
      </c>
      <c r="C7001" t="s">
        <v>2808</v>
      </c>
    </row>
    <row r="7002" spans="1:3" x14ac:dyDescent="0.4">
      <c r="A7002" s="1" t="s">
        <v>13648</v>
      </c>
      <c r="B7002" t="s">
        <v>13649</v>
      </c>
      <c r="C7002" t="s">
        <v>2808</v>
      </c>
    </row>
    <row r="7003" spans="1:3" x14ac:dyDescent="0.4">
      <c r="A7003" s="1" t="s">
        <v>13650</v>
      </c>
      <c r="B7003" t="s">
        <v>13651</v>
      </c>
      <c r="C7003" t="s">
        <v>2808</v>
      </c>
    </row>
    <row r="7004" spans="1:3" x14ac:dyDescent="0.4">
      <c r="A7004" s="1" t="s">
        <v>13652</v>
      </c>
      <c r="B7004" t="s">
        <v>13653</v>
      </c>
      <c r="C7004" t="s">
        <v>2808</v>
      </c>
    </row>
    <row r="7005" spans="1:3" x14ac:dyDescent="0.4">
      <c r="A7005" s="1" t="s">
        <v>13654</v>
      </c>
      <c r="B7005" t="s">
        <v>13655</v>
      </c>
      <c r="C7005" t="s">
        <v>2808</v>
      </c>
    </row>
    <row r="7006" spans="1:3" x14ac:dyDescent="0.4">
      <c r="A7006" s="1" t="s">
        <v>13656</v>
      </c>
      <c r="B7006" t="s">
        <v>13657</v>
      </c>
      <c r="C7006" t="s">
        <v>2808</v>
      </c>
    </row>
    <row r="7007" spans="1:3" x14ac:dyDescent="0.4">
      <c r="A7007" s="1" t="s">
        <v>13658</v>
      </c>
      <c r="B7007" t="s">
        <v>13659</v>
      </c>
      <c r="C7007" t="s">
        <v>2808</v>
      </c>
    </row>
    <row r="7008" spans="1:3" x14ac:dyDescent="0.4">
      <c r="A7008" s="1" t="s">
        <v>13660</v>
      </c>
      <c r="B7008" t="s">
        <v>13661</v>
      </c>
      <c r="C7008" t="s">
        <v>2808</v>
      </c>
    </row>
    <row r="7009" spans="1:3" x14ac:dyDescent="0.4">
      <c r="A7009" s="1" t="s">
        <v>13662</v>
      </c>
      <c r="B7009" t="s">
        <v>13663</v>
      </c>
      <c r="C7009" t="s">
        <v>2808</v>
      </c>
    </row>
    <row r="7010" spans="1:3" x14ac:dyDescent="0.4">
      <c r="A7010" s="1" t="s">
        <v>13664</v>
      </c>
      <c r="B7010" t="s">
        <v>13665</v>
      </c>
      <c r="C7010" t="s">
        <v>2808</v>
      </c>
    </row>
    <row r="7011" spans="1:3" x14ac:dyDescent="0.4">
      <c r="A7011" s="1" t="s">
        <v>13666</v>
      </c>
      <c r="B7011" t="s">
        <v>13667</v>
      </c>
      <c r="C7011" t="s">
        <v>2808</v>
      </c>
    </row>
    <row r="7012" spans="1:3" x14ac:dyDescent="0.4">
      <c r="A7012" s="1" t="s">
        <v>13668</v>
      </c>
      <c r="B7012" t="s">
        <v>13669</v>
      </c>
      <c r="C7012" t="s">
        <v>2808</v>
      </c>
    </row>
    <row r="7013" spans="1:3" x14ac:dyDescent="0.4">
      <c r="A7013" s="1" t="s">
        <v>13670</v>
      </c>
      <c r="B7013" t="s">
        <v>13669</v>
      </c>
      <c r="C7013" t="s">
        <v>2808</v>
      </c>
    </row>
    <row r="7014" spans="1:3" x14ac:dyDescent="0.4">
      <c r="A7014" s="1" t="s">
        <v>13671</v>
      </c>
      <c r="B7014" t="s">
        <v>13672</v>
      </c>
      <c r="C7014" t="s">
        <v>2808</v>
      </c>
    </row>
    <row r="7015" spans="1:3" x14ac:dyDescent="0.4">
      <c r="A7015" s="1" t="s">
        <v>13673</v>
      </c>
      <c r="B7015" t="s">
        <v>13674</v>
      </c>
      <c r="C7015" t="s">
        <v>2808</v>
      </c>
    </row>
    <row r="7016" spans="1:3" x14ac:dyDescent="0.4">
      <c r="A7016" s="1" t="s">
        <v>13675</v>
      </c>
      <c r="B7016" t="s">
        <v>13676</v>
      </c>
      <c r="C7016" t="s">
        <v>2808</v>
      </c>
    </row>
    <row r="7017" spans="1:3" x14ac:dyDescent="0.4">
      <c r="A7017" s="1" t="s">
        <v>13677</v>
      </c>
      <c r="B7017" t="s">
        <v>13678</v>
      </c>
      <c r="C7017" t="s">
        <v>2808</v>
      </c>
    </row>
    <row r="7018" spans="1:3" x14ac:dyDescent="0.4">
      <c r="A7018" s="1" t="s">
        <v>13679</v>
      </c>
      <c r="B7018" t="s">
        <v>13680</v>
      </c>
      <c r="C7018" t="s">
        <v>2808</v>
      </c>
    </row>
    <row r="7019" spans="1:3" x14ac:dyDescent="0.4">
      <c r="A7019" s="1" t="s">
        <v>13681</v>
      </c>
      <c r="B7019" t="s">
        <v>13682</v>
      </c>
      <c r="C7019" t="s">
        <v>2808</v>
      </c>
    </row>
    <row r="7020" spans="1:3" x14ac:dyDescent="0.4">
      <c r="A7020" s="1" t="s">
        <v>13683</v>
      </c>
      <c r="B7020" t="s">
        <v>13684</v>
      </c>
      <c r="C7020" t="s">
        <v>2808</v>
      </c>
    </row>
    <row r="7021" spans="1:3" x14ac:dyDescent="0.4">
      <c r="A7021" s="1" t="s">
        <v>13685</v>
      </c>
      <c r="B7021" t="s">
        <v>13686</v>
      </c>
      <c r="C7021" t="s">
        <v>2808</v>
      </c>
    </row>
    <row r="7022" spans="1:3" x14ac:dyDescent="0.4">
      <c r="A7022" s="1" t="s">
        <v>13687</v>
      </c>
      <c r="B7022" t="s">
        <v>13688</v>
      </c>
      <c r="C7022" t="s">
        <v>2808</v>
      </c>
    </row>
    <row r="7023" spans="1:3" x14ac:dyDescent="0.4">
      <c r="A7023" s="1" t="s">
        <v>13689</v>
      </c>
      <c r="B7023" t="s">
        <v>13690</v>
      </c>
      <c r="C7023" t="s">
        <v>2808</v>
      </c>
    </row>
    <row r="7024" spans="1:3" x14ac:dyDescent="0.4">
      <c r="A7024" s="1" t="s">
        <v>13691</v>
      </c>
      <c r="B7024" t="s">
        <v>13692</v>
      </c>
      <c r="C7024" t="s">
        <v>2808</v>
      </c>
    </row>
    <row r="7025" spans="1:3" x14ac:dyDescent="0.4">
      <c r="A7025" s="1" t="s">
        <v>13693</v>
      </c>
      <c r="B7025" t="s">
        <v>13694</v>
      </c>
      <c r="C7025" t="s">
        <v>2808</v>
      </c>
    </row>
    <row r="7026" spans="1:3" x14ac:dyDescent="0.4">
      <c r="A7026" s="1" t="s">
        <v>13695</v>
      </c>
      <c r="B7026" t="s">
        <v>13696</v>
      </c>
      <c r="C7026" t="s">
        <v>2808</v>
      </c>
    </row>
    <row r="7027" spans="1:3" x14ac:dyDescent="0.4">
      <c r="A7027" s="1" t="s">
        <v>13697</v>
      </c>
      <c r="B7027" t="s">
        <v>13698</v>
      </c>
      <c r="C7027" t="s">
        <v>2808</v>
      </c>
    </row>
    <row r="7028" spans="1:3" x14ac:dyDescent="0.4">
      <c r="A7028" s="1" t="s">
        <v>13699</v>
      </c>
      <c r="B7028" t="s">
        <v>13700</v>
      </c>
      <c r="C7028" t="s">
        <v>2808</v>
      </c>
    </row>
    <row r="7029" spans="1:3" x14ac:dyDescent="0.4">
      <c r="A7029" s="1" t="s">
        <v>13701</v>
      </c>
      <c r="B7029" t="s">
        <v>13702</v>
      </c>
      <c r="C7029" t="s">
        <v>2808</v>
      </c>
    </row>
    <row r="7030" spans="1:3" x14ac:dyDescent="0.4">
      <c r="A7030" s="1" t="s">
        <v>13703</v>
      </c>
      <c r="B7030" t="s">
        <v>13704</v>
      </c>
      <c r="C7030" t="s">
        <v>2808</v>
      </c>
    </row>
    <row r="7031" spans="1:3" x14ac:dyDescent="0.4">
      <c r="A7031" s="1" t="s">
        <v>13705</v>
      </c>
      <c r="B7031" t="s">
        <v>13706</v>
      </c>
      <c r="C7031" t="s">
        <v>2808</v>
      </c>
    </row>
    <row r="7032" spans="1:3" x14ac:dyDescent="0.4">
      <c r="A7032" s="1" t="s">
        <v>13707</v>
      </c>
      <c r="B7032" t="s">
        <v>13708</v>
      </c>
      <c r="C7032" t="s">
        <v>2808</v>
      </c>
    </row>
    <row r="7033" spans="1:3" x14ac:dyDescent="0.4">
      <c r="A7033" s="1" t="s">
        <v>13709</v>
      </c>
      <c r="B7033" t="s">
        <v>13710</v>
      </c>
      <c r="C7033" t="s">
        <v>2808</v>
      </c>
    </row>
    <row r="7034" spans="1:3" x14ac:dyDescent="0.4">
      <c r="A7034" s="1" t="s">
        <v>13711</v>
      </c>
      <c r="B7034" t="s">
        <v>13712</v>
      </c>
      <c r="C7034" t="s">
        <v>2808</v>
      </c>
    </row>
    <row r="7035" spans="1:3" x14ac:dyDescent="0.4">
      <c r="A7035" s="1" t="s">
        <v>13713</v>
      </c>
      <c r="B7035" t="s">
        <v>13714</v>
      </c>
      <c r="C7035" t="s">
        <v>2808</v>
      </c>
    </row>
    <row r="7036" spans="1:3" x14ac:dyDescent="0.4">
      <c r="A7036" s="1" t="s">
        <v>13715</v>
      </c>
      <c r="B7036" t="s">
        <v>13716</v>
      </c>
      <c r="C7036" t="s">
        <v>2808</v>
      </c>
    </row>
    <row r="7037" spans="1:3" x14ac:dyDescent="0.4">
      <c r="A7037" s="1" t="s">
        <v>13717</v>
      </c>
      <c r="B7037" t="s">
        <v>13718</v>
      </c>
      <c r="C7037" t="s">
        <v>2808</v>
      </c>
    </row>
    <row r="7038" spans="1:3" x14ac:dyDescent="0.4">
      <c r="A7038" s="1" t="s">
        <v>13719</v>
      </c>
      <c r="B7038" t="s">
        <v>13720</v>
      </c>
      <c r="C7038" t="s">
        <v>2808</v>
      </c>
    </row>
    <row r="7039" spans="1:3" x14ac:dyDescent="0.4">
      <c r="A7039" s="1" t="s">
        <v>13721</v>
      </c>
      <c r="B7039" t="s">
        <v>13722</v>
      </c>
      <c r="C7039" t="s">
        <v>2808</v>
      </c>
    </row>
    <row r="7040" spans="1:3" x14ac:dyDescent="0.4">
      <c r="A7040" s="1" t="s">
        <v>13723</v>
      </c>
      <c r="B7040" t="s">
        <v>13724</v>
      </c>
      <c r="C7040" t="s">
        <v>2808</v>
      </c>
    </row>
    <row r="7041" spans="1:3" x14ac:dyDescent="0.4">
      <c r="A7041" s="1" t="s">
        <v>13725</v>
      </c>
      <c r="B7041" t="s">
        <v>13726</v>
      </c>
      <c r="C7041" t="s">
        <v>2808</v>
      </c>
    </row>
    <row r="7042" spans="1:3" x14ac:dyDescent="0.4">
      <c r="A7042" s="1" t="s">
        <v>13727</v>
      </c>
      <c r="B7042" t="s">
        <v>13728</v>
      </c>
      <c r="C7042" t="s">
        <v>2808</v>
      </c>
    </row>
    <row r="7043" spans="1:3" x14ac:dyDescent="0.4">
      <c r="A7043" s="1" t="s">
        <v>13729</v>
      </c>
      <c r="B7043" t="s">
        <v>13730</v>
      </c>
      <c r="C7043" t="s">
        <v>2808</v>
      </c>
    </row>
    <row r="7044" spans="1:3" x14ac:dyDescent="0.4">
      <c r="A7044" s="1" t="s">
        <v>13731</v>
      </c>
      <c r="B7044" t="s">
        <v>13732</v>
      </c>
      <c r="C7044" t="s">
        <v>2808</v>
      </c>
    </row>
    <row r="7045" spans="1:3" x14ac:dyDescent="0.4">
      <c r="A7045" s="1" t="s">
        <v>13733</v>
      </c>
      <c r="B7045" t="s">
        <v>13734</v>
      </c>
      <c r="C7045" t="s">
        <v>2808</v>
      </c>
    </row>
    <row r="7046" spans="1:3" x14ac:dyDescent="0.4">
      <c r="A7046" s="1" t="s">
        <v>13735</v>
      </c>
      <c r="B7046" t="s">
        <v>13736</v>
      </c>
      <c r="C7046" t="s">
        <v>2808</v>
      </c>
    </row>
    <row r="7047" spans="1:3" x14ac:dyDescent="0.4">
      <c r="A7047" s="1" t="s">
        <v>13737</v>
      </c>
      <c r="B7047" t="s">
        <v>13738</v>
      </c>
      <c r="C7047" t="s">
        <v>2808</v>
      </c>
    </row>
    <row r="7048" spans="1:3" x14ac:dyDescent="0.4">
      <c r="A7048" s="1" t="s">
        <v>13739</v>
      </c>
      <c r="B7048" t="s">
        <v>13740</v>
      </c>
      <c r="C7048" t="s">
        <v>2808</v>
      </c>
    </row>
    <row r="7049" spans="1:3" x14ac:dyDescent="0.4">
      <c r="A7049" s="1" t="s">
        <v>13741</v>
      </c>
      <c r="B7049" t="s">
        <v>13742</v>
      </c>
      <c r="C7049" t="s">
        <v>2808</v>
      </c>
    </row>
    <row r="7050" spans="1:3" x14ac:dyDescent="0.4">
      <c r="A7050" s="1" t="s">
        <v>13743</v>
      </c>
      <c r="B7050" t="s">
        <v>13744</v>
      </c>
      <c r="C7050" t="s">
        <v>2808</v>
      </c>
    </row>
    <row r="7051" spans="1:3" x14ac:dyDescent="0.4">
      <c r="A7051" s="1" t="s">
        <v>13745</v>
      </c>
      <c r="B7051" t="s">
        <v>13746</v>
      </c>
      <c r="C7051" t="s">
        <v>2808</v>
      </c>
    </row>
    <row r="7052" spans="1:3" x14ac:dyDescent="0.4">
      <c r="A7052" s="1" t="s">
        <v>13747</v>
      </c>
      <c r="B7052" t="s">
        <v>13748</v>
      </c>
      <c r="C7052" t="s">
        <v>2808</v>
      </c>
    </row>
    <row r="7053" spans="1:3" x14ac:dyDescent="0.4">
      <c r="A7053" s="1" t="s">
        <v>13749</v>
      </c>
      <c r="B7053" t="s">
        <v>13750</v>
      </c>
      <c r="C7053" t="s">
        <v>2808</v>
      </c>
    </row>
    <row r="7054" spans="1:3" x14ac:dyDescent="0.4">
      <c r="A7054" s="1" t="s">
        <v>13751</v>
      </c>
      <c r="B7054" t="s">
        <v>13752</v>
      </c>
      <c r="C7054" t="s">
        <v>2808</v>
      </c>
    </row>
    <row r="7055" spans="1:3" x14ac:dyDescent="0.4">
      <c r="A7055" s="1" t="s">
        <v>13753</v>
      </c>
      <c r="B7055" t="s">
        <v>13754</v>
      </c>
      <c r="C7055" t="s">
        <v>2808</v>
      </c>
    </row>
    <row r="7056" spans="1:3" x14ac:dyDescent="0.4">
      <c r="A7056" s="1" t="s">
        <v>13755</v>
      </c>
      <c r="B7056" t="s">
        <v>13756</v>
      </c>
      <c r="C7056" t="s">
        <v>2808</v>
      </c>
    </row>
    <row r="7057" spans="1:3" x14ac:dyDescent="0.4">
      <c r="A7057" s="1" t="s">
        <v>13757</v>
      </c>
      <c r="B7057" t="s">
        <v>13758</v>
      </c>
      <c r="C7057" t="s">
        <v>2808</v>
      </c>
    </row>
    <row r="7058" spans="1:3" x14ac:dyDescent="0.4">
      <c r="A7058" s="1" t="s">
        <v>13759</v>
      </c>
      <c r="B7058" t="s">
        <v>13760</v>
      </c>
      <c r="C7058" t="s">
        <v>2808</v>
      </c>
    </row>
    <row r="7059" spans="1:3" x14ac:dyDescent="0.4">
      <c r="A7059" s="1" t="s">
        <v>13761</v>
      </c>
      <c r="B7059" t="s">
        <v>13762</v>
      </c>
      <c r="C7059" t="s">
        <v>2808</v>
      </c>
    </row>
    <row r="7060" spans="1:3" x14ac:dyDescent="0.4">
      <c r="A7060" s="1" t="s">
        <v>13763</v>
      </c>
      <c r="B7060" t="s">
        <v>13764</v>
      </c>
      <c r="C7060" t="s">
        <v>2808</v>
      </c>
    </row>
    <row r="7061" spans="1:3" x14ac:dyDescent="0.4">
      <c r="A7061" s="1" t="s">
        <v>13765</v>
      </c>
      <c r="B7061" t="s">
        <v>13766</v>
      </c>
      <c r="C7061" t="s">
        <v>2808</v>
      </c>
    </row>
    <row r="7062" spans="1:3" x14ac:dyDescent="0.4">
      <c r="A7062" s="1" t="s">
        <v>13767</v>
      </c>
      <c r="B7062" t="s">
        <v>13768</v>
      </c>
      <c r="C7062" t="s">
        <v>2808</v>
      </c>
    </row>
    <row r="7063" spans="1:3" x14ac:dyDescent="0.4">
      <c r="A7063" s="1" t="s">
        <v>13769</v>
      </c>
      <c r="B7063" t="s">
        <v>13770</v>
      </c>
      <c r="C7063" t="s">
        <v>2808</v>
      </c>
    </row>
    <row r="7064" spans="1:3" x14ac:dyDescent="0.4">
      <c r="A7064" s="1" t="s">
        <v>13771</v>
      </c>
      <c r="B7064" t="s">
        <v>13772</v>
      </c>
      <c r="C7064" t="s">
        <v>2808</v>
      </c>
    </row>
    <row r="7065" spans="1:3" x14ac:dyDescent="0.4">
      <c r="A7065" s="1" t="s">
        <v>13773</v>
      </c>
      <c r="B7065" t="s">
        <v>13774</v>
      </c>
      <c r="C7065" t="s">
        <v>2808</v>
      </c>
    </row>
    <row r="7066" spans="1:3" x14ac:dyDescent="0.4">
      <c r="A7066" s="1" t="s">
        <v>13775</v>
      </c>
      <c r="B7066" t="s">
        <v>13776</v>
      </c>
      <c r="C7066" t="s">
        <v>2808</v>
      </c>
    </row>
    <row r="7067" spans="1:3" x14ac:dyDescent="0.4">
      <c r="A7067" s="1" t="s">
        <v>13777</v>
      </c>
      <c r="B7067" t="s">
        <v>13778</v>
      </c>
      <c r="C7067" t="s">
        <v>2808</v>
      </c>
    </row>
    <row r="7068" spans="1:3" x14ac:dyDescent="0.4">
      <c r="A7068" s="1" t="s">
        <v>13779</v>
      </c>
      <c r="B7068" t="s">
        <v>13780</v>
      </c>
      <c r="C7068" t="s">
        <v>2808</v>
      </c>
    </row>
    <row r="7069" spans="1:3" x14ac:dyDescent="0.4">
      <c r="A7069" s="1" t="s">
        <v>13781</v>
      </c>
      <c r="B7069" t="s">
        <v>13782</v>
      </c>
      <c r="C7069" t="s">
        <v>2808</v>
      </c>
    </row>
    <row r="7070" spans="1:3" x14ac:dyDescent="0.4">
      <c r="A7070" s="1" t="s">
        <v>13783</v>
      </c>
      <c r="B7070" t="s">
        <v>13784</v>
      </c>
      <c r="C7070" t="s">
        <v>2808</v>
      </c>
    </row>
    <row r="7071" spans="1:3" x14ac:dyDescent="0.4">
      <c r="A7071" s="1" t="s">
        <v>13785</v>
      </c>
      <c r="B7071" t="s">
        <v>13786</v>
      </c>
      <c r="C7071" t="s">
        <v>2808</v>
      </c>
    </row>
    <row r="7072" spans="1:3" x14ac:dyDescent="0.4">
      <c r="A7072" s="1" t="s">
        <v>13787</v>
      </c>
      <c r="B7072" t="s">
        <v>13788</v>
      </c>
      <c r="C7072" t="s">
        <v>2808</v>
      </c>
    </row>
    <row r="7073" spans="1:3" x14ac:dyDescent="0.4">
      <c r="A7073" s="1" t="s">
        <v>13789</v>
      </c>
      <c r="B7073" t="s">
        <v>13790</v>
      </c>
      <c r="C7073" t="s">
        <v>2808</v>
      </c>
    </row>
    <row r="7074" spans="1:3" x14ac:dyDescent="0.4">
      <c r="A7074" s="1" t="s">
        <v>13791</v>
      </c>
      <c r="B7074" t="s">
        <v>13792</v>
      </c>
      <c r="C7074" t="s">
        <v>2808</v>
      </c>
    </row>
    <row r="7075" spans="1:3" x14ac:dyDescent="0.4">
      <c r="A7075" s="1" t="s">
        <v>13793</v>
      </c>
      <c r="B7075" t="s">
        <v>13794</v>
      </c>
      <c r="C7075" t="s">
        <v>2808</v>
      </c>
    </row>
    <row r="7076" spans="1:3" x14ac:dyDescent="0.4">
      <c r="A7076" s="1" t="s">
        <v>13795</v>
      </c>
      <c r="B7076" t="s">
        <v>13796</v>
      </c>
      <c r="C7076" t="s">
        <v>2808</v>
      </c>
    </row>
    <row r="7077" spans="1:3" x14ac:dyDescent="0.4">
      <c r="A7077" s="1" t="s">
        <v>13797</v>
      </c>
      <c r="B7077" t="s">
        <v>13798</v>
      </c>
      <c r="C7077" t="s">
        <v>2808</v>
      </c>
    </row>
    <row r="7078" spans="1:3" x14ac:dyDescent="0.4">
      <c r="A7078" s="1" t="s">
        <v>13799</v>
      </c>
      <c r="B7078" t="s">
        <v>13800</v>
      </c>
      <c r="C7078" t="s">
        <v>2808</v>
      </c>
    </row>
    <row r="7079" spans="1:3" x14ac:dyDescent="0.4">
      <c r="A7079" s="1" t="s">
        <v>13801</v>
      </c>
      <c r="B7079" t="s">
        <v>13802</v>
      </c>
      <c r="C7079" t="s">
        <v>2808</v>
      </c>
    </row>
    <row r="7080" spans="1:3" x14ac:dyDescent="0.4">
      <c r="A7080" s="1" t="s">
        <v>13803</v>
      </c>
      <c r="B7080" t="s">
        <v>13804</v>
      </c>
      <c r="C7080" t="s">
        <v>2808</v>
      </c>
    </row>
    <row r="7081" spans="1:3" x14ac:dyDescent="0.4">
      <c r="A7081" s="1" t="s">
        <v>13805</v>
      </c>
      <c r="B7081" t="s">
        <v>13806</v>
      </c>
      <c r="C7081" t="s">
        <v>2808</v>
      </c>
    </row>
    <row r="7082" spans="1:3" x14ac:dyDescent="0.4">
      <c r="A7082" s="1" t="s">
        <v>13807</v>
      </c>
      <c r="B7082" t="s">
        <v>13808</v>
      </c>
      <c r="C7082" t="s">
        <v>2808</v>
      </c>
    </row>
    <row r="7083" spans="1:3" x14ac:dyDescent="0.4">
      <c r="A7083" s="1" t="s">
        <v>13809</v>
      </c>
      <c r="B7083" t="s">
        <v>13810</v>
      </c>
      <c r="C7083" t="s">
        <v>2808</v>
      </c>
    </row>
    <row r="7084" spans="1:3" x14ac:dyDescent="0.4">
      <c r="A7084" s="1" t="s">
        <v>13811</v>
      </c>
      <c r="B7084" t="s">
        <v>13812</v>
      </c>
      <c r="C7084" t="s">
        <v>2808</v>
      </c>
    </row>
    <row r="7085" spans="1:3" x14ac:dyDescent="0.4">
      <c r="A7085" s="1" t="s">
        <v>13813</v>
      </c>
      <c r="B7085" t="s">
        <v>13814</v>
      </c>
      <c r="C7085" t="s">
        <v>2808</v>
      </c>
    </row>
    <row r="7086" spans="1:3" x14ac:dyDescent="0.4">
      <c r="A7086" s="1" t="s">
        <v>13815</v>
      </c>
      <c r="B7086" t="s">
        <v>13816</v>
      </c>
      <c r="C7086" t="s">
        <v>2808</v>
      </c>
    </row>
    <row r="7087" spans="1:3" x14ac:dyDescent="0.4">
      <c r="A7087" s="1" t="s">
        <v>13817</v>
      </c>
      <c r="B7087" t="s">
        <v>13818</v>
      </c>
      <c r="C7087" t="s">
        <v>2808</v>
      </c>
    </row>
    <row r="7088" spans="1:3" x14ac:dyDescent="0.4">
      <c r="A7088" s="1" t="s">
        <v>13819</v>
      </c>
      <c r="B7088" t="s">
        <v>13820</v>
      </c>
      <c r="C7088" t="s">
        <v>2808</v>
      </c>
    </row>
    <row r="7089" spans="1:3" x14ac:dyDescent="0.4">
      <c r="A7089" s="1" t="s">
        <v>13821</v>
      </c>
      <c r="B7089" t="s">
        <v>13822</v>
      </c>
      <c r="C7089" t="s">
        <v>2808</v>
      </c>
    </row>
    <row r="7090" spans="1:3" x14ac:dyDescent="0.4">
      <c r="A7090" s="1" t="s">
        <v>13823</v>
      </c>
      <c r="B7090" t="s">
        <v>13824</v>
      </c>
      <c r="C7090" t="s">
        <v>2808</v>
      </c>
    </row>
    <row r="7091" spans="1:3" x14ac:dyDescent="0.4">
      <c r="A7091" s="1" t="s">
        <v>13825</v>
      </c>
      <c r="B7091" t="s">
        <v>13826</v>
      </c>
      <c r="C7091" t="s">
        <v>2808</v>
      </c>
    </row>
    <row r="7092" spans="1:3" x14ac:dyDescent="0.4">
      <c r="A7092" s="1" t="s">
        <v>13827</v>
      </c>
      <c r="B7092" t="s">
        <v>13828</v>
      </c>
      <c r="C7092" t="s">
        <v>2808</v>
      </c>
    </row>
    <row r="7093" spans="1:3" x14ac:dyDescent="0.4">
      <c r="A7093" s="1" t="s">
        <v>13829</v>
      </c>
      <c r="B7093" t="s">
        <v>13830</v>
      </c>
      <c r="C7093" t="s">
        <v>2808</v>
      </c>
    </row>
    <row r="7094" spans="1:3" x14ac:dyDescent="0.4">
      <c r="A7094" s="1" t="s">
        <v>13831</v>
      </c>
      <c r="B7094" t="s">
        <v>13832</v>
      </c>
      <c r="C7094" t="s">
        <v>2808</v>
      </c>
    </row>
    <row r="7095" spans="1:3" x14ac:dyDescent="0.4">
      <c r="A7095" s="1" t="s">
        <v>13833</v>
      </c>
      <c r="B7095" t="s">
        <v>13834</v>
      </c>
      <c r="C7095" t="s">
        <v>2808</v>
      </c>
    </row>
    <row r="7096" spans="1:3" x14ac:dyDescent="0.4">
      <c r="A7096" s="1" t="s">
        <v>13835</v>
      </c>
      <c r="B7096" t="s">
        <v>13836</v>
      </c>
      <c r="C7096" t="s">
        <v>2808</v>
      </c>
    </row>
    <row r="7097" spans="1:3" x14ac:dyDescent="0.4">
      <c r="A7097" s="1" t="s">
        <v>13837</v>
      </c>
      <c r="B7097" t="s">
        <v>13838</v>
      </c>
      <c r="C7097" t="s">
        <v>2808</v>
      </c>
    </row>
    <row r="7098" spans="1:3" x14ac:dyDescent="0.4">
      <c r="A7098" s="1" t="s">
        <v>13839</v>
      </c>
      <c r="B7098" t="s">
        <v>13840</v>
      </c>
      <c r="C7098" t="s">
        <v>2808</v>
      </c>
    </row>
    <row r="7099" spans="1:3" x14ac:dyDescent="0.4">
      <c r="A7099" s="1" t="s">
        <v>13841</v>
      </c>
      <c r="B7099" t="s">
        <v>13842</v>
      </c>
      <c r="C7099" t="s">
        <v>2808</v>
      </c>
    </row>
    <row r="7100" spans="1:3" x14ac:dyDescent="0.4">
      <c r="A7100" s="1" t="s">
        <v>13843</v>
      </c>
      <c r="B7100" t="s">
        <v>13844</v>
      </c>
      <c r="C7100" t="s">
        <v>2808</v>
      </c>
    </row>
    <row r="7101" spans="1:3" x14ac:dyDescent="0.4">
      <c r="A7101" s="1" t="s">
        <v>13845</v>
      </c>
      <c r="B7101" t="s">
        <v>13846</v>
      </c>
      <c r="C7101" t="s">
        <v>2808</v>
      </c>
    </row>
    <row r="7102" spans="1:3" x14ac:dyDescent="0.4">
      <c r="A7102" s="1" t="s">
        <v>13847</v>
      </c>
      <c r="B7102" t="s">
        <v>13848</v>
      </c>
      <c r="C7102" t="s">
        <v>2808</v>
      </c>
    </row>
    <row r="7103" spans="1:3" x14ac:dyDescent="0.4">
      <c r="A7103" s="1" t="s">
        <v>13849</v>
      </c>
      <c r="B7103" t="s">
        <v>13850</v>
      </c>
      <c r="C7103" t="s">
        <v>2808</v>
      </c>
    </row>
    <row r="7104" spans="1:3" x14ac:dyDescent="0.4">
      <c r="A7104" s="1" t="s">
        <v>13851</v>
      </c>
      <c r="B7104" t="s">
        <v>13852</v>
      </c>
    </row>
    <row r="7105" spans="1:4" x14ac:dyDescent="0.4">
      <c r="A7105" s="1" t="s">
        <v>13853</v>
      </c>
      <c r="B7105" t="s">
        <v>13854</v>
      </c>
      <c r="C7105" t="s">
        <v>5</v>
      </c>
      <c r="D7105">
        <v>24218</v>
      </c>
    </row>
    <row r="7106" spans="1:4" x14ac:dyDescent="0.4">
      <c r="A7106" s="1" t="s">
        <v>13855</v>
      </c>
      <c r="B7106" t="s">
        <v>13856</v>
      </c>
    </row>
    <row r="7107" spans="1:4" x14ac:dyDescent="0.4">
      <c r="A7107" s="1" t="s">
        <v>13857</v>
      </c>
      <c r="B7107" t="e">
        <f>-終息-ﾘｻｲｸﾙﾄﾅｰ TK-716</f>
        <v>#NAME?</v>
      </c>
      <c r="C7107" t="s">
        <v>2808</v>
      </c>
    </row>
    <row r="7108" spans="1:4" x14ac:dyDescent="0.4">
      <c r="A7108" s="1" t="s">
        <v>13858</v>
      </c>
      <c r="B7108" t="s">
        <v>13859</v>
      </c>
      <c r="C7108" t="s">
        <v>5</v>
      </c>
    </row>
    <row r="7109" spans="1:4" x14ac:dyDescent="0.4">
      <c r="A7109" s="1" t="s">
        <v>13860</v>
      </c>
      <c r="B7109" t="s">
        <v>13861</v>
      </c>
    </row>
    <row r="7110" spans="1:4" x14ac:dyDescent="0.4">
      <c r="A7110" s="1" t="s">
        <v>13862</v>
      </c>
      <c r="B7110" t="s">
        <v>13863</v>
      </c>
      <c r="C7110" t="s">
        <v>5</v>
      </c>
    </row>
    <row r="7111" spans="1:4" x14ac:dyDescent="0.4">
      <c r="A7111" s="1" t="s">
        <v>13864</v>
      </c>
      <c r="B7111" t="s">
        <v>13865</v>
      </c>
      <c r="C7111" t="s">
        <v>5</v>
      </c>
    </row>
    <row r="7112" spans="1:4" x14ac:dyDescent="0.4">
      <c r="A7112" s="1" t="s">
        <v>13866</v>
      </c>
      <c r="B7112" t="s">
        <v>13867</v>
      </c>
      <c r="C7112" t="s">
        <v>5</v>
      </c>
    </row>
    <row r="7113" spans="1:4" x14ac:dyDescent="0.4">
      <c r="A7113" s="1" t="s">
        <v>13868</v>
      </c>
      <c r="B7113" t="s">
        <v>13869</v>
      </c>
      <c r="C7113" t="s">
        <v>5</v>
      </c>
    </row>
    <row r="7114" spans="1:4" x14ac:dyDescent="0.4">
      <c r="A7114" s="1" t="s">
        <v>13870</v>
      </c>
      <c r="B7114" t="s">
        <v>13871</v>
      </c>
      <c r="C7114" t="s">
        <v>5</v>
      </c>
    </row>
    <row r="7115" spans="1:4" x14ac:dyDescent="0.4">
      <c r="A7115" s="1" t="s">
        <v>13872</v>
      </c>
      <c r="B7115" t="s">
        <v>13873</v>
      </c>
      <c r="C7115" t="s">
        <v>5</v>
      </c>
    </row>
    <row r="7116" spans="1:4" x14ac:dyDescent="0.4">
      <c r="A7116" s="1" t="s">
        <v>13874</v>
      </c>
      <c r="B7116" t="s">
        <v>13875</v>
      </c>
      <c r="C7116" t="s">
        <v>5</v>
      </c>
    </row>
    <row r="7117" spans="1:4" x14ac:dyDescent="0.4">
      <c r="A7117" s="1" t="s">
        <v>13876</v>
      </c>
      <c r="B7117" t="s">
        <v>13877</v>
      </c>
      <c r="C7117" t="s">
        <v>5</v>
      </c>
    </row>
    <row r="7118" spans="1:4" x14ac:dyDescent="0.4">
      <c r="A7118" s="1" t="s">
        <v>13878</v>
      </c>
      <c r="B7118" t="s">
        <v>13879</v>
      </c>
      <c r="C7118" t="s">
        <v>5</v>
      </c>
    </row>
    <row r="7119" spans="1:4" x14ac:dyDescent="0.4">
      <c r="A7119" s="1" t="s">
        <v>13880</v>
      </c>
      <c r="B7119" t="s">
        <v>13881</v>
      </c>
      <c r="C7119" t="s">
        <v>5</v>
      </c>
    </row>
    <row r="7120" spans="1:4" x14ac:dyDescent="0.4">
      <c r="A7120" s="1" t="s">
        <v>13882</v>
      </c>
      <c r="B7120" t="s">
        <v>13883</v>
      </c>
      <c r="C7120" t="s">
        <v>5</v>
      </c>
    </row>
    <row r="7121" spans="1:3" x14ac:dyDescent="0.4">
      <c r="A7121" s="1" t="s">
        <v>13884</v>
      </c>
      <c r="B7121" t="s">
        <v>13885</v>
      </c>
      <c r="C7121" t="s">
        <v>5</v>
      </c>
    </row>
    <row r="7122" spans="1:3" x14ac:dyDescent="0.4">
      <c r="A7122" s="1" t="s">
        <v>13886</v>
      </c>
      <c r="B7122" t="s">
        <v>13887</v>
      </c>
      <c r="C7122" t="s">
        <v>5</v>
      </c>
    </row>
    <row r="7123" spans="1:3" x14ac:dyDescent="0.4">
      <c r="A7123" s="1" t="s">
        <v>13888</v>
      </c>
      <c r="B7123" t="s">
        <v>13889</v>
      </c>
      <c r="C7123" t="s">
        <v>5</v>
      </c>
    </row>
    <row r="7124" spans="1:3" x14ac:dyDescent="0.4">
      <c r="A7124" s="1" t="s">
        <v>13890</v>
      </c>
      <c r="B7124" t="s">
        <v>13891</v>
      </c>
      <c r="C7124" t="s">
        <v>5</v>
      </c>
    </row>
    <row r="7125" spans="1:3" x14ac:dyDescent="0.4">
      <c r="A7125" s="1" t="s">
        <v>13892</v>
      </c>
      <c r="B7125" t="s">
        <v>13893</v>
      </c>
      <c r="C7125" t="s">
        <v>5</v>
      </c>
    </row>
    <row r="7126" spans="1:3" x14ac:dyDescent="0.4">
      <c r="A7126" s="1" t="s">
        <v>13894</v>
      </c>
      <c r="B7126" t="s">
        <v>13895</v>
      </c>
      <c r="C7126" t="s">
        <v>5</v>
      </c>
    </row>
    <row r="7127" spans="1:3" x14ac:dyDescent="0.4">
      <c r="A7127" s="1" t="s">
        <v>13896</v>
      </c>
      <c r="B7127" t="s">
        <v>13897</v>
      </c>
      <c r="C7127" t="s">
        <v>5</v>
      </c>
    </row>
    <row r="7128" spans="1:3" x14ac:dyDescent="0.4">
      <c r="A7128" s="1" t="s">
        <v>13898</v>
      </c>
      <c r="B7128" t="s">
        <v>13899</v>
      </c>
      <c r="C7128" t="s">
        <v>5</v>
      </c>
    </row>
    <row r="7129" spans="1:3" x14ac:dyDescent="0.4">
      <c r="A7129" s="1" t="s">
        <v>13900</v>
      </c>
      <c r="B7129" t="s">
        <v>13901</v>
      </c>
      <c r="C7129" t="s">
        <v>5</v>
      </c>
    </row>
    <row r="7130" spans="1:3" x14ac:dyDescent="0.4">
      <c r="A7130" s="1" t="s">
        <v>13902</v>
      </c>
      <c r="B7130" t="s">
        <v>13903</v>
      </c>
      <c r="C7130" t="s">
        <v>5</v>
      </c>
    </row>
    <row r="7131" spans="1:3" x14ac:dyDescent="0.4">
      <c r="A7131" s="1" t="s">
        <v>13904</v>
      </c>
      <c r="B7131" t="s">
        <v>13905</v>
      </c>
      <c r="C7131" t="s">
        <v>5</v>
      </c>
    </row>
    <row r="7132" spans="1:3" x14ac:dyDescent="0.4">
      <c r="A7132" s="1" t="s">
        <v>13906</v>
      </c>
      <c r="B7132" t="s">
        <v>13907</v>
      </c>
      <c r="C7132" t="s">
        <v>5</v>
      </c>
    </row>
    <row r="7133" spans="1:3" x14ac:dyDescent="0.4">
      <c r="A7133" s="1" t="s">
        <v>13908</v>
      </c>
      <c r="B7133" t="s">
        <v>13909</v>
      </c>
      <c r="C7133" t="s">
        <v>5</v>
      </c>
    </row>
    <row r="7134" spans="1:3" x14ac:dyDescent="0.4">
      <c r="A7134" s="1" t="s">
        <v>13910</v>
      </c>
      <c r="B7134" t="s">
        <v>13911</v>
      </c>
      <c r="C7134" t="s">
        <v>5</v>
      </c>
    </row>
    <row r="7135" spans="1:3" x14ac:dyDescent="0.4">
      <c r="A7135" s="1" t="s">
        <v>13912</v>
      </c>
      <c r="B7135" t="s">
        <v>13913</v>
      </c>
      <c r="C7135" t="s">
        <v>5</v>
      </c>
    </row>
    <row r="7136" spans="1:3" x14ac:dyDescent="0.4">
      <c r="A7136" s="1" t="s">
        <v>13914</v>
      </c>
      <c r="B7136" t="s">
        <v>13915</v>
      </c>
      <c r="C7136" t="s">
        <v>5</v>
      </c>
    </row>
    <row r="7137" spans="1:3" x14ac:dyDescent="0.4">
      <c r="A7137" s="1" t="s">
        <v>13916</v>
      </c>
      <c r="B7137" t="s">
        <v>13917</v>
      </c>
      <c r="C7137" t="s">
        <v>5</v>
      </c>
    </row>
    <row r="7138" spans="1:3" x14ac:dyDescent="0.4">
      <c r="A7138" s="1" t="s">
        <v>13918</v>
      </c>
      <c r="B7138" t="s">
        <v>13919</v>
      </c>
      <c r="C7138" t="s">
        <v>5</v>
      </c>
    </row>
    <row r="7139" spans="1:3" x14ac:dyDescent="0.4">
      <c r="A7139" s="1" t="s">
        <v>13920</v>
      </c>
      <c r="B7139" t="s">
        <v>13921</v>
      </c>
      <c r="C7139" t="s">
        <v>5</v>
      </c>
    </row>
    <row r="7140" spans="1:3" x14ac:dyDescent="0.4">
      <c r="A7140" s="1" t="s">
        <v>13922</v>
      </c>
      <c r="B7140" t="s">
        <v>13923</v>
      </c>
      <c r="C7140" t="s">
        <v>5</v>
      </c>
    </row>
    <row r="7141" spans="1:3" x14ac:dyDescent="0.4">
      <c r="A7141" s="1" t="s">
        <v>13924</v>
      </c>
      <c r="B7141" t="s">
        <v>13925</v>
      </c>
      <c r="C7141" t="s">
        <v>5</v>
      </c>
    </row>
    <row r="7142" spans="1:3" x14ac:dyDescent="0.4">
      <c r="A7142" s="1" t="s">
        <v>13926</v>
      </c>
      <c r="B7142" t="s">
        <v>13927</v>
      </c>
      <c r="C7142" t="s">
        <v>5</v>
      </c>
    </row>
    <row r="7143" spans="1:3" x14ac:dyDescent="0.4">
      <c r="A7143" s="1" t="s">
        <v>13928</v>
      </c>
      <c r="B7143" t="s">
        <v>13929</v>
      </c>
    </row>
    <row r="7144" spans="1:3" x14ac:dyDescent="0.4">
      <c r="A7144" s="1" t="s">
        <v>13930</v>
      </c>
      <c r="B7144" t="s">
        <v>13931</v>
      </c>
    </row>
    <row r="7145" spans="1:3" x14ac:dyDescent="0.4">
      <c r="A7145" s="1" t="s">
        <v>13932</v>
      </c>
      <c r="B7145" t="s">
        <v>13933</v>
      </c>
    </row>
    <row r="7146" spans="1:3" x14ac:dyDescent="0.4">
      <c r="A7146" s="1" t="s">
        <v>13934</v>
      </c>
      <c r="B7146" t="s">
        <v>13935</v>
      </c>
    </row>
    <row r="7147" spans="1:3" x14ac:dyDescent="0.4">
      <c r="A7147" s="1" t="s">
        <v>13936</v>
      </c>
      <c r="B7147" t="s">
        <v>13937</v>
      </c>
    </row>
    <row r="7148" spans="1:3" x14ac:dyDescent="0.4">
      <c r="A7148" s="1" t="s">
        <v>13938</v>
      </c>
      <c r="B7148" t="s">
        <v>13939</v>
      </c>
    </row>
    <row r="7149" spans="1:3" x14ac:dyDescent="0.4">
      <c r="A7149" s="1" t="s">
        <v>13940</v>
      </c>
      <c r="B7149" t="s">
        <v>13941</v>
      </c>
    </row>
    <row r="7150" spans="1:3" x14ac:dyDescent="0.4">
      <c r="A7150" s="1" t="s">
        <v>13942</v>
      </c>
      <c r="B7150" t="s">
        <v>13943</v>
      </c>
    </row>
    <row r="7151" spans="1:3" x14ac:dyDescent="0.4">
      <c r="A7151" s="1" t="s">
        <v>13944</v>
      </c>
      <c r="B7151" t="s">
        <v>13945</v>
      </c>
      <c r="C7151" t="s">
        <v>5</v>
      </c>
    </row>
    <row r="7152" spans="1:3" x14ac:dyDescent="0.4">
      <c r="A7152" s="1" t="s">
        <v>13946</v>
      </c>
      <c r="B7152" t="s">
        <v>13947</v>
      </c>
      <c r="C7152" t="s">
        <v>5</v>
      </c>
    </row>
    <row r="7153" spans="1:3" x14ac:dyDescent="0.4">
      <c r="A7153" s="1" t="s">
        <v>13948</v>
      </c>
      <c r="B7153" t="s">
        <v>13949</v>
      </c>
      <c r="C7153" t="s">
        <v>5</v>
      </c>
    </row>
    <row r="7154" spans="1:3" x14ac:dyDescent="0.4">
      <c r="A7154" s="1" t="s">
        <v>13950</v>
      </c>
      <c r="B7154" t="s">
        <v>13951</v>
      </c>
      <c r="C7154" t="s">
        <v>5</v>
      </c>
    </row>
    <row r="7155" spans="1:3" x14ac:dyDescent="0.4">
      <c r="A7155" s="1" t="s">
        <v>13952</v>
      </c>
      <c r="B7155" t="s">
        <v>13953</v>
      </c>
      <c r="C7155" t="s">
        <v>5</v>
      </c>
    </row>
    <row r="7156" spans="1:3" x14ac:dyDescent="0.4">
      <c r="A7156" s="1" t="s">
        <v>13954</v>
      </c>
      <c r="B7156" t="s">
        <v>13955</v>
      </c>
      <c r="C7156" t="s">
        <v>5</v>
      </c>
    </row>
    <row r="7157" spans="1:3" x14ac:dyDescent="0.4">
      <c r="A7157" s="1" t="s">
        <v>13956</v>
      </c>
      <c r="B7157" t="s">
        <v>13957</v>
      </c>
      <c r="C7157" t="s">
        <v>5</v>
      </c>
    </row>
    <row r="7158" spans="1:3" x14ac:dyDescent="0.4">
      <c r="A7158" s="1" t="s">
        <v>13958</v>
      </c>
      <c r="B7158" t="s">
        <v>13959</v>
      </c>
      <c r="C7158" t="s">
        <v>5</v>
      </c>
    </row>
    <row r="7159" spans="1:3" x14ac:dyDescent="0.4">
      <c r="A7159" s="1" t="s">
        <v>13960</v>
      </c>
      <c r="B7159" t="s">
        <v>13961</v>
      </c>
      <c r="C7159" t="s">
        <v>5</v>
      </c>
    </row>
    <row r="7160" spans="1:3" x14ac:dyDescent="0.4">
      <c r="A7160" s="1" t="s">
        <v>13962</v>
      </c>
      <c r="B7160" t="s">
        <v>13963</v>
      </c>
      <c r="C7160" t="s">
        <v>5</v>
      </c>
    </row>
    <row r="7161" spans="1:3" x14ac:dyDescent="0.4">
      <c r="A7161" s="1" t="s">
        <v>13964</v>
      </c>
      <c r="B7161" t="s">
        <v>13965</v>
      </c>
      <c r="C7161" t="s">
        <v>5</v>
      </c>
    </row>
    <row r="7162" spans="1:3" x14ac:dyDescent="0.4">
      <c r="A7162" s="1" t="s">
        <v>13966</v>
      </c>
      <c r="B7162" t="s">
        <v>13967</v>
      </c>
      <c r="C7162" t="s">
        <v>5</v>
      </c>
    </row>
    <row r="7163" spans="1:3" x14ac:dyDescent="0.4">
      <c r="A7163" s="1" t="s">
        <v>13968</v>
      </c>
      <c r="B7163" t="s">
        <v>13969</v>
      </c>
    </row>
    <row r="7164" spans="1:3" x14ac:dyDescent="0.4">
      <c r="A7164" s="1" t="s">
        <v>13970</v>
      </c>
      <c r="B7164" t="s">
        <v>13971</v>
      </c>
    </row>
    <row r="7165" spans="1:3" x14ac:dyDescent="0.4">
      <c r="A7165" s="1" t="s">
        <v>13972</v>
      </c>
      <c r="B7165" t="s">
        <v>13973</v>
      </c>
    </row>
    <row r="7166" spans="1:3" x14ac:dyDescent="0.4">
      <c r="A7166" s="1" t="s">
        <v>13974</v>
      </c>
      <c r="B7166" t="s">
        <v>13975</v>
      </c>
    </row>
    <row r="7167" spans="1:3" x14ac:dyDescent="0.4">
      <c r="A7167" s="1" t="s">
        <v>13976</v>
      </c>
      <c r="B7167" t="s">
        <v>13977</v>
      </c>
      <c r="C7167" t="s">
        <v>5</v>
      </c>
    </row>
    <row r="7168" spans="1:3" x14ac:dyDescent="0.4">
      <c r="A7168" s="1" t="s">
        <v>13978</v>
      </c>
      <c r="B7168" t="s">
        <v>13979</v>
      </c>
      <c r="C7168" t="s">
        <v>5</v>
      </c>
    </row>
    <row r="7169" spans="1:4" x14ac:dyDescent="0.4">
      <c r="A7169" s="1" t="s">
        <v>13980</v>
      </c>
      <c r="B7169" t="s">
        <v>13981</v>
      </c>
      <c r="C7169" t="s">
        <v>5</v>
      </c>
    </row>
    <row r="7170" spans="1:4" x14ac:dyDescent="0.4">
      <c r="A7170" s="1" t="s">
        <v>13982</v>
      </c>
      <c r="B7170" t="s">
        <v>13983</v>
      </c>
      <c r="C7170" t="s">
        <v>5</v>
      </c>
    </row>
    <row r="7171" spans="1:4" x14ac:dyDescent="0.4">
      <c r="A7171" s="1" t="s">
        <v>13984</v>
      </c>
      <c r="B7171" t="s">
        <v>13985</v>
      </c>
    </row>
    <row r="7172" spans="1:4" x14ac:dyDescent="0.4">
      <c r="A7172" s="1" t="s">
        <v>13986</v>
      </c>
      <c r="B7172" t="s">
        <v>13987</v>
      </c>
    </row>
    <row r="7173" spans="1:4" x14ac:dyDescent="0.4">
      <c r="A7173" s="1" t="s">
        <v>13988</v>
      </c>
      <c r="B7173" t="s">
        <v>13989</v>
      </c>
    </row>
    <row r="7174" spans="1:4" x14ac:dyDescent="0.4">
      <c r="A7174" s="1" t="s">
        <v>13990</v>
      </c>
      <c r="B7174" t="s">
        <v>13991</v>
      </c>
    </row>
    <row r="7175" spans="1:4" x14ac:dyDescent="0.4">
      <c r="A7175" s="1" t="s">
        <v>13992</v>
      </c>
      <c r="B7175" t="s">
        <v>13993</v>
      </c>
      <c r="C7175" t="s">
        <v>5</v>
      </c>
      <c r="D7175">
        <v>40000</v>
      </c>
    </row>
    <row r="7176" spans="1:4" x14ac:dyDescent="0.4">
      <c r="A7176" s="1" t="s">
        <v>13994</v>
      </c>
      <c r="B7176" t="s">
        <v>13995</v>
      </c>
      <c r="C7176" t="s">
        <v>5</v>
      </c>
      <c r="D7176">
        <v>63664</v>
      </c>
    </row>
    <row r="7177" spans="1:4" x14ac:dyDescent="0.4">
      <c r="A7177" s="1" t="s">
        <v>13996</v>
      </c>
      <c r="B7177" t="s">
        <v>13997</v>
      </c>
      <c r="C7177" t="s">
        <v>5</v>
      </c>
      <c r="D7177">
        <v>18882</v>
      </c>
    </row>
    <row r="7178" spans="1:4" x14ac:dyDescent="0.4">
      <c r="A7178" s="1" t="s">
        <v>13998</v>
      </c>
      <c r="B7178" t="s">
        <v>13999</v>
      </c>
      <c r="C7178" t="s">
        <v>5</v>
      </c>
      <c r="D7178">
        <v>39200</v>
      </c>
    </row>
    <row r="7179" spans="1:4" x14ac:dyDescent="0.4">
      <c r="A7179" s="1" t="s">
        <v>14000</v>
      </c>
      <c r="B7179" t="s">
        <v>14001</v>
      </c>
      <c r="C7179" t="s">
        <v>5</v>
      </c>
      <c r="D7179">
        <v>19482</v>
      </c>
    </row>
    <row r="7180" spans="1:4" x14ac:dyDescent="0.4">
      <c r="A7180" s="1" t="s">
        <v>14002</v>
      </c>
      <c r="B7180" t="s">
        <v>14003</v>
      </c>
      <c r="C7180" t="s">
        <v>5</v>
      </c>
      <c r="D7180">
        <v>27718</v>
      </c>
    </row>
    <row r="7181" spans="1:4" x14ac:dyDescent="0.4">
      <c r="A7181" s="1" t="s">
        <v>14004</v>
      </c>
      <c r="B7181" t="s">
        <v>14005</v>
      </c>
      <c r="C7181" t="s">
        <v>5</v>
      </c>
      <c r="D7181">
        <v>3245</v>
      </c>
    </row>
    <row r="7182" spans="1:4" x14ac:dyDescent="0.4">
      <c r="A7182" s="1" t="s">
        <v>14006</v>
      </c>
      <c r="B7182" t="s">
        <v>14007</v>
      </c>
      <c r="C7182" t="s">
        <v>5</v>
      </c>
      <c r="D7182">
        <v>1773</v>
      </c>
    </row>
    <row r="7183" spans="1:4" x14ac:dyDescent="0.4">
      <c r="A7183" s="1" t="s">
        <v>14008</v>
      </c>
      <c r="B7183" t="s">
        <v>14009</v>
      </c>
      <c r="C7183" t="s">
        <v>5</v>
      </c>
      <c r="D7183">
        <v>155591</v>
      </c>
    </row>
    <row r="7184" spans="1:4" x14ac:dyDescent="0.4">
      <c r="A7184" s="1" t="s">
        <v>14010</v>
      </c>
      <c r="B7184" t="s">
        <v>14011</v>
      </c>
      <c r="C7184" t="s">
        <v>5</v>
      </c>
      <c r="D7184">
        <v>155591</v>
      </c>
    </row>
    <row r="7185" spans="1:4" x14ac:dyDescent="0.4">
      <c r="A7185" s="1" t="s">
        <v>14012</v>
      </c>
      <c r="B7185" t="s">
        <v>14013</v>
      </c>
      <c r="C7185" t="s">
        <v>5</v>
      </c>
      <c r="D7185">
        <v>155591</v>
      </c>
    </row>
    <row r="7186" spans="1:4" x14ac:dyDescent="0.4">
      <c r="A7186" s="1" t="s">
        <v>14014</v>
      </c>
      <c r="B7186" t="s">
        <v>14015</v>
      </c>
      <c r="C7186" t="s">
        <v>5</v>
      </c>
      <c r="D7186">
        <v>62073</v>
      </c>
    </row>
    <row r="7187" spans="1:4" x14ac:dyDescent="0.4">
      <c r="A7187" s="1" t="s">
        <v>14016</v>
      </c>
      <c r="B7187" t="s">
        <v>14017</v>
      </c>
      <c r="C7187" t="s">
        <v>5</v>
      </c>
      <c r="D7187">
        <v>72364</v>
      </c>
    </row>
    <row r="7188" spans="1:4" x14ac:dyDescent="0.4">
      <c r="A7188" s="1" t="s">
        <v>14018</v>
      </c>
      <c r="B7188" t="s">
        <v>14019</v>
      </c>
      <c r="C7188" t="s">
        <v>5</v>
      </c>
      <c r="D7188">
        <v>72364</v>
      </c>
    </row>
    <row r="7189" spans="1:4" x14ac:dyDescent="0.4">
      <c r="A7189" s="1" t="s">
        <v>14020</v>
      </c>
      <c r="B7189" t="s">
        <v>14021</v>
      </c>
      <c r="C7189" t="s">
        <v>5</v>
      </c>
      <c r="D7189">
        <v>72364</v>
      </c>
    </row>
    <row r="7190" spans="1:4" x14ac:dyDescent="0.4">
      <c r="A7190" s="1" t="s">
        <v>14022</v>
      </c>
      <c r="B7190" t="s">
        <v>14023</v>
      </c>
      <c r="C7190" t="s">
        <v>5</v>
      </c>
      <c r="D7190">
        <v>73473</v>
      </c>
    </row>
    <row r="7191" spans="1:4" x14ac:dyDescent="0.4">
      <c r="A7191" s="1" t="s">
        <v>14024</v>
      </c>
      <c r="B7191" t="s">
        <v>14025</v>
      </c>
      <c r="C7191" t="s">
        <v>5</v>
      </c>
      <c r="D7191">
        <v>110645</v>
      </c>
    </row>
    <row r="7192" spans="1:4" x14ac:dyDescent="0.4">
      <c r="A7192" s="1" t="s">
        <v>14026</v>
      </c>
      <c r="B7192" t="s">
        <v>14027</v>
      </c>
      <c r="C7192" t="s">
        <v>5</v>
      </c>
      <c r="D7192">
        <v>110645</v>
      </c>
    </row>
    <row r="7193" spans="1:4" x14ac:dyDescent="0.4">
      <c r="A7193" s="1" t="s">
        <v>14028</v>
      </c>
      <c r="B7193" t="s">
        <v>14029</v>
      </c>
      <c r="C7193" t="s">
        <v>5</v>
      </c>
      <c r="D7193">
        <v>110645</v>
      </c>
    </row>
    <row r="7194" spans="1:4" x14ac:dyDescent="0.4">
      <c r="A7194" s="1" t="s">
        <v>14030</v>
      </c>
      <c r="B7194" t="s">
        <v>14031</v>
      </c>
      <c r="C7194" t="s">
        <v>5</v>
      </c>
      <c r="D7194">
        <v>69509</v>
      </c>
    </row>
    <row r="7195" spans="1:4" x14ac:dyDescent="0.4">
      <c r="A7195" s="1" t="s">
        <v>14032</v>
      </c>
      <c r="B7195" t="s">
        <v>14033</v>
      </c>
      <c r="C7195" t="s">
        <v>5</v>
      </c>
      <c r="D7195">
        <v>83273</v>
      </c>
    </row>
    <row r="7196" spans="1:4" x14ac:dyDescent="0.4">
      <c r="A7196" s="1" t="s">
        <v>14034</v>
      </c>
      <c r="B7196" t="s">
        <v>14035</v>
      </c>
      <c r="C7196" t="s">
        <v>5</v>
      </c>
      <c r="D7196">
        <v>83273</v>
      </c>
    </row>
    <row r="7197" spans="1:4" x14ac:dyDescent="0.4">
      <c r="A7197" s="1" t="s">
        <v>14036</v>
      </c>
      <c r="B7197" t="s">
        <v>14037</v>
      </c>
      <c r="C7197" t="s">
        <v>5</v>
      </c>
      <c r="D7197">
        <v>83273</v>
      </c>
    </row>
    <row r="7198" spans="1:4" x14ac:dyDescent="0.4">
      <c r="A7198" s="1" t="s">
        <v>14038</v>
      </c>
      <c r="B7198" t="s">
        <v>14039</v>
      </c>
      <c r="C7198" t="s">
        <v>5</v>
      </c>
      <c r="D7198">
        <v>13636</v>
      </c>
    </row>
    <row r="7199" spans="1:4" x14ac:dyDescent="0.4">
      <c r="A7199" s="1" t="s">
        <v>14040</v>
      </c>
      <c r="B7199" t="s">
        <v>14041</v>
      </c>
    </row>
    <row r="7200" spans="1:4" x14ac:dyDescent="0.4">
      <c r="A7200" s="1" t="s">
        <v>14042</v>
      </c>
      <c r="B7200" t="s">
        <v>14043</v>
      </c>
      <c r="D7200">
        <v>67000</v>
      </c>
    </row>
    <row r="7201" spans="1:4" x14ac:dyDescent="0.4">
      <c r="A7201" s="1" t="s">
        <v>14044</v>
      </c>
      <c r="B7201" t="s">
        <v>14045</v>
      </c>
      <c r="D7201">
        <v>187000</v>
      </c>
    </row>
    <row r="7202" spans="1:4" x14ac:dyDescent="0.4">
      <c r="A7202" s="1" t="s">
        <v>14046</v>
      </c>
      <c r="B7202" t="s">
        <v>14047</v>
      </c>
      <c r="D7202">
        <v>211700</v>
      </c>
    </row>
    <row r="7203" spans="1:4" x14ac:dyDescent="0.4">
      <c r="A7203" s="1" t="s">
        <v>14048</v>
      </c>
      <c r="B7203" t="s">
        <v>14049</v>
      </c>
      <c r="C7203" t="s">
        <v>9649</v>
      </c>
    </row>
    <row r="7204" spans="1:4" x14ac:dyDescent="0.4">
      <c r="A7204" s="1" t="s">
        <v>14050</v>
      </c>
      <c r="B7204" t="s">
        <v>14051</v>
      </c>
      <c r="C7204" t="s">
        <v>9649</v>
      </c>
      <c r="D7204">
        <v>19400</v>
      </c>
    </row>
    <row r="7205" spans="1:4" x14ac:dyDescent="0.4">
      <c r="A7205" s="1" t="s">
        <v>14052</v>
      </c>
      <c r="B7205" t="s">
        <v>14053</v>
      </c>
      <c r="C7205" t="s">
        <v>9649</v>
      </c>
    </row>
    <row r="7206" spans="1:4" x14ac:dyDescent="0.4">
      <c r="A7206" s="1" t="s">
        <v>14054</v>
      </c>
      <c r="B7206" t="s">
        <v>14055</v>
      </c>
      <c r="C7206" t="s">
        <v>9649</v>
      </c>
    </row>
    <row r="7207" spans="1:4" x14ac:dyDescent="0.4">
      <c r="A7207" s="1" t="s">
        <v>14056</v>
      </c>
      <c r="B7207" t="s">
        <v>14057</v>
      </c>
      <c r="C7207" t="s">
        <v>9649</v>
      </c>
      <c r="D7207">
        <v>42300</v>
      </c>
    </row>
    <row r="7208" spans="1:4" x14ac:dyDescent="0.4">
      <c r="A7208" s="1" t="s">
        <v>14058</v>
      </c>
      <c r="B7208" t="s">
        <v>14059</v>
      </c>
      <c r="C7208" t="s">
        <v>9649</v>
      </c>
    </row>
    <row r="7209" spans="1:4" x14ac:dyDescent="0.4">
      <c r="A7209" s="1" t="s">
        <v>14060</v>
      </c>
      <c r="B7209" t="s">
        <v>14061</v>
      </c>
      <c r="C7209" t="s">
        <v>9649</v>
      </c>
      <c r="D7209">
        <v>51400</v>
      </c>
    </row>
    <row r="7210" spans="1:4" x14ac:dyDescent="0.4">
      <c r="A7210" s="1" t="s">
        <v>14062</v>
      </c>
      <c r="B7210" t="s">
        <v>14063</v>
      </c>
      <c r="C7210" t="s">
        <v>9649</v>
      </c>
    </row>
    <row r="7211" spans="1:4" x14ac:dyDescent="0.4">
      <c r="A7211" s="1" t="s">
        <v>14064</v>
      </c>
      <c r="B7211" t="s">
        <v>14065</v>
      </c>
      <c r="C7211" t="s">
        <v>9649</v>
      </c>
      <c r="D7211">
        <v>38000</v>
      </c>
    </row>
    <row r="7212" spans="1:4" x14ac:dyDescent="0.4">
      <c r="A7212" s="1" t="s">
        <v>14066</v>
      </c>
      <c r="B7212" t="s">
        <v>14067</v>
      </c>
      <c r="C7212" t="s">
        <v>9649</v>
      </c>
      <c r="D7212">
        <v>27900</v>
      </c>
    </row>
    <row r="7213" spans="1:4" x14ac:dyDescent="0.4">
      <c r="A7213" s="1" t="s">
        <v>14068</v>
      </c>
      <c r="B7213" t="s">
        <v>14069</v>
      </c>
      <c r="C7213" t="s">
        <v>14070</v>
      </c>
      <c r="D7213">
        <v>50400</v>
      </c>
    </row>
    <row r="7214" spans="1:4" x14ac:dyDescent="0.4">
      <c r="A7214" s="1" t="s">
        <v>14071</v>
      </c>
      <c r="B7214" t="s">
        <v>14072</v>
      </c>
      <c r="C7214" t="s">
        <v>9649</v>
      </c>
      <c r="D7214">
        <v>32600</v>
      </c>
    </row>
    <row r="7215" spans="1:4" x14ac:dyDescent="0.4">
      <c r="A7215" s="1" t="s">
        <v>14073</v>
      </c>
      <c r="B7215" t="s">
        <v>14074</v>
      </c>
      <c r="C7215" t="s">
        <v>5</v>
      </c>
      <c r="D7215">
        <v>44500</v>
      </c>
    </row>
    <row r="7216" spans="1:4" x14ac:dyDescent="0.4">
      <c r="A7216" s="1" t="s">
        <v>14075</v>
      </c>
      <c r="B7216" t="s">
        <v>14076</v>
      </c>
      <c r="C7216" t="s">
        <v>9649</v>
      </c>
    </row>
    <row r="7217" spans="1:4" x14ac:dyDescent="0.4">
      <c r="A7217" s="1" t="s">
        <v>14077</v>
      </c>
      <c r="B7217" t="s">
        <v>14078</v>
      </c>
      <c r="C7217" t="s">
        <v>9649</v>
      </c>
      <c r="D7217">
        <v>47000</v>
      </c>
    </row>
    <row r="7218" spans="1:4" x14ac:dyDescent="0.4">
      <c r="A7218" s="1" t="s">
        <v>14079</v>
      </c>
      <c r="B7218" t="s">
        <v>14080</v>
      </c>
      <c r="C7218" t="s">
        <v>9649</v>
      </c>
    </row>
    <row r="7219" spans="1:4" x14ac:dyDescent="0.4">
      <c r="A7219" s="1" t="s">
        <v>14081</v>
      </c>
      <c r="B7219" t="s">
        <v>14082</v>
      </c>
      <c r="C7219" t="s">
        <v>9649</v>
      </c>
    </row>
    <row r="7220" spans="1:4" x14ac:dyDescent="0.4">
      <c r="A7220" s="1" t="s">
        <v>14083</v>
      </c>
      <c r="B7220" t="s">
        <v>14084</v>
      </c>
      <c r="C7220" t="s">
        <v>9649</v>
      </c>
    </row>
    <row r="7221" spans="1:4" x14ac:dyDescent="0.4">
      <c r="A7221" s="1" t="s">
        <v>14085</v>
      </c>
      <c r="B7221" t="s">
        <v>14086</v>
      </c>
      <c r="C7221" t="s">
        <v>9649</v>
      </c>
    </row>
    <row r="7222" spans="1:4" x14ac:dyDescent="0.4">
      <c r="A7222" s="1" t="s">
        <v>14087</v>
      </c>
      <c r="B7222" t="s">
        <v>14088</v>
      </c>
      <c r="C7222" t="s">
        <v>9649</v>
      </c>
    </row>
    <row r="7223" spans="1:4" x14ac:dyDescent="0.4">
      <c r="A7223" s="1" t="s">
        <v>14089</v>
      </c>
      <c r="B7223" t="s">
        <v>14090</v>
      </c>
      <c r="C7223" t="s">
        <v>5</v>
      </c>
    </row>
    <row r="7224" spans="1:4" x14ac:dyDescent="0.4">
      <c r="A7224" s="1" t="s">
        <v>14091</v>
      </c>
      <c r="B7224" t="s">
        <v>14092</v>
      </c>
      <c r="C7224" t="s">
        <v>9649</v>
      </c>
    </row>
    <row r="7225" spans="1:4" x14ac:dyDescent="0.4">
      <c r="A7225" s="1" t="s">
        <v>14093</v>
      </c>
      <c r="B7225" t="s">
        <v>14094</v>
      </c>
      <c r="C7225" t="s">
        <v>9649</v>
      </c>
    </row>
    <row r="7226" spans="1:4" x14ac:dyDescent="0.4">
      <c r="A7226" s="1" t="s">
        <v>14095</v>
      </c>
      <c r="B7226" t="s">
        <v>14096</v>
      </c>
      <c r="C7226" t="s">
        <v>9649</v>
      </c>
    </row>
    <row r="7227" spans="1:4" x14ac:dyDescent="0.4">
      <c r="A7227" s="1" t="s">
        <v>14097</v>
      </c>
      <c r="B7227" t="s">
        <v>14098</v>
      </c>
      <c r="C7227" t="s">
        <v>9649</v>
      </c>
    </row>
    <row r="7228" spans="1:4" x14ac:dyDescent="0.4">
      <c r="A7228" s="1" t="s">
        <v>14099</v>
      </c>
      <c r="B7228" t="s">
        <v>14100</v>
      </c>
      <c r="C7228" t="s">
        <v>9649</v>
      </c>
    </row>
    <row r="7229" spans="1:4" x14ac:dyDescent="0.4">
      <c r="A7229" s="1" t="s">
        <v>14101</v>
      </c>
      <c r="B7229" t="s">
        <v>14102</v>
      </c>
      <c r="C7229" t="s">
        <v>9649</v>
      </c>
    </row>
    <row r="7230" spans="1:4" x14ac:dyDescent="0.4">
      <c r="A7230" s="1" t="s">
        <v>14103</v>
      </c>
      <c r="B7230" t="s">
        <v>14104</v>
      </c>
      <c r="C7230" t="s">
        <v>9649</v>
      </c>
    </row>
    <row r="7231" spans="1:4" x14ac:dyDescent="0.4">
      <c r="A7231" s="1" t="s">
        <v>14105</v>
      </c>
      <c r="B7231" t="s">
        <v>14106</v>
      </c>
      <c r="C7231" t="s">
        <v>9649</v>
      </c>
    </row>
    <row r="7232" spans="1:4" x14ac:dyDescent="0.4">
      <c r="A7232" s="1" t="s">
        <v>14107</v>
      </c>
      <c r="B7232" t="s">
        <v>14108</v>
      </c>
      <c r="C7232" t="s">
        <v>9649</v>
      </c>
    </row>
    <row r="7233" spans="1:4" x14ac:dyDescent="0.4">
      <c r="A7233" s="1" t="s">
        <v>14109</v>
      </c>
      <c r="B7233" t="s">
        <v>14110</v>
      </c>
      <c r="C7233" t="s">
        <v>9649</v>
      </c>
    </row>
    <row r="7234" spans="1:4" x14ac:dyDescent="0.4">
      <c r="A7234" s="1" t="s">
        <v>14111</v>
      </c>
      <c r="B7234" t="s">
        <v>14112</v>
      </c>
      <c r="C7234" t="s">
        <v>9649</v>
      </c>
    </row>
    <row r="7235" spans="1:4" x14ac:dyDescent="0.4">
      <c r="A7235" s="1" t="s">
        <v>14113</v>
      </c>
      <c r="B7235" t="s">
        <v>14114</v>
      </c>
      <c r="C7235" t="s">
        <v>9649</v>
      </c>
    </row>
    <row r="7236" spans="1:4" x14ac:dyDescent="0.4">
      <c r="A7236" s="1" t="s">
        <v>14115</v>
      </c>
      <c r="B7236" t="s">
        <v>14116</v>
      </c>
      <c r="C7236" t="s">
        <v>5</v>
      </c>
      <c r="D7236">
        <v>6350</v>
      </c>
    </row>
    <row r="7237" spans="1:4" x14ac:dyDescent="0.4">
      <c r="A7237" s="1" t="s">
        <v>14117</v>
      </c>
      <c r="B7237" t="s">
        <v>14118</v>
      </c>
      <c r="C7237" t="s">
        <v>14119</v>
      </c>
      <c r="D7237">
        <v>6450</v>
      </c>
    </row>
    <row r="7238" spans="1:4" x14ac:dyDescent="0.4">
      <c r="A7238" s="1" t="s">
        <v>14120</v>
      </c>
      <c r="B7238" t="s">
        <v>14121</v>
      </c>
      <c r="C7238" t="s">
        <v>14122</v>
      </c>
      <c r="D7238">
        <v>7770</v>
      </c>
    </row>
    <row r="7239" spans="1:4" x14ac:dyDescent="0.4">
      <c r="A7239" s="1" t="s">
        <v>14123</v>
      </c>
      <c r="B7239" t="s">
        <v>14124</v>
      </c>
      <c r="C7239" t="s">
        <v>5</v>
      </c>
      <c r="D7239">
        <v>8000</v>
      </c>
    </row>
    <row r="7240" spans="1:4" x14ac:dyDescent="0.4">
      <c r="A7240" s="1" t="s">
        <v>14125</v>
      </c>
      <c r="B7240" t="s">
        <v>14126</v>
      </c>
      <c r="C7240" t="s">
        <v>5</v>
      </c>
      <c r="D7240">
        <v>6000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テスト商品登録CSV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惇 入倉</cp:lastModifiedBy>
  <dcterms:created xsi:type="dcterms:W3CDTF">2025-12-25T20:19:42Z</dcterms:created>
  <dcterms:modified xsi:type="dcterms:W3CDTF">2025-12-25T21:07:25Z</dcterms:modified>
</cp:coreProperties>
</file>